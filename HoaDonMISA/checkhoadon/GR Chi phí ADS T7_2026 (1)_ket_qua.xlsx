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GetLinktoText\HoaDonMISA\checkhoadon\"/>
    </mc:Choice>
  </mc:AlternateContent>
  <bookViews>
    <workbookView xWindow="0" yWindow="0" windowWidth="17256" windowHeight="5736" activeTab="7"/>
  </bookViews>
  <sheets>
    <sheet name="Mẫu T" sheetId="1" r:id="rId1"/>
    <sheet name="Mẫu CT" sheetId="2" r:id="rId2"/>
    <sheet name="Thông tin ADS " sheetId="3" r:id="rId3"/>
    <sheet name="Kế hoạch tiêu $" sheetId="4" r:id="rId4"/>
    <sheet name="Tổng tuần" sheetId="5" r:id="rId5"/>
    <sheet name="BC hàng ngày" sheetId="6" r:id="rId6"/>
    <sheet name="NH Anh T" sheetId="7" r:id="rId7"/>
    <sheet name="NH Anh CT" sheetId="8" r:id="rId8"/>
    <sheet name="BQ Anh T" sheetId="9" r:id="rId9"/>
    <sheet name="BQ Anh CT" sheetId="10" r:id="rId10"/>
    <sheet name="TQ Huy T" sheetId="11" r:id="rId11"/>
    <sheet name="TQ Huy  CT" sheetId="12" r:id="rId12"/>
    <sheet name="PT Hải T" sheetId="13" r:id="rId13"/>
    <sheet name="PT Hải CT" sheetId="14" r:id="rId14"/>
    <sheet name="NV Lý T" sheetId="15" r:id="rId15"/>
    <sheet name="NV Lý CT" sheetId="16" r:id="rId16"/>
    <sheet name="ĐQ Anh T" sheetId="17" r:id="rId17"/>
    <sheet name="ĐQ Anh CT" sheetId="18" r:id="rId18"/>
    <sheet name="NT Thưởng T" sheetId="19" r:id="rId19"/>
    <sheet name="NT Thưởng CT" sheetId="20" r:id="rId20"/>
  </sheets>
  <calcPr calcId="162913"/>
</workbook>
</file>

<file path=xl/calcChain.xml><?xml version="1.0" encoding="utf-8"?>
<calcChain xmlns="http://schemas.openxmlformats.org/spreadsheetml/2006/main">
  <c r="AE10" i="20" l="1"/>
  <c r="AC10" i="20"/>
  <c r="AB10" i="20"/>
  <c r="Z10" i="20"/>
  <c r="Y10" i="20"/>
  <c r="X10" i="20"/>
  <c r="V10" i="20"/>
  <c r="U10" i="20"/>
  <c r="O10" i="20"/>
  <c r="M10" i="20"/>
  <c r="L10" i="20"/>
  <c r="J10" i="20"/>
  <c r="I10" i="20"/>
  <c r="H10" i="20"/>
  <c r="F10" i="20"/>
  <c r="E10" i="20"/>
  <c r="AH8" i="20"/>
  <c r="AH10" i="20" s="1"/>
  <c r="AG8" i="20"/>
  <c r="AG10" i="20" s="1"/>
  <c r="AF8" i="20"/>
  <c r="AF10" i="20" s="1"/>
  <c r="AE8" i="20"/>
  <c r="AD8" i="20"/>
  <c r="AD10" i="20" s="1"/>
  <c r="AC8" i="20"/>
  <c r="AB8" i="20"/>
  <c r="AA8" i="20"/>
  <c r="AA10" i="20" s="1"/>
  <c r="Z8" i="20"/>
  <c r="D26" i="19" s="1"/>
  <c r="G26" i="19" s="1"/>
  <c r="Y8" i="20"/>
  <c r="D25" i="19" s="1"/>
  <c r="G25" i="19" s="1"/>
  <c r="X8" i="20"/>
  <c r="D24" i="19" s="1"/>
  <c r="G24" i="19" s="1"/>
  <c r="W8" i="20"/>
  <c r="D23" i="19" s="1"/>
  <c r="V8" i="20"/>
  <c r="D22" i="19" s="1"/>
  <c r="G22" i="19" s="1"/>
  <c r="U8" i="20"/>
  <c r="D21" i="19" s="1"/>
  <c r="G21" i="19" s="1"/>
  <c r="T8" i="20"/>
  <c r="S8" i="20"/>
  <c r="S10" i="20" s="1"/>
  <c r="R8" i="20"/>
  <c r="R10" i="20" s="1"/>
  <c r="Q8" i="20"/>
  <c r="Q10" i="20" s="1"/>
  <c r="P8" i="20"/>
  <c r="P10" i="20" s="1"/>
  <c r="O8" i="20"/>
  <c r="N8" i="20"/>
  <c r="N10" i="20" s="1"/>
  <c r="M8" i="20"/>
  <c r="L8" i="20"/>
  <c r="K8" i="20"/>
  <c r="K10" i="20" s="1"/>
  <c r="J8" i="20"/>
  <c r="D10" i="19" s="1"/>
  <c r="G10" i="19" s="1"/>
  <c r="I8" i="20"/>
  <c r="D9" i="19" s="1"/>
  <c r="H8" i="20"/>
  <c r="D8" i="19" s="1"/>
  <c r="G8" i="19" s="1"/>
  <c r="G8" i="20"/>
  <c r="D7" i="19" s="1"/>
  <c r="G7" i="19" s="1"/>
  <c r="F8" i="20"/>
  <c r="D6" i="19" s="1"/>
  <c r="G6" i="19" s="1"/>
  <c r="E8" i="20"/>
  <c r="D5" i="19" s="1"/>
  <c r="G5" i="19" s="1"/>
  <c r="D8" i="20"/>
  <c r="D33" i="19"/>
  <c r="G33" i="19" s="1"/>
  <c r="G32" i="19"/>
  <c r="D32" i="19"/>
  <c r="D31" i="19"/>
  <c r="G31" i="19" s="1"/>
  <c r="D29" i="19"/>
  <c r="G29" i="19" s="1"/>
  <c r="D28" i="19"/>
  <c r="G28" i="19" s="1"/>
  <c r="G27" i="19"/>
  <c r="D27" i="19"/>
  <c r="G20" i="19"/>
  <c r="G19" i="19"/>
  <c r="D19" i="19"/>
  <c r="D17" i="19"/>
  <c r="G17" i="19" s="1"/>
  <c r="G16" i="19"/>
  <c r="D16" i="19"/>
  <c r="D15" i="19"/>
  <c r="G15" i="19" s="1"/>
  <c r="D13" i="19"/>
  <c r="G13" i="19" s="1"/>
  <c r="D12" i="19"/>
  <c r="G12" i="19" s="1"/>
  <c r="G11" i="19"/>
  <c r="D11" i="19"/>
  <c r="F3" i="19"/>
  <c r="H35" i="5" s="1"/>
  <c r="H40" i="5" s="1"/>
  <c r="E3" i="19"/>
  <c r="C3" i="19"/>
  <c r="AH10" i="18"/>
  <c r="AG10" i="18"/>
  <c r="AD10" i="18"/>
  <c r="AB10" i="18"/>
  <c r="AA10" i="18"/>
  <c r="Z10" i="18"/>
  <c r="X10" i="18"/>
  <c r="W10" i="18"/>
  <c r="R10" i="18"/>
  <c r="Q10" i="18"/>
  <c r="N10" i="18"/>
  <c r="L10" i="18"/>
  <c r="K10" i="18"/>
  <c r="J10" i="18"/>
  <c r="H10" i="18"/>
  <c r="G10" i="18"/>
  <c r="AH8" i="18"/>
  <c r="AG8" i="18"/>
  <c r="AF8" i="18"/>
  <c r="AF10" i="18" s="1"/>
  <c r="AE8" i="18"/>
  <c r="AE10" i="18" s="1"/>
  <c r="AD8" i="18"/>
  <c r="AC8" i="18"/>
  <c r="AC10" i="18" s="1"/>
  <c r="AB8" i="18"/>
  <c r="AA8" i="18"/>
  <c r="Z8" i="18"/>
  <c r="D26" i="17" s="1"/>
  <c r="G26" i="17" s="1"/>
  <c r="Y8" i="18"/>
  <c r="Y10" i="18" s="1"/>
  <c r="X8" i="18"/>
  <c r="D24" i="17" s="1"/>
  <c r="G24" i="17" s="1"/>
  <c r="W8" i="18"/>
  <c r="D23" i="17" s="1"/>
  <c r="V8" i="18"/>
  <c r="U8" i="18"/>
  <c r="D21" i="17" s="1"/>
  <c r="G21" i="17" s="1"/>
  <c r="T8" i="18"/>
  <c r="T10" i="18" s="1"/>
  <c r="S8" i="18"/>
  <c r="S10" i="18" s="1"/>
  <c r="R8" i="18"/>
  <c r="Q8" i="18"/>
  <c r="P8" i="18"/>
  <c r="P10" i="18" s="1"/>
  <c r="O8" i="18"/>
  <c r="O10" i="18" s="1"/>
  <c r="N8" i="18"/>
  <c r="M8" i="18"/>
  <c r="M10" i="18" s="1"/>
  <c r="L8" i="18"/>
  <c r="K8" i="18"/>
  <c r="J8" i="18"/>
  <c r="D10" i="17" s="1"/>
  <c r="I8" i="18"/>
  <c r="I10" i="18" s="1"/>
  <c r="H8" i="18"/>
  <c r="D8" i="17" s="1"/>
  <c r="G8" i="17" s="1"/>
  <c r="G8" i="18"/>
  <c r="D7" i="17" s="1"/>
  <c r="G7" i="17" s="1"/>
  <c r="F8" i="18"/>
  <c r="E8" i="18"/>
  <c r="D5" i="17" s="1"/>
  <c r="G5" i="17" s="1"/>
  <c r="D8" i="18"/>
  <c r="D10" i="18" s="1"/>
  <c r="D34" i="17"/>
  <c r="G34" i="17" s="1"/>
  <c r="G33" i="17"/>
  <c r="D33" i="17"/>
  <c r="D31" i="17"/>
  <c r="G31" i="17" s="1"/>
  <c r="G30" i="17"/>
  <c r="G29" i="17"/>
  <c r="D29" i="17"/>
  <c r="D28" i="17"/>
  <c r="G28" i="17" s="1"/>
  <c r="G27" i="17"/>
  <c r="D27" i="17"/>
  <c r="D25" i="17"/>
  <c r="G25" i="17" s="1"/>
  <c r="G20" i="17"/>
  <c r="D20" i="17"/>
  <c r="G19" i="17"/>
  <c r="D19" i="17"/>
  <c r="D18" i="17"/>
  <c r="G18" i="17" s="1"/>
  <c r="D17" i="17"/>
  <c r="G17" i="17" s="1"/>
  <c r="G15" i="17"/>
  <c r="D15" i="17"/>
  <c r="D14" i="17"/>
  <c r="G14" i="17" s="1"/>
  <c r="G13" i="17"/>
  <c r="D13" i="17"/>
  <c r="D12" i="17"/>
  <c r="G12" i="17" s="1"/>
  <c r="G11" i="17"/>
  <c r="D11" i="17"/>
  <c r="D9" i="17"/>
  <c r="G9" i="17" s="1"/>
  <c r="D4" i="17"/>
  <c r="F3" i="17"/>
  <c r="E3" i="17"/>
  <c r="C3" i="17"/>
  <c r="AH10" i="16"/>
  <c r="AE10" i="16"/>
  <c r="AC10" i="16"/>
  <c r="AB10" i="16"/>
  <c r="AA10" i="16"/>
  <c r="Y10" i="16"/>
  <c r="X10" i="16"/>
  <c r="R10" i="16"/>
  <c r="O10" i="16"/>
  <c r="M10" i="16"/>
  <c r="L10" i="16"/>
  <c r="K10" i="16"/>
  <c r="I10" i="16"/>
  <c r="H10" i="16"/>
  <c r="AH8" i="16"/>
  <c r="AG8" i="16"/>
  <c r="AG10" i="16" s="1"/>
  <c r="AF8" i="16"/>
  <c r="AF10" i="16" s="1"/>
  <c r="AE8" i="16"/>
  <c r="AD8" i="16"/>
  <c r="AD10" i="16" s="1"/>
  <c r="AC8" i="16"/>
  <c r="AB8" i="16"/>
  <c r="AA8" i="16"/>
  <c r="D27" i="15" s="1"/>
  <c r="G27" i="15" s="1"/>
  <c r="Z8" i="16"/>
  <c r="Z10" i="16" s="1"/>
  <c r="Y8" i="16"/>
  <c r="D25" i="15" s="1"/>
  <c r="G25" i="15" s="1"/>
  <c r="X8" i="16"/>
  <c r="D24" i="15" s="1"/>
  <c r="G24" i="15" s="1"/>
  <c r="W8" i="16"/>
  <c r="V8" i="16"/>
  <c r="D22" i="15" s="1"/>
  <c r="G22" i="15" s="1"/>
  <c r="U8" i="16"/>
  <c r="U10" i="16" s="1"/>
  <c r="T8" i="16"/>
  <c r="T10" i="16" s="1"/>
  <c r="S8" i="16"/>
  <c r="S10" i="16" s="1"/>
  <c r="R8" i="16"/>
  <c r="Q8" i="16"/>
  <c r="Q10" i="16" s="1"/>
  <c r="P8" i="16"/>
  <c r="P10" i="16" s="1"/>
  <c r="O8" i="16"/>
  <c r="N8" i="16"/>
  <c r="N10" i="16" s="1"/>
  <c r="M8" i="16"/>
  <c r="L8" i="16"/>
  <c r="K8" i="16"/>
  <c r="D11" i="15" s="1"/>
  <c r="G11" i="15" s="1"/>
  <c r="J8" i="16"/>
  <c r="J10" i="16" s="1"/>
  <c r="I8" i="16"/>
  <c r="D9" i="15" s="1"/>
  <c r="H8" i="16"/>
  <c r="D8" i="15" s="1"/>
  <c r="G8" i="15" s="1"/>
  <c r="G8" i="16"/>
  <c r="F8" i="16"/>
  <c r="D6" i="15" s="1"/>
  <c r="G6" i="15" s="1"/>
  <c r="E8" i="16"/>
  <c r="E10" i="16" s="1"/>
  <c r="D8" i="16"/>
  <c r="D10" i="16" s="1"/>
  <c r="D34" i="15"/>
  <c r="G34" i="15" s="1"/>
  <c r="D32" i="15"/>
  <c r="G32" i="15" s="1"/>
  <c r="D31" i="15"/>
  <c r="G31" i="15" s="1"/>
  <c r="G30" i="15"/>
  <c r="D30" i="15"/>
  <c r="D29" i="15"/>
  <c r="G29" i="15" s="1"/>
  <c r="G28" i="15"/>
  <c r="D28" i="15"/>
  <c r="D26" i="15"/>
  <c r="G26" i="15" s="1"/>
  <c r="D21" i="15"/>
  <c r="G21" i="15" s="1"/>
  <c r="G20" i="15"/>
  <c r="D20" i="15"/>
  <c r="G19" i="15"/>
  <c r="D19" i="15"/>
  <c r="D18" i="15"/>
  <c r="G18" i="15" s="1"/>
  <c r="D16" i="15"/>
  <c r="G16" i="15" s="1"/>
  <c r="D15" i="15"/>
  <c r="G15" i="15" s="1"/>
  <c r="G14" i="15"/>
  <c r="D14" i="15"/>
  <c r="D13" i="15"/>
  <c r="G13" i="15" s="1"/>
  <c r="G12" i="15"/>
  <c r="D12" i="15"/>
  <c r="D10" i="15"/>
  <c r="G10" i="15" s="1"/>
  <c r="D5" i="15"/>
  <c r="G4" i="15"/>
  <c r="D4" i="15"/>
  <c r="F3" i="15"/>
  <c r="E3" i="15"/>
  <c r="C3" i="15"/>
  <c r="AG10" i="14"/>
  <c r="AF10" i="14"/>
  <c r="AD10" i="14"/>
  <c r="AC10" i="14"/>
  <c r="AA10" i="14"/>
  <c r="Z10" i="14"/>
  <c r="T10" i="14"/>
  <c r="Q10" i="14"/>
  <c r="P10" i="14"/>
  <c r="N10" i="14"/>
  <c r="M10" i="14"/>
  <c r="K10" i="14"/>
  <c r="J10" i="14"/>
  <c r="D10" i="14"/>
  <c r="AH8" i="14"/>
  <c r="AH10" i="14" s="1"/>
  <c r="AG8" i="14"/>
  <c r="AF8" i="14"/>
  <c r="AE8" i="14"/>
  <c r="AE10" i="14" s="1"/>
  <c r="AD8" i="14"/>
  <c r="AC8" i="14"/>
  <c r="AB8" i="14"/>
  <c r="D28" i="13" s="1"/>
  <c r="G28" i="13" s="1"/>
  <c r="AA8" i="14"/>
  <c r="Z8" i="14"/>
  <c r="D26" i="13" s="1"/>
  <c r="G26" i="13" s="1"/>
  <c r="Y8" i="14"/>
  <c r="X8" i="14"/>
  <c r="D24" i="13" s="1"/>
  <c r="G24" i="13" s="1"/>
  <c r="W8" i="14"/>
  <c r="W10" i="14" s="1"/>
  <c r="V8" i="14"/>
  <c r="V10" i="14" s="1"/>
  <c r="U8" i="14"/>
  <c r="U10" i="14" s="1"/>
  <c r="T8" i="14"/>
  <c r="S8" i="14"/>
  <c r="S10" i="14" s="1"/>
  <c r="R8" i="14"/>
  <c r="R10" i="14" s="1"/>
  <c r="Q8" i="14"/>
  <c r="P8" i="14"/>
  <c r="O8" i="14"/>
  <c r="O10" i="14" s="1"/>
  <c r="N8" i="14"/>
  <c r="M8" i="14"/>
  <c r="L8" i="14"/>
  <c r="D12" i="13" s="1"/>
  <c r="G12" i="13" s="1"/>
  <c r="K8" i="14"/>
  <c r="J8" i="14"/>
  <c r="D10" i="13" s="1"/>
  <c r="G10" i="13" s="1"/>
  <c r="I8" i="14"/>
  <c r="H8" i="14"/>
  <c r="D8" i="13" s="1"/>
  <c r="G8" i="13" s="1"/>
  <c r="G8" i="14"/>
  <c r="G10" i="14" s="1"/>
  <c r="F8" i="14"/>
  <c r="F10" i="14" s="1"/>
  <c r="E8" i="14"/>
  <c r="E10" i="14" s="1"/>
  <c r="D8" i="14"/>
  <c r="D34" i="13"/>
  <c r="G34" i="13" s="1"/>
  <c r="D33" i="13"/>
  <c r="G33" i="13" s="1"/>
  <c r="D32" i="13"/>
  <c r="G32" i="13" s="1"/>
  <c r="G31" i="13"/>
  <c r="D31" i="13"/>
  <c r="D30" i="13"/>
  <c r="G29" i="13"/>
  <c r="D29" i="13"/>
  <c r="D27" i="13"/>
  <c r="G27" i="13" s="1"/>
  <c r="D22" i="13"/>
  <c r="G22" i="13" s="1"/>
  <c r="G21" i="13"/>
  <c r="D21" i="13"/>
  <c r="G20" i="13"/>
  <c r="D20" i="13"/>
  <c r="D19" i="13"/>
  <c r="G19" i="13" s="1"/>
  <c r="D18" i="13"/>
  <c r="G18" i="13" s="1"/>
  <c r="D17" i="13"/>
  <c r="G17" i="13" s="1"/>
  <c r="D16" i="13"/>
  <c r="G16" i="13" s="1"/>
  <c r="G15" i="13"/>
  <c r="D15" i="13"/>
  <c r="D14" i="13"/>
  <c r="G14" i="13" s="1"/>
  <c r="G13" i="13"/>
  <c r="D13" i="13"/>
  <c r="D11" i="13"/>
  <c r="G11" i="13" s="1"/>
  <c r="D6" i="13"/>
  <c r="G6" i="13" s="1"/>
  <c r="G5" i="13"/>
  <c r="D5" i="13"/>
  <c r="G4" i="13"/>
  <c r="D4" i="13"/>
  <c r="F3" i="13"/>
  <c r="O6" i="4" s="1"/>
  <c r="E3" i="13"/>
  <c r="C3" i="13"/>
  <c r="AH11" i="12"/>
  <c r="AF11" i="12"/>
  <c r="AE11" i="12"/>
  <c r="AC11" i="12"/>
  <c r="AB11" i="12"/>
  <c r="V11" i="12"/>
  <c r="R11" i="12"/>
  <c r="P11" i="12"/>
  <c r="O11" i="12"/>
  <c r="M11" i="12"/>
  <c r="L11" i="12"/>
  <c r="F11" i="12"/>
  <c r="AH9" i="12"/>
  <c r="AG9" i="12"/>
  <c r="AG11" i="12" s="1"/>
  <c r="AF9" i="12"/>
  <c r="AE9" i="12"/>
  <c r="AD9" i="12"/>
  <c r="AD11" i="12" s="1"/>
  <c r="AC9" i="12"/>
  <c r="D29" i="11" s="1"/>
  <c r="G29" i="11" s="1"/>
  <c r="AB9" i="12"/>
  <c r="AA9" i="12"/>
  <c r="Z9" i="12"/>
  <c r="D26" i="11" s="1"/>
  <c r="G26" i="11" s="1"/>
  <c r="Y9" i="12"/>
  <c r="Y11" i="12" s="1"/>
  <c r="X9" i="12"/>
  <c r="X11" i="12" s="1"/>
  <c r="W9" i="12"/>
  <c r="W11" i="12" s="1"/>
  <c r="V9" i="12"/>
  <c r="U9" i="12"/>
  <c r="D21" i="11" s="1"/>
  <c r="G21" i="11" s="1"/>
  <c r="T9" i="12"/>
  <c r="T11" i="12" s="1"/>
  <c r="S9" i="12"/>
  <c r="S11" i="12" s="1"/>
  <c r="R9" i="12"/>
  <c r="Q9" i="12"/>
  <c r="Q11" i="12" s="1"/>
  <c r="P9" i="12"/>
  <c r="O9" i="12"/>
  <c r="N9" i="12"/>
  <c r="N11" i="12" s="1"/>
  <c r="M9" i="12"/>
  <c r="D13" i="11" s="1"/>
  <c r="G13" i="11" s="1"/>
  <c r="L9" i="12"/>
  <c r="K9" i="12"/>
  <c r="J9" i="12"/>
  <c r="D10" i="11" s="1"/>
  <c r="G10" i="11" s="1"/>
  <c r="I9" i="12"/>
  <c r="I11" i="12" s="1"/>
  <c r="H9" i="12"/>
  <c r="H11" i="12" s="1"/>
  <c r="G9" i="12"/>
  <c r="G11" i="12" s="1"/>
  <c r="F9" i="12"/>
  <c r="E9" i="12"/>
  <c r="D5" i="11" s="1"/>
  <c r="D9" i="12"/>
  <c r="D11" i="12" s="1"/>
  <c r="D34" i="11"/>
  <c r="G34" i="11" s="1"/>
  <c r="D33" i="11"/>
  <c r="G33" i="11" s="1"/>
  <c r="G32" i="11"/>
  <c r="D32" i="11"/>
  <c r="D31" i="11"/>
  <c r="G30" i="11"/>
  <c r="D30" i="11"/>
  <c r="D28" i="11"/>
  <c r="G28" i="11" s="1"/>
  <c r="G24" i="11"/>
  <c r="D24" i="11"/>
  <c r="D23" i="11"/>
  <c r="G23" i="11" s="1"/>
  <c r="G22" i="11"/>
  <c r="D22" i="11"/>
  <c r="D20" i="11"/>
  <c r="G20" i="11" s="1"/>
  <c r="D19" i="11"/>
  <c r="G19" i="11" s="1"/>
  <c r="D18" i="11"/>
  <c r="G18" i="11" s="1"/>
  <c r="D17" i="11"/>
  <c r="G17" i="11" s="1"/>
  <c r="G16" i="11"/>
  <c r="D16" i="11"/>
  <c r="D15" i="11"/>
  <c r="G15" i="11" s="1"/>
  <c r="G14" i="11"/>
  <c r="D14" i="11"/>
  <c r="D12" i="11"/>
  <c r="G12" i="11" s="1"/>
  <c r="G8" i="11"/>
  <c r="D8" i="11"/>
  <c r="D7" i="11"/>
  <c r="G7" i="11" s="1"/>
  <c r="G6" i="11"/>
  <c r="D6" i="11"/>
  <c r="D4" i="11"/>
  <c r="G4" i="11" s="1"/>
  <c r="F3" i="11"/>
  <c r="E3" i="11"/>
  <c r="C3" i="11"/>
  <c r="E67" i="10"/>
  <c r="AH10" i="10"/>
  <c r="AF10" i="10"/>
  <c r="AE10" i="10"/>
  <c r="Y10" i="10"/>
  <c r="U10" i="10"/>
  <c r="S10" i="10"/>
  <c r="R10" i="10"/>
  <c r="P10" i="10"/>
  <c r="O10" i="10"/>
  <c r="I10" i="10"/>
  <c r="E10" i="10"/>
  <c r="AH8" i="10"/>
  <c r="AG8" i="10"/>
  <c r="AG10" i="10" s="1"/>
  <c r="AF8" i="10"/>
  <c r="AE8" i="10"/>
  <c r="D31" i="9" s="1"/>
  <c r="G31" i="9" s="1"/>
  <c r="AD8" i="10"/>
  <c r="AC8" i="10"/>
  <c r="D29" i="9" s="1"/>
  <c r="G29" i="9" s="1"/>
  <c r="AB8" i="10"/>
  <c r="AB10" i="10" s="1"/>
  <c r="AA8" i="10"/>
  <c r="AA10" i="10" s="1"/>
  <c r="Z8" i="10"/>
  <c r="Z10" i="10" s="1"/>
  <c r="Y8" i="10"/>
  <c r="X8" i="10"/>
  <c r="D24" i="9" s="1"/>
  <c r="W8" i="10"/>
  <c r="W10" i="10" s="1"/>
  <c r="V8" i="10"/>
  <c r="V10" i="10" s="1"/>
  <c r="U8" i="10"/>
  <c r="T8" i="10"/>
  <c r="T10" i="10" s="1"/>
  <c r="S8" i="10"/>
  <c r="R8" i="10"/>
  <c r="D18" i="9" s="1"/>
  <c r="G18" i="9" s="1"/>
  <c r="Q8" i="10"/>
  <c r="D17" i="9" s="1"/>
  <c r="G17" i="9" s="1"/>
  <c r="P8" i="10"/>
  <c r="D16" i="9" s="1"/>
  <c r="O8" i="10"/>
  <c r="D15" i="9" s="1"/>
  <c r="G15" i="9" s="1"/>
  <c r="N8" i="10"/>
  <c r="M8" i="10"/>
  <c r="M10" i="10" s="1"/>
  <c r="L8" i="10"/>
  <c r="L10" i="10" s="1"/>
  <c r="K8" i="10"/>
  <c r="K10" i="10" s="1"/>
  <c r="J8" i="10"/>
  <c r="J10" i="10" s="1"/>
  <c r="I8" i="10"/>
  <c r="H8" i="10"/>
  <c r="H10" i="10" s="1"/>
  <c r="G8" i="10"/>
  <c r="G10" i="10" s="1"/>
  <c r="F8" i="10"/>
  <c r="F10" i="10" s="1"/>
  <c r="E8" i="10"/>
  <c r="D8" i="10"/>
  <c r="D4" i="9" s="1"/>
  <c r="D34" i="9"/>
  <c r="G34" i="9" s="1"/>
  <c r="D33" i="9"/>
  <c r="E4" i="6" s="1"/>
  <c r="H4" i="6" s="1"/>
  <c r="G32" i="9"/>
  <c r="D32" i="9"/>
  <c r="F28" i="9"/>
  <c r="D27" i="9"/>
  <c r="G27" i="9" s="1"/>
  <c r="G26" i="9"/>
  <c r="D26" i="9"/>
  <c r="F25" i="9"/>
  <c r="D25" i="9"/>
  <c r="D23" i="9"/>
  <c r="G23" i="9" s="1"/>
  <c r="G22" i="9"/>
  <c r="D22" i="9"/>
  <c r="F21" i="9"/>
  <c r="D21" i="9"/>
  <c r="G21" i="9" s="1"/>
  <c r="F20" i="9"/>
  <c r="D20" i="9"/>
  <c r="G20" i="9" s="1"/>
  <c r="F19" i="9"/>
  <c r="R4" i="5" s="1"/>
  <c r="D19" i="9"/>
  <c r="G19" i="9" s="1"/>
  <c r="F18" i="9"/>
  <c r="F16" i="9"/>
  <c r="F13" i="9"/>
  <c r="D13" i="9"/>
  <c r="G13" i="9" s="1"/>
  <c r="G12" i="9"/>
  <c r="F12" i="9"/>
  <c r="D12" i="9"/>
  <c r="F11" i="9"/>
  <c r="G10" i="9"/>
  <c r="F10" i="9"/>
  <c r="D10" i="9"/>
  <c r="F9" i="9"/>
  <c r="G9" i="9" s="1"/>
  <c r="D9" i="9"/>
  <c r="F8" i="9"/>
  <c r="F7" i="9"/>
  <c r="G7" i="9" s="1"/>
  <c r="D7" i="9"/>
  <c r="G6" i="9"/>
  <c r="F6" i="9"/>
  <c r="D6" i="9"/>
  <c r="F5" i="9"/>
  <c r="D5" i="9"/>
  <c r="G5" i="9" s="1"/>
  <c r="E3" i="9"/>
  <c r="C3" i="9"/>
  <c r="E131" i="8"/>
  <c r="AH19" i="8"/>
  <c r="AB19" i="8"/>
  <c r="X19" i="8"/>
  <c r="V19" i="8"/>
  <c r="U19" i="8"/>
  <c r="S19" i="8"/>
  <c r="R19" i="8"/>
  <c r="L19" i="8"/>
  <c r="H19" i="8"/>
  <c r="F19" i="8"/>
  <c r="E19" i="8"/>
  <c r="AH17" i="8"/>
  <c r="D34" i="7" s="1"/>
  <c r="AG17" i="8"/>
  <c r="AF17" i="8"/>
  <c r="D32" i="7" s="1"/>
  <c r="G32" i="7" s="1"/>
  <c r="AE17" i="8"/>
  <c r="AE19" i="8" s="1"/>
  <c r="AD17" i="8"/>
  <c r="AD19" i="8" s="1"/>
  <c r="AC17" i="8"/>
  <c r="AC19" i="8" s="1"/>
  <c r="AB17" i="8"/>
  <c r="AA17" i="8"/>
  <c r="AA19" i="8" s="1"/>
  <c r="Z17" i="8"/>
  <c r="Z19" i="8" s="1"/>
  <c r="Y17" i="8"/>
  <c r="Y19" i="8" s="1"/>
  <c r="X17" i="8"/>
  <c r="W17" i="8"/>
  <c r="W19" i="8" s="1"/>
  <c r="V17" i="8"/>
  <c r="U17" i="8"/>
  <c r="D21" i="7" s="1"/>
  <c r="G21" i="7" s="1"/>
  <c r="T17" i="8"/>
  <c r="D20" i="7" s="1"/>
  <c r="G20" i="7" s="1"/>
  <c r="S17" i="8"/>
  <c r="R17" i="8"/>
  <c r="D18" i="7" s="1"/>
  <c r="G18" i="7" s="1"/>
  <c r="Q17" i="8"/>
  <c r="P17" i="8"/>
  <c r="D16" i="7" s="1"/>
  <c r="O17" i="8"/>
  <c r="O19" i="8" s="1"/>
  <c r="N17" i="8"/>
  <c r="N19" i="8" s="1"/>
  <c r="M17" i="8"/>
  <c r="M19" i="8" s="1"/>
  <c r="L17" i="8"/>
  <c r="K17" i="8"/>
  <c r="K19" i="8" s="1"/>
  <c r="J17" i="8"/>
  <c r="J19" i="8" s="1"/>
  <c r="I17" i="8"/>
  <c r="I19" i="8" s="1"/>
  <c r="H17" i="8"/>
  <c r="G17" i="8"/>
  <c r="G19" i="8" s="1"/>
  <c r="F17" i="8"/>
  <c r="E17" i="8"/>
  <c r="D5" i="7" s="1"/>
  <c r="G5" i="7" s="1"/>
  <c r="D17" i="8"/>
  <c r="D4" i="7" s="1"/>
  <c r="I34" i="7"/>
  <c r="G34" i="7"/>
  <c r="I33" i="7"/>
  <c r="I32" i="7"/>
  <c r="I31" i="7"/>
  <c r="I30" i="7"/>
  <c r="D30" i="7"/>
  <c r="G30" i="7" s="1"/>
  <c r="I29" i="7"/>
  <c r="D29" i="7"/>
  <c r="G29" i="7" s="1"/>
  <c r="I28" i="7"/>
  <c r="G28" i="7"/>
  <c r="D28" i="7"/>
  <c r="I27" i="7"/>
  <c r="D27" i="7"/>
  <c r="G27" i="7" s="1"/>
  <c r="I26" i="7"/>
  <c r="D26" i="7"/>
  <c r="G26" i="7" s="1"/>
  <c r="I25" i="7"/>
  <c r="D25" i="7"/>
  <c r="G25" i="7" s="1"/>
  <c r="I24" i="7"/>
  <c r="D24" i="7"/>
  <c r="G24" i="7" s="1"/>
  <c r="I23" i="7"/>
  <c r="G23" i="7"/>
  <c r="D23" i="7"/>
  <c r="I22" i="7"/>
  <c r="D22" i="7"/>
  <c r="G22" i="7" s="1"/>
  <c r="I21" i="7"/>
  <c r="I20" i="7"/>
  <c r="I19" i="7"/>
  <c r="G19" i="7"/>
  <c r="D19" i="7"/>
  <c r="I18" i="7"/>
  <c r="I17" i="7"/>
  <c r="I16" i="7"/>
  <c r="I15" i="7"/>
  <c r="I14" i="7"/>
  <c r="D14" i="7"/>
  <c r="G14" i="7" s="1"/>
  <c r="I13" i="7"/>
  <c r="D13" i="7"/>
  <c r="G13" i="7" s="1"/>
  <c r="I12" i="7"/>
  <c r="G12" i="7"/>
  <c r="D12" i="7"/>
  <c r="I11" i="7"/>
  <c r="D11" i="7"/>
  <c r="G11" i="7" s="1"/>
  <c r="I10" i="7"/>
  <c r="G10" i="7"/>
  <c r="D10" i="7"/>
  <c r="I9" i="7"/>
  <c r="D9" i="7"/>
  <c r="G9" i="7" s="1"/>
  <c r="I8" i="7"/>
  <c r="D8" i="7"/>
  <c r="G8" i="7" s="1"/>
  <c r="I7" i="7"/>
  <c r="G7" i="7"/>
  <c r="D7" i="7"/>
  <c r="I6" i="7"/>
  <c r="D6" i="7"/>
  <c r="G6" i="7" s="1"/>
  <c r="I5" i="7"/>
  <c r="I4" i="7"/>
  <c r="H3" i="7"/>
  <c r="F3" i="7"/>
  <c r="E3" i="7"/>
  <c r="G25" i="5" s="1"/>
  <c r="G33" i="5" s="1"/>
  <c r="C3" i="7"/>
  <c r="E25" i="5" s="1"/>
  <c r="H17" i="6"/>
  <c r="H16" i="6"/>
  <c r="H15" i="6"/>
  <c r="H14" i="6"/>
  <c r="H13" i="6"/>
  <c r="G13" i="6"/>
  <c r="G18" i="6" s="1"/>
  <c r="F13" i="6"/>
  <c r="F18" i="6" s="1"/>
  <c r="F20" i="6" s="1"/>
  <c r="E13" i="6"/>
  <c r="E18" i="6" s="1"/>
  <c r="C13" i="6"/>
  <c r="C18" i="6" s="1"/>
  <c r="H10" i="6"/>
  <c r="H9" i="6"/>
  <c r="G8" i="6"/>
  <c r="H8" i="6" s="1"/>
  <c r="F8" i="6"/>
  <c r="E8" i="6"/>
  <c r="C8" i="6"/>
  <c r="G7" i="6"/>
  <c r="F7" i="6"/>
  <c r="C7" i="6"/>
  <c r="G6" i="6"/>
  <c r="F6" i="6"/>
  <c r="E6" i="6"/>
  <c r="H6" i="6" s="1"/>
  <c r="C6" i="6"/>
  <c r="H5" i="6"/>
  <c r="G5" i="6"/>
  <c r="F5" i="6"/>
  <c r="E5" i="6"/>
  <c r="C5" i="6"/>
  <c r="G4" i="6"/>
  <c r="F4" i="6"/>
  <c r="G3" i="6"/>
  <c r="F3" i="6"/>
  <c r="F11" i="6" s="1"/>
  <c r="C3" i="6"/>
  <c r="G40" i="5"/>
  <c r="G42" i="5" s="1"/>
  <c r="I39" i="5"/>
  <c r="I38" i="5"/>
  <c r="I37" i="5"/>
  <c r="I36" i="5"/>
  <c r="G35" i="5"/>
  <c r="E35" i="5"/>
  <c r="E40" i="5" s="1"/>
  <c r="I32" i="5"/>
  <c r="I31" i="5"/>
  <c r="H30" i="5"/>
  <c r="G30" i="5"/>
  <c r="E30" i="5"/>
  <c r="H29" i="5"/>
  <c r="G29" i="5"/>
  <c r="E29" i="5"/>
  <c r="G28" i="5"/>
  <c r="E28" i="5"/>
  <c r="H27" i="5"/>
  <c r="G27" i="5"/>
  <c r="E27" i="5"/>
  <c r="G26" i="5"/>
  <c r="E26" i="5"/>
  <c r="H25" i="5"/>
  <c r="AA18" i="5"/>
  <c r="AA20" i="5" s="1"/>
  <c r="T18" i="5"/>
  <c r="R18" i="5"/>
  <c r="Q18" i="5"/>
  <c r="AC17" i="5"/>
  <c r="X17" i="5"/>
  <c r="S17" i="5"/>
  <c r="N17" i="5"/>
  <c r="I17" i="5"/>
  <c r="AC16" i="5"/>
  <c r="X16" i="5"/>
  <c r="S16" i="5"/>
  <c r="N16" i="5"/>
  <c r="I16" i="5"/>
  <c r="AC15" i="5"/>
  <c r="X15" i="5"/>
  <c r="S15" i="5"/>
  <c r="N15" i="5"/>
  <c r="I15" i="5"/>
  <c r="AC14" i="5"/>
  <c r="X14" i="5"/>
  <c r="S14" i="5"/>
  <c r="N14" i="5"/>
  <c r="I14" i="5"/>
  <c r="AB13" i="5"/>
  <c r="AB18" i="5" s="1"/>
  <c r="AA13" i="5"/>
  <c r="Y13" i="5"/>
  <c r="Y18" i="5" s="1"/>
  <c r="Y20" i="5" s="1"/>
  <c r="W13" i="5"/>
  <c r="W18" i="5" s="1"/>
  <c r="V13" i="5"/>
  <c r="V18" i="5" s="1"/>
  <c r="T13" i="5"/>
  <c r="R13" i="5"/>
  <c r="Q13" i="5"/>
  <c r="O13" i="5"/>
  <c r="O18" i="5" s="1"/>
  <c r="O20" i="5" s="1"/>
  <c r="M13" i="5"/>
  <c r="M18" i="5" s="1"/>
  <c r="L13" i="5"/>
  <c r="L18" i="5" s="1"/>
  <c r="J13" i="5"/>
  <c r="J18" i="5" s="1"/>
  <c r="H13" i="5"/>
  <c r="H18" i="5" s="1"/>
  <c r="G13" i="5"/>
  <c r="G18" i="5" s="1"/>
  <c r="E13" i="5"/>
  <c r="E18" i="5" s="1"/>
  <c r="E20" i="5" s="1"/>
  <c r="G11" i="5"/>
  <c r="AC10" i="5"/>
  <c r="X10" i="5"/>
  <c r="S10" i="5"/>
  <c r="N10" i="5"/>
  <c r="I10" i="5"/>
  <c r="AC9" i="5"/>
  <c r="X9" i="5"/>
  <c r="S9" i="5"/>
  <c r="N9" i="5"/>
  <c r="I9" i="5"/>
  <c r="AB8" i="5"/>
  <c r="AA8" i="5"/>
  <c r="Y8" i="5"/>
  <c r="W8" i="5"/>
  <c r="V8" i="5"/>
  <c r="T8" i="5"/>
  <c r="R8" i="5"/>
  <c r="Q8" i="5"/>
  <c r="O8" i="5"/>
  <c r="M8" i="5"/>
  <c r="L8" i="5"/>
  <c r="J8" i="5"/>
  <c r="H8" i="5"/>
  <c r="G8" i="5"/>
  <c r="E8" i="5"/>
  <c r="AB7" i="5"/>
  <c r="AA7" i="5"/>
  <c r="Y7" i="5"/>
  <c r="W7" i="5"/>
  <c r="V7" i="5"/>
  <c r="T7" i="5"/>
  <c r="R7" i="5"/>
  <c r="P74" i="4" s="1"/>
  <c r="Q7" i="5"/>
  <c r="O7" i="5"/>
  <c r="M7" i="5"/>
  <c r="P52" i="4" s="1"/>
  <c r="L7" i="5"/>
  <c r="J7" i="5"/>
  <c r="H7" i="5"/>
  <c r="G7" i="5"/>
  <c r="E7" i="5"/>
  <c r="AB6" i="5"/>
  <c r="P118" i="4" s="1"/>
  <c r="AA6" i="5"/>
  <c r="Y6" i="5"/>
  <c r="W6" i="5"/>
  <c r="V6" i="5"/>
  <c r="T6" i="5"/>
  <c r="R6" i="5"/>
  <c r="Q6" i="5"/>
  <c r="O6" i="5"/>
  <c r="M6" i="5"/>
  <c r="L6" i="5"/>
  <c r="J6" i="5"/>
  <c r="H6" i="5"/>
  <c r="G6" i="5"/>
  <c r="E6" i="5"/>
  <c r="AB5" i="5"/>
  <c r="AA5" i="5"/>
  <c r="Y5" i="5"/>
  <c r="W5" i="5"/>
  <c r="V5" i="5"/>
  <c r="T5" i="5"/>
  <c r="R5" i="5"/>
  <c r="Q5" i="5"/>
  <c r="O5" i="5"/>
  <c r="M5" i="5"/>
  <c r="L5" i="5"/>
  <c r="J5" i="5"/>
  <c r="H5" i="5"/>
  <c r="G5" i="5"/>
  <c r="E5" i="5"/>
  <c r="AB4" i="5"/>
  <c r="AA4" i="5"/>
  <c r="Y4" i="5"/>
  <c r="V4" i="5"/>
  <c r="T4" i="5"/>
  <c r="Q4" i="5"/>
  <c r="O4" i="5"/>
  <c r="M4" i="5"/>
  <c r="L4" i="5"/>
  <c r="J4" i="5"/>
  <c r="H4" i="5"/>
  <c r="P27" i="4" s="1"/>
  <c r="G4" i="5"/>
  <c r="E4" i="5"/>
  <c r="AB3" i="5"/>
  <c r="AA3" i="5"/>
  <c r="AA11" i="5" s="1"/>
  <c r="Y3" i="5"/>
  <c r="Y11" i="5" s="1"/>
  <c r="W3" i="5"/>
  <c r="V3" i="5"/>
  <c r="V11" i="5" s="1"/>
  <c r="T3" i="5"/>
  <c r="T11" i="5" s="1"/>
  <c r="R3" i="5"/>
  <c r="R11" i="5" s="1"/>
  <c r="R20" i="5" s="1"/>
  <c r="Q3" i="5"/>
  <c r="Q11" i="5" s="1"/>
  <c r="O3" i="5"/>
  <c r="O11" i="5" s="1"/>
  <c r="M3" i="5"/>
  <c r="L3" i="5"/>
  <c r="J3" i="5"/>
  <c r="J11" i="5" s="1"/>
  <c r="H3" i="5"/>
  <c r="P26" i="4" s="1"/>
  <c r="G3" i="5"/>
  <c r="E3" i="5"/>
  <c r="E11" i="5" s="1"/>
  <c r="Q132" i="4"/>
  <c r="R132" i="4" s="1"/>
  <c r="P132" i="4"/>
  <c r="R130" i="4"/>
  <c r="M130" i="4"/>
  <c r="L130" i="4"/>
  <c r="K130" i="4"/>
  <c r="J130" i="4"/>
  <c r="I130" i="4"/>
  <c r="I132" i="4" s="1"/>
  <c r="H130" i="4"/>
  <c r="G130" i="4"/>
  <c r="F130" i="4"/>
  <c r="R129" i="4"/>
  <c r="O129" i="4"/>
  <c r="N129" i="4"/>
  <c r="E129" i="4"/>
  <c r="R128" i="4"/>
  <c r="N128" i="4"/>
  <c r="E128" i="4"/>
  <c r="O128" i="4" s="1"/>
  <c r="R127" i="4"/>
  <c r="N127" i="4"/>
  <c r="E127" i="4"/>
  <c r="O127" i="4" s="1"/>
  <c r="R126" i="4"/>
  <c r="O126" i="4"/>
  <c r="N126" i="4"/>
  <c r="E126" i="4"/>
  <c r="P125" i="4"/>
  <c r="O125" i="4"/>
  <c r="N125" i="4"/>
  <c r="E125" i="4"/>
  <c r="R123" i="4"/>
  <c r="M123" i="4"/>
  <c r="N123" i="4" s="1"/>
  <c r="L123" i="4"/>
  <c r="L132" i="4" s="1"/>
  <c r="K123" i="4"/>
  <c r="K132" i="4" s="1"/>
  <c r="J123" i="4"/>
  <c r="T123" i="4" s="1"/>
  <c r="T132" i="4" s="1"/>
  <c r="I123" i="4"/>
  <c r="H123" i="4"/>
  <c r="H132" i="4" s="1"/>
  <c r="G123" i="4"/>
  <c r="S123" i="4" s="1"/>
  <c r="S132" i="4" s="1"/>
  <c r="F123" i="4"/>
  <c r="F132" i="4" s="1"/>
  <c r="T122" i="4"/>
  <c r="S122" i="4"/>
  <c r="R122" i="4"/>
  <c r="O122" i="4"/>
  <c r="N122" i="4"/>
  <c r="E122" i="4"/>
  <c r="T121" i="4"/>
  <c r="S121" i="4"/>
  <c r="R121" i="4"/>
  <c r="O121" i="4"/>
  <c r="N121" i="4"/>
  <c r="E121" i="4"/>
  <c r="T120" i="4"/>
  <c r="S120" i="4"/>
  <c r="P120" i="4"/>
  <c r="N120" i="4"/>
  <c r="E120" i="4"/>
  <c r="O120" i="4" s="1"/>
  <c r="T119" i="4"/>
  <c r="S119" i="4"/>
  <c r="P119" i="4"/>
  <c r="E119" i="4"/>
  <c r="O119" i="4" s="1"/>
  <c r="T118" i="4"/>
  <c r="S118" i="4"/>
  <c r="O118" i="4"/>
  <c r="N118" i="4"/>
  <c r="E118" i="4"/>
  <c r="T117" i="4"/>
  <c r="S117" i="4"/>
  <c r="P117" i="4"/>
  <c r="N117" i="4"/>
  <c r="E117" i="4"/>
  <c r="O117" i="4" s="1"/>
  <c r="T116" i="4"/>
  <c r="S116" i="4"/>
  <c r="P116" i="4"/>
  <c r="O116" i="4"/>
  <c r="N116" i="4"/>
  <c r="E116" i="4"/>
  <c r="T115" i="4"/>
  <c r="S115" i="4"/>
  <c r="P115" i="4"/>
  <c r="N115" i="4"/>
  <c r="E115" i="4"/>
  <c r="O115" i="4" s="1"/>
  <c r="S109" i="4"/>
  <c r="R109" i="4"/>
  <c r="Q109" i="4"/>
  <c r="P109" i="4"/>
  <c r="R107" i="4"/>
  <c r="N107" i="4"/>
  <c r="M107" i="4"/>
  <c r="M109" i="4" s="1"/>
  <c r="L107" i="4"/>
  <c r="K107" i="4"/>
  <c r="K109" i="4" s="1"/>
  <c r="J107" i="4"/>
  <c r="J109" i="4" s="1"/>
  <c r="I107" i="4"/>
  <c r="I109" i="4" s="1"/>
  <c r="H107" i="4"/>
  <c r="H109" i="4" s="1"/>
  <c r="G107" i="4"/>
  <c r="F107" i="4"/>
  <c r="R106" i="4"/>
  <c r="N106" i="4"/>
  <c r="E106" i="4"/>
  <c r="O106" i="4" s="1"/>
  <c r="R105" i="4"/>
  <c r="O105" i="4"/>
  <c r="N105" i="4"/>
  <c r="E105" i="4"/>
  <c r="R104" i="4"/>
  <c r="O104" i="4"/>
  <c r="N104" i="4"/>
  <c r="E104" i="4"/>
  <c r="R103" i="4"/>
  <c r="O103" i="4"/>
  <c r="N103" i="4"/>
  <c r="E103" i="4"/>
  <c r="P102" i="4"/>
  <c r="N102" i="4"/>
  <c r="E102" i="4"/>
  <c r="E107" i="4" s="1"/>
  <c r="S100" i="4"/>
  <c r="R100" i="4"/>
  <c r="M100" i="4"/>
  <c r="N100" i="4" s="1"/>
  <c r="L100" i="4"/>
  <c r="L109" i="4" s="1"/>
  <c r="K100" i="4"/>
  <c r="J100" i="4"/>
  <c r="I100" i="4"/>
  <c r="H100" i="4"/>
  <c r="G100" i="4"/>
  <c r="G109" i="4" s="1"/>
  <c r="F100" i="4"/>
  <c r="F109" i="4" s="1"/>
  <c r="T99" i="4"/>
  <c r="S99" i="4"/>
  <c r="R99" i="4"/>
  <c r="O99" i="4"/>
  <c r="N99" i="4"/>
  <c r="E99" i="4"/>
  <c r="T98" i="4"/>
  <c r="S98" i="4"/>
  <c r="R98" i="4"/>
  <c r="O98" i="4"/>
  <c r="N98" i="4"/>
  <c r="E98" i="4"/>
  <c r="T97" i="4"/>
  <c r="S97" i="4"/>
  <c r="P97" i="4"/>
  <c r="O97" i="4"/>
  <c r="N97" i="4"/>
  <c r="E97" i="4"/>
  <c r="T96" i="4"/>
  <c r="S96" i="4"/>
  <c r="P96" i="4"/>
  <c r="O96" i="4"/>
  <c r="N96" i="4"/>
  <c r="E96" i="4"/>
  <c r="T95" i="4"/>
  <c r="S95" i="4"/>
  <c r="P95" i="4"/>
  <c r="O95" i="4"/>
  <c r="N95" i="4"/>
  <c r="E95" i="4"/>
  <c r="T94" i="4"/>
  <c r="S94" i="4"/>
  <c r="P94" i="4"/>
  <c r="O94" i="4"/>
  <c r="N94" i="4"/>
  <c r="E94" i="4"/>
  <c r="T93" i="4"/>
  <c r="S93" i="4"/>
  <c r="O93" i="4"/>
  <c r="N93" i="4"/>
  <c r="E93" i="4"/>
  <c r="E100" i="4" s="1"/>
  <c r="O100" i="4" s="1"/>
  <c r="T92" i="4"/>
  <c r="S92" i="4"/>
  <c r="P92" i="4"/>
  <c r="O92" i="4"/>
  <c r="N92" i="4"/>
  <c r="E92" i="4"/>
  <c r="Q87" i="4"/>
  <c r="R87" i="4" s="1"/>
  <c r="P87" i="4"/>
  <c r="R85" i="4"/>
  <c r="M85" i="4"/>
  <c r="N85" i="4" s="1"/>
  <c r="N87" i="4" s="1"/>
  <c r="L85" i="4"/>
  <c r="K85" i="4"/>
  <c r="K87" i="4" s="1"/>
  <c r="J85" i="4"/>
  <c r="J87" i="4" s="1"/>
  <c r="I85" i="4"/>
  <c r="I87" i="4" s="1"/>
  <c r="H85" i="4"/>
  <c r="G85" i="4"/>
  <c r="G87" i="4" s="1"/>
  <c r="F85" i="4"/>
  <c r="F87" i="4" s="1"/>
  <c r="R84" i="4"/>
  <c r="O84" i="4"/>
  <c r="N84" i="4"/>
  <c r="E84" i="4"/>
  <c r="R83" i="4"/>
  <c r="N83" i="4"/>
  <c r="E83" i="4"/>
  <c r="O83" i="4" s="1"/>
  <c r="R82" i="4"/>
  <c r="O82" i="4"/>
  <c r="N82" i="4"/>
  <c r="E82" i="4"/>
  <c r="R81" i="4"/>
  <c r="O81" i="4"/>
  <c r="N81" i="4"/>
  <c r="E81" i="4"/>
  <c r="P80" i="4"/>
  <c r="N80" i="4"/>
  <c r="E80" i="4"/>
  <c r="E85" i="4" s="1"/>
  <c r="R78" i="4"/>
  <c r="N78" i="4"/>
  <c r="M78" i="4"/>
  <c r="M87" i="4" s="1"/>
  <c r="L78" i="4"/>
  <c r="L87" i="4" s="1"/>
  <c r="K78" i="4"/>
  <c r="J78" i="4"/>
  <c r="I78" i="4"/>
  <c r="H78" i="4"/>
  <c r="H87" i="4" s="1"/>
  <c r="G78" i="4"/>
  <c r="F78" i="4"/>
  <c r="R77" i="4"/>
  <c r="N77" i="4"/>
  <c r="E77" i="4"/>
  <c r="O77" i="4" s="1"/>
  <c r="R76" i="4"/>
  <c r="O76" i="4"/>
  <c r="N76" i="4"/>
  <c r="E76" i="4"/>
  <c r="T75" i="4"/>
  <c r="S75" i="4"/>
  <c r="P75" i="4"/>
  <c r="O75" i="4"/>
  <c r="N75" i="4"/>
  <c r="E75" i="4"/>
  <c r="T74" i="4"/>
  <c r="S74" i="4"/>
  <c r="O74" i="4"/>
  <c r="N74" i="4"/>
  <c r="E74" i="4"/>
  <c r="T73" i="4"/>
  <c r="S73" i="4"/>
  <c r="P73" i="4"/>
  <c r="O73" i="4"/>
  <c r="N73" i="4"/>
  <c r="E73" i="4"/>
  <c r="T72" i="4"/>
  <c r="S72" i="4"/>
  <c r="P72" i="4"/>
  <c r="O72" i="4"/>
  <c r="N72" i="4"/>
  <c r="E72" i="4"/>
  <c r="T71" i="4"/>
  <c r="S71" i="4"/>
  <c r="P71" i="4"/>
  <c r="O71" i="4"/>
  <c r="N71" i="4"/>
  <c r="E71" i="4"/>
  <c r="T70" i="4"/>
  <c r="T78" i="4" s="1"/>
  <c r="T87" i="4" s="1"/>
  <c r="S70" i="4"/>
  <c r="S78" i="4" s="1"/>
  <c r="S87" i="4" s="1"/>
  <c r="P70" i="4"/>
  <c r="O70" i="4"/>
  <c r="N70" i="4"/>
  <c r="E70" i="4"/>
  <c r="E78" i="4" s="1"/>
  <c r="O78" i="4" s="1"/>
  <c r="Q65" i="4"/>
  <c r="P65" i="4"/>
  <c r="R63" i="4"/>
  <c r="M63" i="4"/>
  <c r="N63" i="4" s="1"/>
  <c r="N65" i="4" s="1"/>
  <c r="L63" i="4"/>
  <c r="L65" i="4" s="1"/>
  <c r="K63" i="4"/>
  <c r="K65" i="4" s="1"/>
  <c r="J63" i="4"/>
  <c r="I63" i="4"/>
  <c r="H63" i="4"/>
  <c r="H65" i="4" s="1"/>
  <c r="G63" i="4"/>
  <c r="F63" i="4"/>
  <c r="R62" i="4"/>
  <c r="O62" i="4"/>
  <c r="N62" i="4"/>
  <c r="E62" i="4"/>
  <c r="R61" i="4"/>
  <c r="O61" i="4"/>
  <c r="N61" i="4"/>
  <c r="E61" i="4"/>
  <c r="R60" i="4"/>
  <c r="O60" i="4"/>
  <c r="N60" i="4"/>
  <c r="E60" i="4"/>
  <c r="R59" i="4"/>
  <c r="N59" i="4"/>
  <c r="E59" i="4"/>
  <c r="O59" i="4" s="1"/>
  <c r="P58" i="4"/>
  <c r="O58" i="4"/>
  <c r="N58" i="4"/>
  <c r="E58" i="4"/>
  <c r="E63" i="4" s="1"/>
  <c r="R56" i="4"/>
  <c r="M56" i="4"/>
  <c r="N56" i="4" s="1"/>
  <c r="L56" i="4"/>
  <c r="K56" i="4"/>
  <c r="J56" i="4"/>
  <c r="J65" i="4" s="1"/>
  <c r="I56" i="4"/>
  <c r="I65" i="4" s="1"/>
  <c r="H56" i="4"/>
  <c r="G56" i="4"/>
  <c r="G65" i="4" s="1"/>
  <c r="F56" i="4"/>
  <c r="F65" i="4" s="1"/>
  <c r="E56" i="4"/>
  <c r="O56" i="4" s="1"/>
  <c r="R55" i="4"/>
  <c r="O55" i="4"/>
  <c r="N55" i="4"/>
  <c r="E55" i="4"/>
  <c r="S54" i="4"/>
  <c r="R54" i="4"/>
  <c r="N54" i="4"/>
  <c r="E54" i="4"/>
  <c r="O54" i="4" s="1"/>
  <c r="T53" i="4"/>
  <c r="S53" i="4"/>
  <c r="P53" i="4"/>
  <c r="O53" i="4"/>
  <c r="N53" i="4"/>
  <c r="E53" i="4"/>
  <c r="T52" i="4"/>
  <c r="S52" i="4"/>
  <c r="N52" i="4"/>
  <c r="E52" i="4"/>
  <c r="O52" i="4" s="1"/>
  <c r="T51" i="4"/>
  <c r="S51" i="4"/>
  <c r="P51" i="4"/>
  <c r="O51" i="4"/>
  <c r="N51" i="4"/>
  <c r="E51" i="4"/>
  <c r="T50" i="4"/>
  <c r="S50" i="4"/>
  <c r="P50" i="4"/>
  <c r="N50" i="4"/>
  <c r="E50" i="4"/>
  <c r="O50" i="4" s="1"/>
  <c r="T49" i="4"/>
  <c r="S49" i="4"/>
  <c r="S56" i="4" s="1"/>
  <c r="S65" i="4" s="1"/>
  <c r="P49" i="4"/>
  <c r="O49" i="4"/>
  <c r="N49" i="4"/>
  <c r="E49" i="4"/>
  <c r="T48" i="4"/>
  <c r="T56" i="4" s="1"/>
  <c r="T65" i="4" s="1"/>
  <c r="S48" i="4"/>
  <c r="P48" i="4"/>
  <c r="N48" i="4"/>
  <c r="E48" i="4"/>
  <c r="O48" i="4" s="1"/>
  <c r="Q43" i="4"/>
  <c r="R43" i="4" s="1"/>
  <c r="P43" i="4"/>
  <c r="I43" i="4"/>
  <c r="R41" i="4"/>
  <c r="M41" i="4"/>
  <c r="N41" i="4" s="1"/>
  <c r="N43" i="4" s="1"/>
  <c r="L41" i="4"/>
  <c r="L43" i="4" s="1"/>
  <c r="K41" i="4"/>
  <c r="K43" i="4" s="1"/>
  <c r="J41" i="4"/>
  <c r="J43" i="4" s="1"/>
  <c r="I41" i="4"/>
  <c r="H41" i="4"/>
  <c r="H43" i="4" s="1"/>
  <c r="G41" i="4"/>
  <c r="G43" i="4" s="1"/>
  <c r="F41" i="4"/>
  <c r="F43" i="4" s="1"/>
  <c r="E41" i="4"/>
  <c r="R40" i="4"/>
  <c r="N40" i="4"/>
  <c r="E40" i="4"/>
  <c r="O40" i="4" s="1"/>
  <c r="R39" i="4"/>
  <c r="N39" i="4"/>
  <c r="E39" i="4"/>
  <c r="O39" i="4" s="1"/>
  <c r="R38" i="4"/>
  <c r="O38" i="4"/>
  <c r="N38" i="4"/>
  <c r="E38" i="4"/>
  <c r="R37" i="4"/>
  <c r="N37" i="4"/>
  <c r="E37" i="4"/>
  <c r="O37" i="4" s="1"/>
  <c r="O36" i="4"/>
  <c r="N36" i="4"/>
  <c r="E36" i="4"/>
  <c r="R34" i="4"/>
  <c r="N34" i="4"/>
  <c r="M34" i="4"/>
  <c r="M43" i="4" s="1"/>
  <c r="L34" i="4"/>
  <c r="T34" i="4" s="1"/>
  <c r="T43" i="4" s="1"/>
  <c r="K34" i="4"/>
  <c r="J34" i="4"/>
  <c r="I34" i="4"/>
  <c r="H34" i="4"/>
  <c r="S34" i="4" s="1"/>
  <c r="S43" i="4" s="1"/>
  <c r="G34" i="4"/>
  <c r="F34" i="4"/>
  <c r="T33" i="4"/>
  <c r="S33" i="4"/>
  <c r="R33" i="4"/>
  <c r="N33" i="4"/>
  <c r="E33" i="4"/>
  <c r="O33" i="4" s="1"/>
  <c r="T32" i="4"/>
  <c r="S32" i="4"/>
  <c r="R32" i="4"/>
  <c r="N32" i="4"/>
  <c r="E32" i="4"/>
  <c r="O32" i="4" s="1"/>
  <c r="T31" i="4"/>
  <c r="S31" i="4"/>
  <c r="P31" i="4"/>
  <c r="N31" i="4"/>
  <c r="E31" i="4"/>
  <c r="O31" i="4" s="1"/>
  <c r="T30" i="4"/>
  <c r="S30" i="4"/>
  <c r="P30" i="4"/>
  <c r="N30" i="4"/>
  <c r="E30" i="4"/>
  <c r="O30" i="4" s="1"/>
  <c r="T29" i="4"/>
  <c r="S29" i="4"/>
  <c r="P29" i="4"/>
  <c r="N29" i="4"/>
  <c r="E29" i="4"/>
  <c r="O29" i="4" s="1"/>
  <c r="T28" i="4"/>
  <c r="S28" i="4"/>
  <c r="P28" i="4"/>
  <c r="N28" i="4"/>
  <c r="E28" i="4"/>
  <c r="O28" i="4" s="1"/>
  <c r="T27" i="4"/>
  <c r="S27" i="4"/>
  <c r="N27" i="4"/>
  <c r="E27" i="4"/>
  <c r="O27" i="4" s="1"/>
  <c r="T26" i="4"/>
  <c r="S26" i="4"/>
  <c r="N26" i="4"/>
  <c r="E26" i="4"/>
  <c r="I20" i="4"/>
  <c r="H20" i="4"/>
  <c r="O18" i="4"/>
  <c r="L18" i="4"/>
  <c r="K18" i="4"/>
  <c r="K20" i="4" s="1"/>
  <c r="J18" i="4"/>
  <c r="I18" i="4"/>
  <c r="H18" i="4"/>
  <c r="G18" i="4"/>
  <c r="Q17" i="4"/>
  <c r="N17" i="4"/>
  <c r="M17" i="4"/>
  <c r="E17" i="4"/>
  <c r="F17" i="4" s="1"/>
  <c r="Q16" i="4"/>
  <c r="M16" i="4"/>
  <c r="E16" i="4"/>
  <c r="N16" i="4" s="1"/>
  <c r="Q15" i="4"/>
  <c r="M15" i="4"/>
  <c r="E15" i="4"/>
  <c r="Q14" i="4"/>
  <c r="N14" i="4"/>
  <c r="M14" i="4"/>
  <c r="F14" i="4"/>
  <c r="E14" i="4"/>
  <c r="O13" i="4"/>
  <c r="M13" i="4"/>
  <c r="M18" i="4" s="1"/>
  <c r="F13" i="4"/>
  <c r="E13" i="4"/>
  <c r="N13" i="4" s="1"/>
  <c r="L11" i="4"/>
  <c r="L20" i="4" s="1"/>
  <c r="K11" i="4"/>
  <c r="J11" i="4"/>
  <c r="J20" i="4" s="1"/>
  <c r="I11" i="4"/>
  <c r="H11" i="4"/>
  <c r="G11" i="4"/>
  <c r="G20" i="4" s="1"/>
  <c r="Q10" i="4"/>
  <c r="N10" i="4"/>
  <c r="M10" i="4"/>
  <c r="E10" i="4"/>
  <c r="F10" i="4" s="1"/>
  <c r="Q9" i="4"/>
  <c r="N9" i="4"/>
  <c r="M9" i="4"/>
  <c r="M11" i="4" s="1"/>
  <c r="F9" i="4"/>
  <c r="E9" i="4"/>
  <c r="O8" i="4"/>
  <c r="N8" i="4"/>
  <c r="M8" i="4"/>
  <c r="E8" i="4"/>
  <c r="F8" i="4" s="1"/>
  <c r="O7" i="4"/>
  <c r="M7" i="4"/>
  <c r="E7" i="4"/>
  <c r="N7" i="4" s="1"/>
  <c r="M6" i="4"/>
  <c r="F6" i="4"/>
  <c r="E6" i="4"/>
  <c r="N6" i="4" s="1"/>
  <c r="O5" i="4"/>
  <c r="M5" i="4"/>
  <c r="E5" i="4"/>
  <c r="N5" i="4" s="1"/>
  <c r="N4" i="4"/>
  <c r="M4" i="4"/>
  <c r="E4" i="4"/>
  <c r="F4" i="4" s="1"/>
  <c r="O3" i="4"/>
  <c r="M3" i="4"/>
  <c r="E3" i="4"/>
  <c r="AG10" i="2"/>
  <c r="AF10" i="2"/>
  <c r="AE10" i="2"/>
  <c r="Z10" i="2"/>
  <c r="Y10" i="2"/>
  <c r="U10" i="2"/>
  <c r="Q10" i="2"/>
  <c r="P10" i="2"/>
  <c r="O10" i="2"/>
  <c r="J10" i="2"/>
  <c r="I10" i="2"/>
  <c r="E10" i="2"/>
  <c r="AH8" i="2"/>
  <c r="AH10" i="2" s="1"/>
  <c r="AG8" i="2"/>
  <c r="AF8" i="2"/>
  <c r="AE8" i="2"/>
  <c r="AD8" i="2"/>
  <c r="AD10" i="2" s="1"/>
  <c r="AC8" i="2"/>
  <c r="AC10" i="2" s="1"/>
  <c r="AB8" i="2"/>
  <c r="AB10" i="2" s="1"/>
  <c r="AA8" i="2"/>
  <c r="AA10" i="2" s="1"/>
  <c r="Z8" i="2"/>
  <c r="Y8" i="2"/>
  <c r="X8" i="2"/>
  <c r="X10" i="2" s="1"/>
  <c r="W8" i="2"/>
  <c r="W10" i="2" s="1"/>
  <c r="V8" i="2"/>
  <c r="V10" i="2" s="1"/>
  <c r="U8" i="2"/>
  <c r="T8" i="2"/>
  <c r="T10" i="2" s="1"/>
  <c r="S8" i="2"/>
  <c r="S10" i="2" s="1"/>
  <c r="R8" i="2"/>
  <c r="R10" i="2" s="1"/>
  <c r="Q8" i="2"/>
  <c r="P8" i="2"/>
  <c r="O8" i="2"/>
  <c r="N8" i="2"/>
  <c r="N10" i="2" s="1"/>
  <c r="M8" i="2"/>
  <c r="M10" i="2" s="1"/>
  <c r="L8" i="2"/>
  <c r="L10" i="2" s="1"/>
  <c r="K8" i="2"/>
  <c r="K10" i="2" s="1"/>
  <c r="J8" i="2"/>
  <c r="I8" i="2"/>
  <c r="H8" i="2"/>
  <c r="H10" i="2" s="1"/>
  <c r="G8" i="2"/>
  <c r="G10" i="2" s="1"/>
  <c r="F8" i="2"/>
  <c r="F10" i="2" s="1"/>
  <c r="E8" i="2"/>
  <c r="D8" i="2"/>
  <c r="D10" i="2" s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3" i="1"/>
  <c r="E3" i="1"/>
  <c r="D3" i="1"/>
  <c r="G3" i="1" s="1"/>
  <c r="C3" i="1"/>
  <c r="G4" i="9" l="1"/>
  <c r="G30" i="13"/>
  <c r="Z6" i="5"/>
  <c r="N15" i="4"/>
  <c r="F15" i="4"/>
  <c r="F18" i="4" s="1"/>
  <c r="N109" i="4"/>
  <c r="L11" i="5"/>
  <c r="L20" i="5" s="1"/>
  <c r="G10" i="17"/>
  <c r="K8" i="5"/>
  <c r="D4" i="19"/>
  <c r="D10" i="20"/>
  <c r="C8" i="20"/>
  <c r="D20" i="19"/>
  <c r="T10" i="20"/>
  <c r="D7" i="15"/>
  <c r="G7" i="15" s="1"/>
  <c r="G10" i="16"/>
  <c r="V20" i="5"/>
  <c r="H18" i="6"/>
  <c r="G24" i="9"/>
  <c r="G23" i="19"/>
  <c r="U13" i="5"/>
  <c r="M11" i="5"/>
  <c r="M20" i="5" s="1"/>
  <c r="D23" i="15"/>
  <c r="W10" i="16"/>
  <c r="U5" i="5"/>
  <c r="G9" i="15"/>
  <c r="K7" i="5"/>
  <c r="T100" i="4"/>
  <c r="T109" i="4" s="1"/>
  <c r="G31" i="11"/>
  <c r="Z5" i="5"/>
  <c r="G9" i="19"/>
  <c r="D11" i="11"/>
  <c r="G11" i="11" s="1"/>
  <c r="K11" i="12"/>
  <c r="W4" i="5"/>
  <c r="P93" i="4" s="1"/>
  <c r="G25" i="9"/>
  <c r="N130" i="4"/>
  <c r="N132" i="4" s="1"/>
  <c r="M132" i="4"/>
  <c r="D17" i="7"/>
  <c r="G17" i="7" s="1"/>
  <c r="Q19" i="8"/>
  <c r="F3" i="9"/>
  <c r="O63" i="4"/>
  <c r="E65" i="4"/>
  <c r="O65" i="4" s="1"/>
  <c r="D30" i="9"/>
  <c r="AD10" i="10"/>
  <c r="E18" i="4"/>
  <c r="AB11" i="5"/>
  <c r="G4" i="7"/>
  <c r="F3" i="5"/>
  <c r="C8" i="14"/>
  <c r="D9" i="13"/>
  <c r="I10" i="14"/>
  <c r="D25" i="13"/>
  <c r="G25" i="13" s="1"/>
  <c r="Y10" i="14"/>
  <c r="G4" i="17"/>
  <c r="G20" i="5"/>
  <c r="D14" i="9"/>
  <c r="G14" i="9" s="1"/>
  <c r="N10" i="10"/>
  <c r="J20" i="5"/>
  <c r="E33" i="5"/>
  <c r="E42" i="5" s="1"/>
  <c r="G16" i="9"/>
  <c r="P4" i="5"/>
  <c r="G5" i="11"/>
  <c r="F5" i="5"/>
  <c r="R65" i="4"/>
  <c r="D33" i="7"/>
  <c r="AG19" i="8"/>
  <c r="F7" i="5"/>
  <c r="G5" i="15"/>
  <c r="G132" i="4"/>
  <c r="E87" i="4"/>
  <c r="O87" i="4" s="1"/>
  <c r="O85" i="4"/>
  <c r="Q20" i="5"/>
  <c r="D6" i="17"/>
  <c r="G6" i="17" s="1"/>
  <c r="F10" i="18"/>
  <c r="D22" i="17"/>
  <c r="G22" i="17" s="1"/>
  <c r="V10" i="18"/>
  <c r="D27" i="11"/>
  <c r="G27" i="11" s="1"/>
  <c r="AA11" i="12"/>
  <c r="G11" i="6"/>
  <c r="G20" i="6" s="1"/>
  <c r="U8" i="5"/>
  <c r="G23" i="17"/>
  <c r="O26" i="4"/>
  <c r="E34" i="4"/>
  <c r="O34" i="4" s="1"/>
  <c r="E43" i="4"/>
  <c r="O43" i="4" s="1"/>
  <c r="O41" i="4"/>
  <c r="O107" i="4"/>
  <c r="E109" i="4"/>
  <c r="O109" i="4" s="1"/>
  <c r="G16" i="7"/>
  <c r="P3" i="5"/>
  <c r="AB20" i="5"/>
  <c r="M20" i="4"/>
  <c r="E130" i="4"/>
  <c r="E11" i="4"/>
  <c r="N11" i="4" s="1"/>
  <c r="F7" i="4"/>
  <c r="T20" i="5"/>
  <c r="E123" i="4"/>
  <c r="O123" i="4" s="1"/>
  <c r="U3" i="5"/>
  <c r="P19" i="8"/>
  <c r="AF19" i="8"/>
  <c r="AC10" i="10"/>
  <c r="J11" i="12"/>
  <c r="Z11" i="12"/>
  <c r="H10" i="14"/>
  <c r="X10" i="14"/>
  <c r="F10" i="16"/>
  <c r="V10" i="16"/>
  <c r="E10" i="18"/>
  <c r="U10" i="18"/>
  <c r="C17" i="8"/>
  <c r="D19" i="8"/>
  <c r="T19" i="8"/>
  <c r="D8" i="9"/>
  <c r="G8" i="9" s="1"/>
  <c r="G33" i="9"/>
  <c r="Q10" i="10"/>
  <c r="D7" i="13"/>
  <c r="D23" i="13"/>
  <c r="L10" i="14"/>
  <c r="AB10" i="14"/>
  <c r="G10" i="20"/>
  <c r="W10" i="20"/>
  <c r="F5" i="4"/>
  <c r="O102" i="4"/>
  <c r="J132" i="4"/>
  <c r="P6" i="5"/>
  <c r="D9" i="11"/>
  <c r="D25" i="11"/>
  <c r="G25" i="11" s="1"/>
  <c r="C8" i="2"/>
  <c r="F3" i="4"/>
  <c r="C8" i="10"/>
  <c r="D10" i="10"/>
  <c r="D14" i="19"/>
  <c r="G14" i="19" s="1"/>
  <c r="D30" i="19"/>
  <c r="D15" i="7"/>
  <c r="G15" i="7" s="1"/>
  <c r="D31" i="7"/>
  <c r="D28" i="9"/>
  <c r="G28" i="9" s="1"/>
  <c r="D3" i="11"/>
  <c r="H11" i="5"/>
  <c r="H20" i="5" s="1"/>
  <c r="N3" i="4"/>
  <c r="F16" i="4"/>
  <c r="P36" i="4"/>
  <c r="M65" i="4"/>
  <c r="O80" i="4"/>
  <c r="D32" i="17"/>
  <c r="H28" i="5"/>
  <c r="C9" i="12"/>
  <c r="D17" i="15"/>
  <c r="D33" i="15"/>
  <c r="D16" i="17"/>
  <c r="X10" i="10"/>
  <c r="E11" i="12"/>
  <c r="U11" i="12"/>
  <c r="P5" i="5"/>
  <c r="D11" i="9"/>
  <c r="C8" i="16"/>
  <c r="C8" i="18"/>
  <c r="D18" i="19"/>
  <c r="D34" i="19"/>
  <c r="G34" i="19" s="1"/>
  <c r="I5" i="5" l="1"/>
  <c r="Q28" i="4"/>
  <c r="R28" i="4" s="1"/>
  <c r="G9" i="13"/>
  <c r="K6" i="5"/>
  <c r="G31" i="7"/>
  <c r="Z3" i="5"/>
  <c r="X13" i="5"/>
  <c r="Q102" i="4"/>
  <c r="R102" i="4" s="1"/>
  <c r="U18" i="5"/>
  <c r="G33" i="15"/>
  <c r="Z7" i="5"/>
  <c r="Q94" i="4"/>
  <c r="R94" i="4" s="1"/>
  <c r="X5" i="5"/>
  <c r="S3" i="5"/>
  <c r="P11" i="5"/>
  <c r="S11" i="5" s="1"/>
  <c r="Q70" i="4"/>
  <c r="R70" i="4" s="1"/>
  <c r="Q71" i="4"/>
  <c r="R71" i="4" s="1"/>
  <c r="S4" i="5"/>
  <c r="Z13" i="5"/>
  <c r="G30" i="19"/>
  <c r="G7" i="13"/>
  <c r="F6" i="5"/>
  <c r="F11" i="4"/>
  <c r="F20" i="4" s="1"/>
  <c r="Q97" i="4"/>
  <c r="R97" i="4" s="1"/>
  <c r="X8" i="5"/>
  <c r="I7" i="5"/>
  <c r="Q30" i="4"/>
  <c r="R30" i="4" s="1"/>
  <c r="F8" i="5"/>
  <c r="G23" i="15"/>
  <c r="U7" i="5"/>
  <c r="U6" i="5"/>
  <c r="G23" i="13"/>
  <c r="Q72" i="4"/>
  <c r="R72" i="4" s="1"/>
  <c r="S5" i="5"/>
  <c r="D3" i="19"/>
  <c r="F13" i="5"/>
  <c r="G4" i="19"/>
  <c r="D3" i="7"/>
  <c r="G16" i="17"/>
  <c r="P8" i="5"/>
  <c r="E20" i="4"/>
  <c r="N20" i="4" s="1"/>
  <c r="N18" i="4"/>
  <c r="K13" i="5"/>
  <c r="C4" i="6"/>
  <c r="C11" i="6" s="1"/>
  <c r="C20" i="6" s="1"/>
  <c r="O4" i="4"/>
  <c r="O11" i="4" s="1"/>
  <c r="O20" i="4" s="1"/>
  <c r="H26" i="5"/>
  <c r="H33" i="5" s="1"/>
  <c r="H42" i="5" s="1"/>
  <c r="F4" i="5"/>
  <c r="I3" i="5"/>
  <c r="Q26" i="4"/>
  <c r="R26" i="4" s="1"/>
  <c r="P7" i="5"/>
  <c r="G17" i="15"/>
  <c r="E7" i="6"/>
  <c r="H7" i="6" s="1"/>
  <c r="G30" i="9"/>
  <c r="Z4" i="5"/>
  <c r="U4" i="5"/>
  <c r="AC5" i="5"/>
  <c r="Q117" i="4"/>
  <c r="R117" i="4" s="1"/>
  <c r="Q92" i="4"/>
  <c r="R92" i="4" s="1"/>
  <c r="X3" i="5"/>
  <c r="AC6" i="5"/>
  <c r="Q118" i="4"/>
  <c r="R118" i="4" s="1"/>
  <c r="K5" i="5"/>
  <c r="G9" i="11"/>
  <c r="N7" i="5"/>
  <c r="Q52" i="4"/>
  <c r="R52" i="4" s="1"/>
  <c r="G11" i="9"/>
  <c r="K4" i="5"/>
  <c r="D5" i="6"/>
  <c r="G3" i="11"/>
  <c r="F27" i="5"/>
  <c r="I27" i="5" s="1"/>
  <c r="P5" i="4"/>
  <c r="Q5" i="4" s="1"/>
  <c r="N8" i="5"/>
  <c r="Q53" i="4"/>
  <c r="R53" i="4" s="1"/>
  <c r="G32" i="17"/>
  <c r="Z8" i="5"/>
  <c r="D3" i="15"/>
  <c r="D3" i="17"/>
  <c r="D3" i="13"/>
  <c r="D3" i="9"/>
  <c r="P13" i="5"/>
  <c r="G18" i="19"/>
  <c r="Q73" i="4"/>
  <c r="R73" i="4" s="1"/>
  <c r="S6" i="5"/>
  <c r="G33" i="7"/>
  <c r="E3" i="6"/>
  <c r="K3" i="5"/>
  <c r="O130" i="4"/>
  <c r="E132" i="4"/>
  <c r="O132" i="4" s="1"/>
  <c r="W11" i="5"/>
  <c r="W20" i="5" s="1"/>
  <c r="D8" i="6" l="1"/>
  <c r="P8" i="4"/>
  <c r="Q8" i="4" s="1"/>
  <c r="G3" i="17"/>
  <c r="F30" i="5"/>
  <c r="I30" i="5" s="1"/>
  <c r="K18" i="5"/>
  <c r="Q58" i="4"/>
  <c r="R58" i="4" s="1"/>
  <c r="N13" i="5"/>
  <c r="X6" i="5"/>
  <c r="Q95" i="4"/>
  <c r="R95" i="4" s="1"/>
  <c r="Q96" i="4"/>
  <c r="R96" i="4" s="1"/>
  <c r="X7" i="5"/>
  <c r="Q75" i="4"/>
  <c r="R75" i="4" s="1"/>
  <c r="S8" i="5"/>
  <c r="U20" i="5"/>
  <c r="X20" i="5" s="1"/>
  <c r="X18" i="5"/>
  <c r="Q115" i="4"/>
  <c r="R115" i="4" s="1"/>
  <c r="AC3" i="5"/>
  <c r="Z11" i="5"/>
  <c r="AC11" i="5" s="1"/>
  <c r="I13" i="5"/>
  <c r="Q36" i="4"/>
  <c r="R36" i="4" s="1"/>
  <c r="F18" i="5"/>
  <c r="Q74" i="4"/>
  <c r="R74" i="4" s="1"/>
  <c r="S7" i="5"/>
  <c r="F35" i="5"/>
  <c r="D13" i="6"/>
  <c r="D18" i="6" s="1"/>
  <c r="G3" i="19"/>
  <c r="P13" i="4"/>
  <c r="N6" i="5"/>
  <c r="Q51" i="4"/>
  <c r="R51" i="4" s="1"/>
  <c r="AC8" i="5"/>
  <c r="Q120" i="4"/>
  <c r="R120" i="4" s="1"/>
  <c r="Q119" i="4"/>
  <c r="R119" i="4" s="1"/>
  <c r="AC7" i="5"/>
  <c r="N3" i="5"/>
  <c r="K11" i="5"/>
  <c r="N11" i="5" s="1"/>
  <c r="Q48" i="4"/>
  <c r="R48" i="4" s="1"/>
  <c r="Q49" i="4"/>
  <c r="R49" i="4" s="1"/>
  <c r="N4" i="5"/>
  <c r="I6" i="5"/>
  <c r="Q29" i="4"/>
  <c r="R29" i="4" s="1"/>
  <c r="Q80" i="4"/>
  <c r="R80" i="4" s="1"/>
  <c r="S13" i="5"/>
  <c r="P18" i="5"/>
  <c r="Z18" i="5"/>
  <c r="AC13" i="5"/>
  <c r="Q125" i="4"/>
  <c r="R125" i="4" s="1"/>
  <c r="I4" i="5"/>
  <c r="Q27" i="4"/>
  <c r="R27" i="4" s="1"/>
  <c r="G3" i="15"/>
  <c r="F29" i="5"/>
  <c r="I29" i="5" s="1"/>
  <c r="D7" i="6"/>
  <c r="P7" i="4"/>
  <c r="Q7" i="4" s="1"/>
  <c r="U11" i="5"/>
  <c r="X11" i="5" s="1"/>
  <c r="Q31" i="4"/>
  <c r="R31" i="4" s="1"/>
  <c r="I8" i="5"/>
  <c r="E11" i="6"/>
  <c r="H3" i="6"/>
  <c r="P3" i="4"/>
  <c r="F25" i="5"/>
  <c r="G3" i="7"/>
  <c r="D3" i="6"/>
  <c r="F26" i="5"/>
  <c r="I26" i="5" s="1"/>
  <c r="G3" i="9"/>
  <c r="D4" i="6"/>
  <c r="P4" i="4"/>
  <c r="Q4" i="4" s="1"/>
  <c r="F11" i="5"/>
  <c r="I11" i="5" s="1"/>
  <c r="Q93" i="4"/>
  <c r="R93" i="4" s="1"/>
  <c r="X4" i="5"/>
  <c r="AC4" i="5"/>
  <c r="Q116" i="4"/>
  <c r="R116" i="4" s="1"/>
  <c r="G3" i="13"/>
  <c r="D6" i="6"/>
  <c r="F28" i="5"/>
  <c r="I28" i="5" s="1"/>
  <c r="P6" i="4"/>
  <c r="Q6" i="4" s="1"/>
  <c r="N5" i="5"/>
  <c r="Q50" i="4"/>
  <c r="R50" i="4" s="1"/>
  <c r="P20" i="5" l="1"/>
  <c r="S20" i="5" s="1"/>
  <c r="S18" i="5"/>
  <c r="I25" i="5"/>
  <c r="F33" i="5"/>
  <c r="I33" i="5" s="1"/>
  <c r="D11" i="6"/>
  <c r="AC18" i="5"/>
  <c r="Z20" i="5"/>
  <c r="AC20" i="5" s="1"/>
  <c r="P18" i="4"/>
  <c r="Q13" i="4"/>
  <c r="I18" i="5"/>
  <c r="F20" i="5"/>
  <c r="I20" i="5" s="1"/>
  <c r="P11" i="4"/>
  <c r="Q11" i="4" s="1"/>
  <c r="Q3" i="4"/>
  <c r="H11" i="6"/>
  <c r="E20" i="6"/>
  <c r="H20" i="6" s="1"/>
  <c r="F40" i="5"/>
  <c r="I35" i="5"/>
  <c r="N18" i="5"/>
  <c r="K20" i="5"/>
  <c r="N20" i="5" s="1"/>
  <c r="Q18" i="4" l="1"/>
  <c r="P20" i="4"/>
  <c r="Q20" i="4" s="1"/>
  <c r="F42" i="5"/>
  <c r="I42" i="5" s="1"/>
  <c r="I40" i="5"/>
</calcChain>
</file>

<file path=xl/sharedStrings.xml><?xml version="1.0" encoding="utf-8"?>
<sst xmlns="http://schemas.openxmlformats.org/spreadsheetml/2006/main" count="2969" uniqueCount="621">
  <si>
    <t>STT</t>
  </si>
  <si>
    <t>Ngày/tháng</t>
  </si>
  <si>
    <t xml:space="preserve">Ngân sách cấp 
</t>
  </si>
  <si>
    <t>Tổng đã tiêu</t>
  </si>
  <si>
    <t>Số đơn</t>
  </si>
  <si>
    <t>Doanh số</t>
  </si>
  <si>
    <t>Tỷ lệ CP</t>
  </si>
  <si>
    <t>Số tài khoản</t>
  </si>
  <si>
    <t>Số Thẻ</t>
  </si>
  <si>
    <t>Số tiền chi tiêu hàng ngày theo đầu thẻ</t>
  </si>
  <si>
    <t>Tổng</t>
  </si>
  <si>
    <t>Kế toán check Hóa đơn</t>
  </si>
  <si>
    <t>Chênh lệch</t>
  </si>
  <si>
    <t>Facebook Billing</t>
  </si>
  <si>
    <t>Ngày thanh toán</t>
  </si>
  <si>
    <t>Phương thức TT</t>
  </si>
  <si>
    <t>Số tham chiếu thẻ</t>
  </si>
  <si>
    <t>Số tiền</t>
  </si>
  <si>
    <t xml:space="preserve">Link thư mục ảnh hóa đơn </t>
  </si>
  <si>
    <t>Họ và tên</t>
  </si>
  <si>
    <t>TT Mail</t>
  </si>
  <si>
    <t>Số thẻ</t>
  </si>
  <si>
    <t>Số TK</t>
  </si>
  <si>
    <t>Tên Page</t>
  </si>
  <si>
    <t xml:space="preserve">Link Page </t>
  </si>
  <si>
    <t>Tên BM</t>
  </si>
  <si>
    <t>Tên TK QC</t>
  </si>
  <si>
    <t>Thời gian bắt đầu nhận ( điền với TH nhận page ngang trong tháng)</t>
  </si>
  <si>
    <t>LƯU Ý : NS chạy thêm tkqc , xây thêm page cần được duyệt bởi lãnh đạo . váo kế toán để thêm thông tin</t>
  </si>
  <si>
    <t>Nguyễn Hoàng Anh</t>
  </si>
  <si>
    <t>anhnh.greenvita@gmail.com</t>
  </si>
  <si>
    <t>Bác Sĩ Hội - Chuyên Khoa Tiêu Hóa</t>
  </si>
  <si>
    <t>https://www.facebook.com/profile.php?id=61584406597552</t>
  </si>
  <si>
    <t>BM BS Hội - Hưng Việt</t>
  </si>
  <si>
    <t>Hoàng Anh 1 - Hưng Việt</t>
  </si>
  <si>
    <t>https://www.facebook.com/profile.php?id=61580994806050</t>
  </si>
  <si>
    <t>Hoàng Anh ADS - Green Vita</t>
  </si>
  <si>
    <t>Hoàng Anh ADS 01</t>
  </si>
  <si>
    <t>Bác sĩ Bách Hội</t>
  </si>
  <si>
    <t>https://www.facebook.com/bacsibachhoi</t>
  </si>
  <si>
    <t>Hoàng Anh ADS 02</t>
  </si>
  <si>
    <t>Bác Sĩ Hội - Phục Hồi Đại Tràng Từ Gốc</t>
  </si>
  <si>
    <t>https://www.facebook.com/profile.php?id=61585093756453</t>
  </si>
  <si>
    <t>Hoàng Anh ADS 03</t>
  </si>
  <si>
    <t>Hoàng Anh ADS 04</t>
  </si>
  <si>
    <t>Hoàng Anh ADS 05</t>
  </si>
  <si>
    <t>Nguyễn Thọ Thưởng</t>
  </si>
  <si>
    <t>thuongmkt42@gmail.com</t>
  </si>
  <si>
    <t xml:space="preserve">Bác sĩ Bách Hội - Phục Hồi Dạ Dày Từ Gốc
</t>
  </si>
  <si>
    <t>https://www.facebook.com/bacsibachhoiphoidadaytugoc</t>
  </si>
  <si>
    <t xml:space="preserve">Thuong 3 -BM BS Hội - Hưng Việt
</t>
  </si>
  <si>
    <t>BS Hội - Trung Tâm Tiêu Hóa</t>
  </si>
  <si>
    <t>https://www.facebook.com/profile.php?id=61588430593952</t>
  </si>
  <si>
    <t xml:space="preserve">Thuong 2 -BM BS Hội - Hưng Việt
</t>
  </si>
  <si>
    <t>Bùi Quang Anh</t>
  </si>
  <si>
    <t>buiquanganh090901@gmail.com</t>
  </si>
  <si>
    <t>Bác Sĩ Hội - Sức Khỏe Đại Tràng &amp; Tiêu Hóa</t>
  </si>
  <si>
    <t>https://www.facebook.com/profile.php?id=61587788227415</t>
  </si>
  <si>
    <t>Quang Anh 1 - BM BS Hội - Hưng Việt</t>
  </si>
  <si>
    <t>Bác sĩ Hội - Sức khỏe Dạ dày &amp; Tiêu hóa</t>
  </si>
  <si>
    <t>https://www.facebook.com/profile.php?id=61580862672623</t>
  </si>
  <si>
    <t>Quang Anh 2 - BM BS Hội - Hưng Việt</t>
  </si>
  <si>
    <t xml:space="preserve">Bác sĩ Nguyễn Bách Hội </t>
  </si>
  <si>
    <t>https://www.facebook.com/profile.php?id=61575705099170</t>
  </si>
  <si>
    <t>Quang Anh 3 - BM BS Hội - Hưng Việt</t>
  </si>
  <si>
    <t>Quang Anh ADS - Green Vita</t>
  </si>
  <si>
    <t>Quang Anh 1 +7</t>
  </si>
  <si>
    <t>Phạm Thế Hải</t>
  </si>
  <si>
    <t>phamthehai1494@gmail.com</t>
  </si>
  <si>
    <t>Bách Hội Chuyên Gia Dạ Dày &amp; Tiêu Hóa</t>
  </si>
  <si>
    <t>https://www.facebook.com/bachhoidadaytieuhoa</t>
  </si>
  <si>
    <t>Phạm Hải 1 -BM BS Hội - Hưng Việt</t>
  </si>
  <si>
    <t>Bác sĩ Hội - Giải pháp chăm sóc tiêu hóa</t>
  </si>
  <si>
    <t>https://www.facebook.com/profile.php?id=61586412321740</t>
  </si>
  <si>
    <t>Phạm Hải 2 -BM BS Hội - Hưng Việt</t>
  </si>
  <si>
    <t>Bác sĩ Hội - Chăm Sóc Sức Khỏe Đại Tràng Chuyên Sâu, Chuẩn Y Khoa</t>
  </si>
  <si>
    <t>https://www.facebook.com/bacsihoi.chamsocsuckhoedaitrangchuyensau</t>
  </si>
  <si>
    <t>Phạm Hải 3 -BM BS Hội - Hưng Việt</t>
  </si>
  <si>
    <t>Bs Hội - BM Hải</t>
  </si>
  <si>
    <t>Trần Quang Huy</t>
  </si>
  <si>
    <t>tuitenbear@gmail.com</t>
  </si>
  <si>
    <t>Bác sĩ Hội - Dạ dày &amp; Tiêu hóa</t>
  </si>
  <si>
    <t>https://www.facebook.com/bacsihoidaday/</t>
  </si>
  <si>
    <t xml:space="preserve">Hoàng Anh ADS - Green Vita
</t>
  </si>
  <si>
    <t xml:space="preserve"> Quang Huy 3 - Hưng Việt</t>
  </si>
  <si>
    <t>Dr Bách Hội</t>
  </si>
  <si>
    <t>https://www.facebook.com/bacsihoichuyendaday/</t>
  </si>
  <si>
    <t>Quang Huy 2 - Hưng Việt</t>
  </si>
  <si>
    <t>Bác Sĩ Hội Tiêu Hóa Đại Tràng</t>
  </si>
  <si>
    <t>https://www.facebook.com/profile.php?id=61562973388499&amp;locale=vi_VN</t>
  </si>
  <si>
    <t>Quang Huy 1 - Hưng Việt</t>
  </si>
  <si>
    <t>Dạ Dày Khỏe Cùng Bác Sĩ Hội</t>
  </si>
  <si>
    <t>https://www.facebook.com/profile.php?id=61578593195386</t>
  </si>
  <si>
    <t>01 Quang Huy ADS (+8)</t>
  </si>
  <si>
    <t>Đỗ Quốc Anh</t>
  </si>
  <si>
    <t>doqanh2011@gmail.com</t>
  </si>
  <si>
    <t>Bác Sĩ Hội - BSCKI. Khoa Tiêu Hóa</t>
  </si>
  <si>
    <t>https://www.facebook.com/KhoaTieuHoa.BacSiHoi?locale=vi_VN</t>
  </si>
  <si>
    <t>Quốc Anh ADS - Green Vita</t>
  </si>
  <si>
    <t>01 Quốc Anh ADS (+8)</t>
  </si>
  <si>
    <t>Bác sĩ Hội - Chuyên gia phục hồi sức khỏe dạy dày bền vững</t>
  </si>
  <si>
    <t xml:space="preserve">https://www.facebook.com/profile.php?id=61560743115486  </t>
  </si>
  <si>
    <t xml:space="preserve">BM BS Hội - Hưng Việt
</t>
  </si>
  <si>
    <t>Quốc Anh 1 - Hưng Việt</t>
  </si>
  <si>
    <t>Quốc Anh 2 - Hưng Việt</t>
  </si>
  <si>
    <t>Quốc Anh 3 - Hưng Việt</t>
  </si>
  <si>
    <t>Nguyễn Văn Lý</t>
  </si>
  <si>
    <t>lyn74502@gmail.com</t>
  </si>
  <si>
    <t xml:space="preserve">Bác sĩ Hội - Chuyên Gia Phục Hồi Về Sức Khỏe Đại Tràng 
</t>
  </si>
  <si>
    <t>https://www.facebook.com/profile.php?id=61589456031276</t>
  </si>
  <si>
    <t>Lý 1 -BM BS Hội - Hưng Việt</t>
  </si>
  <si>
    <t>Lý Nguyễn ADS - Green Vita</t>
  </si>
  <si>
    <t>Lý ADS - Green Vita 01</t>
  </si>
  <si>
    <t>Lý ADS - Green Vita 02</t>
  </si>
  <si>
    <t>Lý ADS - Green Vita 03</t>
  </si>
  <si>
    <t>KẾ HOẠCH NGÂN SÁCH THÁNG 7</t>
  </si>
  <si>
    <t>Ngân sách
/Tháng</t>
  </si>
  <si>
    <t>Ngân sách TB
/Ngày</t>
  </si>
  <si>
    <t>Tuần 1</t>
  </si>
  <si>
    <t>Tuần 2</t>
  </si>
  <si>
    <t>Tuần 3</t>
  </si>
  <si>
    <t>Tuần 4</t>
  </si>
  <si>
    <t>Tuần 5</t>
  </si>
  <si>
    <t>Doanh số ngày</t>
  </si>
  <si>
    <t>Tỉ lệ CP</t>
  </si>
  <si>
    <t>DS THỰC TẾ</t>
  </si>
  <si>
    <t>Ngân sách đã tiêu</t>
  </si>
  <si>
    <t>7923 - 065</t>
  </si>
  <si>
    <t>9793 - 081</t>
  </si>
  <si>
    <t>8384 - 057</t>
  </si>
  <si>
    <t>8879 - 073</t>
  </si>
  <si>
    <t>1695 - 121</t>
  </si>
  <si>
    <t>9330 - 091</t>
  </si>
  <si>
    <t>TỔNG TEAM NT</t>
  </si>
  <si>
    <t>TỔNG TEAM OCP</t>
  </si>
  <si>
    <t>TỔNG</t>
  </si>
  <si>
    <t>KẾ HOẠCH NGÂN SÁCH TUẦN 1</t>
  </si>
  <si>
    <t>Ngân sách
/Tuần</t>
  </si>
  <si>
    <t>Thứ 2</t>
  </si>
  <si>
    <t>Thứ 3</t>
  </si>
  <si>
    <t>Thứ 4</t>
  </si>
  <si>
    <t>Thứ 5</t>
  </si>
  <si>
    <t>Thứ 6</t>
  </si>
  <si>
    <t>Thứ 7</t>
  </si>
  <si>
    <t>CN</t>
  </si>
  <si>
    <t>Tổng Doanh số
(Cần Đạt)</t>
  </si>
  <si>
    <t>Doanh số ngày
(Cần Đạt)</t>
  </si>
  <si>
    <t>Dự trù ngân sách L1 (Ngày 01/07 - 02/07)</t>
  </si>
  <si>
    <t>Dự trù ngân sách L2 (Ngày 03/07 - 05/07)</t>
  </si>
  <si>
    <t>KẾ HOẠCH NGÂN SÁCH TUẦN 2</t>
  </si>
  <si>
    <t>Dự trù ngân sách L1 (Ngày 06/07 - 09/07)</t>
  </si>
  <si>
    <t>Dự trù ngân sách L2 (Ngày 10/07 - 12/07)</t>
  </si>
  <si>
    <t>KẾ HOẠCH NGÂN SÁCH TUẦN 3</t>
  </si>
  <si>
    <t>Dự trù ngân sách L1 (Ngày 13/07 - 16/07)</t>
  </si>
  <si>
    <t>Dự trù ngân sách L2 (Ngày 17/07 - 19/07)</t>
  </si>
  <si>
    <t>KẾ HOẠCH NGÂN SÁCH TUẦN 4</t>
  </si>
  <si>
    <t>Dự trù ngân sách L1 (Ngày 20/07 - 23/07)</t>
  </si>
  <si>
    <t>Dự trù ngân sách L2 (Ngày 24/07 - 26/07)</t>
  </si>
  <si>
    <t>KẾ HOẠCH NGÂN SÁCH TUẦN 5</t>
  </si>
  <si>
    <t>Dự trù ngân sách L1 (Ngày 27/07 - 30/07)</t>
  </si>
  <si>
    <t>Dự trù ngân sách L2 (Ngày 31/07 - 02/08)</t>
  </si>
  <si>
    <t xml:space="preserve">Ngân sách cấp </t>
  </si>
  <si>
    <t>Tổng chi tiêu tháng</t>
  </si>
  <si>
    <t>BÁO CÁO HÀNG NGÀY</t>
  </si>
  <si>
    <t>Tổng doanh thu tháng</t>
  </si>
  <si>
    <t>Tổng ngân sách đã chi tiêu</t>
  </si>
  <si>
    <t>https://drive.google.com/drive/folders/1KxKUAAoEgDO60LcR79CJ55uehYCleDOu?usp=sharing</t>
  </si>
  <si>
    <t>Ten tab nguon</t>
  </si>
  <si>
    <t>Kiem tra so tien</t>
  </si>
  <si>
    <t>Visa ···· 7923</t>
  </si>
  <si>
    <t>ACAGSV97J2</t>
  </si>
  <si>
    <t>1 Tháng 7, 2026</t>
  </si>
  <si>
    <t>Trang tính13</t>
  </si>
  <si>
    <t>Khớp</t>
  </si>
  <si>
    <t>HRZ34WZGX2</t>
  </si>
  <si>
    <t>Trang tính5</t>
  </si>
  <si>
    <t>Q2UD6VVHX2</t>
  </si>
  <si>
    <t>YGZ2LV5HX2</t>
  </si>
  <si>
    <t>2 Tháng 7, 2026</t>
  </si>
  <si>
    <t>D8LPAVVHX2</t>
  </si>
  <si>
    <t>8PGASYRHX2</t>
  </si>
  <si>
    <t>3 Tháng 7, 2026</t>
  </si>
  <si>
    <t>3CHDWV5HX2</t>
  </si>
  <si>
    <t>5 Tháng 7, 2026</t>
  </si>
  <si>
    <t>8ZMGZYRHX2</t>
  </si>
  <si>
    <t>N8RR7WVGX2</t>
  </si>
  <si>
    <t>BF5D5W9HX2</t>
  </si>
  <si>
    <t>6 Tháng 7, 2026</t>
  </si>
  <si>
    <t>83XVQVVHX2</t>
  </si>
  <si>
    <t>7C8P9W9HX2</t>
  </si>
  <si>
    <t>7 Tháng 7, 2026</t>
  </si>
  <si>
    <t>FQNH9W5HX2</t>
  </si>
  <si>
    <t>8 Tháng 7, 2026</t>
  </si>
  <si>
    <t>UL3GDZRHX2</t>
  </si>
  <si>
    <t>9 Tháng 7, 2026</t>
  </si>
  <si>
    <t>DER23XZGX2</t>
  </si>
  <si>
    <t>10 Tháng 7, 2026</t>
  </si>
  <si>
    <t>WK5V7WVHX2</t>
  </si>
  <si>
    <t>11 Tháng 7, 2026</t>
  </si>
  <si>
    <t>NAG33YHHX2</t>
  </si>
  <si>
    <t>12 Tháng 7, 2026</t>
  </si>
  <si>
    <t>JUR62XVGX2</t>
  </si>
  <si>
    <t>13 Tháng 7, 2026</t>
  </si>
  <si>
    <t>VXAG5XVGX2</t>
  </si>
  <si>
    <t>14 Tháng 7, 2026</t>
  </si>
  <si>
    <t>D4HKGYHHX2</t>
  </si>
  <si>
    <t>16 Tháng 7, 2026</t>
  </si>
  <si>
    <t>UVV3A2NHX4</t>
  </si>
  <si>
    <t>18 Tháng 7, 2026</t>
  </si>
  <si>
    <t>7Q7FZXZGX2</t>
  </si>
  <si>
    <t>19 Tháng 7, 2026</t>
  </si>
  <si>
    <t>RYE25YZGX2</t>
  </si>
  <si>
    <t>20 Tháng 7, 2026</t>
  </si>
  <si>
    <t>ANA29YZGX2</t>
  </si>
  <si>
    <t>21 Tháng 7, 2026</t>
  </si>
  <si>
    <t>T9ZDVX9HX2</t>
  </si>
  <si>
    <t>22 Tháng 7, 2026</t>
  </si>
  <si>
    <t>LQT8XX5HX2</t>
  </si>
  <si>
    <t>24 Tháng 7, 2026</t>
  </si>
  <si>
    <t>QKRN43NHX4</t>
  </si>
  <si>
    <t>25 Tháng 7, 2026</t>
  </si>
  <si>
    <t>SAMMEYDHX2</t>
  </si>
  <si>
    <t>26 Tháng 7, 2026</t>
  </si>
  <si>
    <t>FKWYKY9HX2</t>
  </si>
  <si>
    <t>29 Tháng 7, 2026</t>
  </si>
  <si>
    <t>BCXHQYDHX2</t>
  </si>
  <si>
    <t>TANYVZHHX2</t>
  </si>
  <si>
    <t>2JNYVZHHX2</t>
  </si>
  <si>
    <t>N3A8QY9HX2</t>
  </si>
  <si>
    <t>30 Tháng 7, 2026</t>
  </si>
  <si>
    <t>297NVYDHX2</t>
  </si>
  <si>
    <t>M69EQ3NHX4</t>
  </si>
  <si>
    <t>TELCFYVHX2</t>
  </si>
  <si>
    <t>31 Tháng 7, 2026</t>
  </si>
  <si>
    <t>HMPTDVZ6U2</t>
  </si>
  <si>
    <t>Hoàng Anh ADS 01 (6803316976993</t>
  </si>
  <si>
    <t>7ZTGYVH7U2</t>
  </si>
  <si>
    <t>F6ZPEVV6U2</t>
  </si>
  <si>
    <t>VXEVUUD7U2</t>
  </si>
  <si>
    <t>NBGJYWR6U2</t>
  </si>
  <si>
    <t>DBFDHW97U2</t>
  </si>
  <si>
    <t>ANP3QVV6U2</t>
  </si>
  <si>
    <t>H4CHSVV6U2</t>
  </si>
  <si>
    <t>8BSWSW97U2</t>
  </si>
  <si>
    <t>ULLJDWM7U2</t>
  </si>
  <si>
    <t>6YQJSWH7U2</t>
  </si>
  <si>
    <t>53HCWWH7U2</t>
  </si>
  <si>
    <t>8BJSQVD7U2</t>
  </si>
  <si>
    <t>GS3D8XH7U2</t>
  </si>
  <si>
    <t>5EJFSWZ6U2</t>
  </si>
  <si>
    <t>L2XYSWV6U2</t>
  </si>
  <si>
    <t>N7XEBYR6U2</t>
  </si>
  <si>
    <t>STKQEWD7U2</t>
  </si>
  <si>
    <t>RQB9VXH7U2</t>
  </si>
  <si>
    <t>3D2K8Y97U2</t>
  </si>
  <si>
    <t>FJHLTWD7U2</t>
  </si>
  <si>
    <t>8G9UYYR6U2</t>
  </si>
  <si>
    <t>WAJF5ZR6U2</t>
  </si>
  <si>
    <t>CXW79XD7U2</t>
  </si>
  <si>
    <t>V4C6JYM6U2</t>
  </si>
  <si>
    <t>MQD3MZR6U2</t>
  </si>
  <si>
    <t>2XTJ5Z97U2</t>
  </si>
  <si>
    <t>SY67PX57U2</t>
  </si>
  <si>
    <t>XAC2RYM6U2</t>
  </si>
  <si>
    <t>F7P3WYM6U2</t>
  </si>
  <si>
    <t>7KBMFZ97U2</t>
  </si>
  <si>
    <t>TCEKMVM7U2</t>
  </si>
  <si>
    <t>Hoàng Anh ADS 02 (1282995733019</t>
  </si>
  <si>
    <t>2VX42WH7U2</t>
  </si>
  <si>
    <t>LV6FYUD7U2</t>
  </si>
  <si>
    <t>WRYW8V57U2</t>
  </si>
  <si>
    <t>H75WBXR6U2</t>
  </si>
  <si>
    <t>WWP72X97U2</t>
  </si>
  <si>
    <t>F9T3QWM7U2</t>
  </si>
  <si>
    <t>5GXYYWM7U2</t>
  </si>
  <si>
    <t>X4Q4LX97U2</t>
  </si>
  <si>
    <t>9NL8TX97U2</t>
  </si>
  <si>
    <t>KBLWTXH7U2</t>
  </si>
  <si>
    <t>UN9D8Y97U2</t>
  </si>
  <si>
    <t>RCV67YH7U2</t>
  </si>
  <si>
    <t>9XQG8YM6U2</t>
  </si>
  <si>
    <t>N9X2DX57U2</t>
  </si>
  <si>
    <t>QNWUWYH7U2</t>
  </si>
  <si>
    <t>X342DYZ6U2</t>
  </si>
  <si>
    <t>PSUWLYM7U2</t>
  </si>
  <si>
    <t>DFX3RYM6U2</t>
  </si>
  <si>
    <t>6HT94ZH7U2</t>
  </si>
  <si>
    <t>TY6LUX57U2</t>
  </si>
  <si>
    <t>NEK8ZX57U2</t>
  </si>
  <si>
    <t>Visa ···· 2156</t>
  </si>
  <si>
    <t>AVB3CVDQE2</t>
  </si>
  <si>
    <t>Không tìm thấy</t>
  </si>
  <si>
    <t>23XTGWVPE2</t>
  </si>
  <si>
    <t>2SRD4XMPE2</t>
  </si>
  <si>
    <t>M8WFDWRPE2</t>
  </si>
  <si>
    <t>SS7AFWDPE2</t>
  </si>
  <si>
    <t>HRBTJWDPE2</t>
  </si>
  <si>
    <t>VAMJQWDQE2</t>
  </si>
  <si>
    <t>PFSPTWHPE2</t>
  </si>
  <si>
    <t>LKX35XHPE2</t>
  </si>
  <si>
    <t>TKPDLWZPE2</t>
  </si>
  <si>
    <t>AJ5VDYVPE2</t>
  </si>
  <si>
    <t>JLT4RXDQE2</t>
  </si>
  <si>
    <t>UXSHJX5QE2</t>
  </si>
  <si>
    <t>AXH6ZXHPE2</t>
  </si>
  <si>
    <t>ALDV9XZPE2</t>
  </si>
  <si>
    <t>8ZJHDYDQE2</t>
  </si>
  <si>
    <t>AP9HLYDPE2</t>
  </si>
  <si>
    <t>DE7L8Y5QE2</t>
  </si>
  <si>
    <t>Tổng đã chi</t>
  </si>
  <si>
    <t>Hoàn - Hủy</t>
  </si>
  <si>
    <t>DS trước HH</t>
  </si>
  <si>
    <t>Hotline</t>
  </si>
  <si>
    <t>9793 - 801</t>
  </si>
  <si>
    <t>Hóa Đơn Tháng 7</t>
  </si>
  <si>
    <t>Visa ···· 9793</t>
  </si>
  <si>
    <t>TQWMGV5HX2</t>
  </si>
  <si>
    <t>Trang tính12</t>
  </si>
  <si>
    <t>9YWUKV9HX2</t>
  </si>
  <si>
    <t>Trang tính8</t>
  </si>
  <si>
    <t>CM3HYVVJK2</t>
  </si>
  <si>
    <t>Quang Anh 1 +7 (861578506991731</t>
  </si>
  <si>
    <t>CNFBXUMHX2</t>
  </si>
  <si>
    <t>P242LV5HX2</t>
  </si>
  <si>
    <t>A7FBYUMHX2</t>
  </si>
  <si>
    <t>Trang tính14</t>
  </si>
  <si>
    <t>XJCLBUZJK2</t>
  </si>
  <si>
    <t>GGZP3WDJK2</t>
  </si>
  <si>
    <t>DNH6XVDHX2</t>
  </si>
  <si>
    <t>ZAAXCVVHX2</t>
  </si>
  <si>
    <t>3QUFBURJK2</t>
  </si>
  <si>
    <t>WSB23WDHX2</t>
  </si>
  <si>
    <t>4 Tháng 7, 2026</t>
  </si>
  <si>
    <t>3AT2GWZGX2</t>
  </si>
  <si>
    <t>EHSEHVVHX2</t>
  </si>
  <si>
    <t>WGY99XHHX2</t>
  </si>
  <si>
    <t>RURQJUZJK2</t>
  </si>
  <si>
    <t>BBFKJWZGX2</t>
  </si>
  <si>
    <t>8ZUQNZHJK2</t>
  </si>
  <si>
    <t>FXQX2W5HX2</t>
  </si>
  <si>
    <t>7GFNQUZJK2</t>
  </si>
  <si>
    <t>K87ZGXDKK2</t>
  </si>
  <si>
    <t>K6JADWVGX2</t>
  </si>
  <si>
    <t>FJF9QURJK2</t>
  </si>
  <si>
    <t>JE4DVVVHX2</t>
  </si>
  <si>
    <t>Y3W6HWDHX2</t>
  </si>
  <si>
    <t>CSFSGW9HX2</t>
  </si>
  <si>
    <t>TLK92WVHX2</t>
  </si>
  <si>
    <t>R62UEV9KK2</t>
  </si>
  <si>
    <t>7QWWTXHHX2</t>
  </si>
  <si>
    <t>5LHVGZRHX2</t>
  </si>
  <si>
    <t>NPUELV9KK2</t>
  </si>
  <si>
    <t>X85NUWDHX2</t>
  </si>
  <si>
    <t>T7ZQSW9HX2</t>
  </si>
  <si>
    <t>X2737WMHX2</t>
  </si>
  <si>
    <t>28S6ZW5HX2</t>
  </si>
  <si>
    <t>15 Tháng 7, 2026</t>
  </si>
  <si>
    <t>29M2JXZGX2</t>
  </si>
  <si>
    <t>TEM2JXZGX2</t>
  </si>
  <si>
    <t>58UANWVHX2</t>
  </si>
  <si>
    <t>ABNSU2EJK4</t>
  </si>
  <si>
    <t>KLM6BX9HX2</t>
  </si>
  <si>
    <t>17 Tháng 7, 2026</t>
  </si>
  <si>
    <t>ER3VHXVGX2</t>
  </si>
  <si>
    <t>F6AAZXZGX2</t>
  </si>
  <si>
    <t>48EEWYHHX2</t>
  </si>
  <si>
    <t>LGPJSXDHX2</t>
  </si>
  <si>
    <t>XUVE8ZHHX2</t>
  </si>
  <si>
    <t>23 Tháng 7, 2026</t>
  </si>
  <si>
    <t>XL4J6XMHX2</t>
  </si>
  <si>
    <t>JGN283NHX4</t>
  </si>
  <si>
    <t>LCJSGXMHX2</t>
  </si>
  <si>
    <t>7KAEPZHHX2</t>
  </si>
  <si>
    <t>27 Tháng 7, 2026</t>
  </si>
  <si>
    <t>97JWYYZGX2</t>
  </si>
  <si>
    <t>28 Tháng 7, 2026</t>
  </si>
  <si>
    <t>XLQUNYDHX2</t>
  </si>
  <si>
    <t>Tổng Bill Tháng 7 (Chưa - 10% VAT)</t>
  </si>
  <si>
    <t>Quang Huy 3 - Hưng Việt</t>
  </si>
  <si>
    <t>02 Quang Huy ADS (+8)</t>
  </si>
  <si>
    <t>Visa ···· 8384</t>
  </si>
  <si>
    <t>JMGERVDHX2</t>
  </si>
  <si>
    <t>Trang tính15</t>
  </si>
  <si>
    <t>NEKBMV9HX2</t>
  </si>
  <si>
    <t>4JP6LV9HX2</t>
  </si>
  <si>
    <t>PD9PSVVGX2</t>
  </si>
  <si>
    <t>D5VCRYRHX2</t>
  </si>
  <si>
    <t>RTA92WVGX2</t>
  </si>
  <si>
    <t>DAFSXYRHX2</t>
  </si>
  <si>
    <t>EXCEGXHHX2</t>
  </si>
  <si>
    <t>8AY5VWZGX2</t>
  </si>
  <si>
    <t>7ZMXWXHHX2</t>
  </si>
  <si>
    <t>DU3Q6YHHX2</t>
  </si>
  <si>
    <t>6WZGRWVHX2</t>
  </si>
  <si>
    <t>RATZDX5HX2</t>
  </si>
  <si>
    <t>PEL7DXVHX2</t>
  </si>
  <si>
    <t>6MX383NHX4</t>
  </si>
  <si>
    <t>VWLT22EHX4</t>
  </si>
  <si>
    <t>MNR4U3NHX4</t>
  </si>
  <si>
    <t>SM4MKYRHX2</t>
  </si>
  <si>
    <t>Trang tính16</t>
  </si>
  <si>
    <t>QY9X4WZGX2</t>
  </si>
  <si>
    <t>TW3RVWHHX2</t>
  </si>
  <si>
    <t>JL5Q4VMHX2</t>
  </si>
  <si>
    <t>TJYE4XHHX2</t>
  </si>
  <si>
    <t>7XE5YV5HX2</t>
  </si>
  <si>
    <t>G7DNCXHHX2</t>
  </si>
  <si>
    <t>79QA5W9HX2</t>
  </si>
  <si>
    <t>37277W5HX2</t>
  </si>
  <si>
    <t>PDBBSVMHX2</t>
  </si>
  <si>
    <t>4U7J4WMHX2</t>
  </si>
  <si>
    <t>FUV8EYHHX2</t>
  </si>
  <si>
    <t>L4PS3X9HX2</t>
  </si>
  <si>
    <t>TUSQNYHHX2</t>
  </si>
  <si>
    <t>4FNJVWMHX2</t>
  </si>
  <si>
    <t>FCKJBXMHX2</t>
  </si>
  <si>
    <t>Khoản tín dụng quảng cáo</t>
  </si>
  <si>
    <t>—</t>
  </si>
  <si>
    <t>ZUCFAY5HX2</t>
  </si>
  <si>
    <t>3R2K9ZZGX2</t>
  </si>
  <si>
    <t>CKK382EHX4</t>
  </si>
  <si>
    <t>KKNCNYRHX2</t>
  </si>
  <si>
    <t>Trang tính3</t>
  </si>
  <si>
    <t>8FPGNV5HX2</t>
  </si>
  <si>
    <t>5UK7RV9HX2</t>
  </si>
  <si>
    <t>PJNTSVDHX2</t>
  </si>
  <si>
    <t>A3MDYVDHX2</t>
  </si>
  <si>
    <t>9KB5YVVGX2</t>
  </si>
  <si>
    <t>WD9MTV9HX2</t>
  </si>
  <si>
    <t>FB67BWZGX2</t>
  </si>
  <si>
    <t>646DTV9HX2</t>
  </si>
  <si>
    <t>2AP6GWZGX2</t>
  </si>
  <si>
    <t>J375WV9HX2</t>
  </si>
  <si>
    <t>7UXH3W9HX2</t>
  </si>
  <si>
    <t>NC2CYYRHX2</t>
  </si>
  <si>
    <t>BZSH3ZRHX2</t>
  </si>
  <si>
    <t>T9BR8W9HX2</t>
  </si>
  <si>
    <t>6L7MAW5HX2</t>
  </si>
  <si>
    <t>YC7B8W5HX2</t>
  </si>
  <si>
    <t>CZHFMWVGX2</t>
  </si>
  <si>
    <t>X48ASWDHX2</t>
  </si>
  <si>
    <t>XBGWAXZGX2</t>
  </si>
  <si>
    <t>RSTNVZRHX2</t>
  </si>
  <si>
    <t>2TQCKXZGX2</t>
  </si>
  <si>
    <t>VC53UXZGX2</t>
  </si>
  <si>
    <t>ZCMJHWMHX2</t>
  </si>
  <si>
    <t>ZXCQMXDHX2</t>
  </si>
  <si>
    <t>QJ9WPX9HX2</t>
  </si>
  <si>
    <t>EXNE7XMHX2</t>
  </si>
  <si>
    <t>6VKDRXVHX2</t>
  </si>
  <si>
    <t>UV52KYVGX2</t>
  </si>
  <si>
    <t>KT23VYDHX2</t>
  </si>
  <si>
    <t>SV5QSY5HX2</t>
  </si>
  <si>
    <t>JJEZHU5AF2</t>
  </si>
  <si>
    <t>01 Quang Huy ADS (+8) (10221992</t>
  </si>
  <si>
    <t>2HA7QV9AF2</t>
  </si>
  <si>
    <t>YLHQNVHAF2</t>
  </si>
  <si>
    <t>9SAQ2V5AF2</t>
  </si>
  <si>
    <t>8HGTPVZAF2</t>
  </si>
  <si>
    <t>5U8D3WHAF2</t>
  </si>
  <si>
    <t>G22EPVVFX2</t>
  </si>
  <si>
    <t>02 Quang Huy ADS (+8) (16502025</t>
  </si>
  <si>
    <t>SKJF3ZRFX2</t>
  </si>
  <si>
    <t>FP4DBWMGX2</t>
  </si>
  <si>
    <t>YU4VJVDGX2</t>
  </si>
  <si>
    <t>LVJMSVVFX2</t>
  </si>
  <si>
    <t>NN57HYHGX2</t>
  </si>
  <si>
    <t>BJAKAV9GX2</t>
  </si>
  <si>
    <t>33R5SWMFX2</t>
  </si>
  <si>
    <t>NXUUAVZFX2</t>
  </si>
  <si>
    <t>7PJ2EV9GX2</t>
  </si>
  <si>
    <t>MPDZTWMFX2</t>
  </si>
  <si>
    <t>64P6YWMFX2</t>
  </si>
  <si>
    <t>96WPDZRFX2</t>
  </si>
  <si>
    <t>KYPKLVZFX2</t>
  </si>
  <si>
    <t>VASDPVZFX2</t>
  </si>
  <si>
    <t>SUK82XMGX2</t>
  </si>
  <si>
    <t>RJCL2W9GX2</t>
  </si>
  <si>
    <t>NRXXLWVFX2</t>
  </si>
  <si>
    <t>Z6QKPXMFX2</t>
  </si>
  <si>
    <t>J5H5GZHGX2</t>
  </si>
  <si>
    <t>YDGWRZHGX2</t>
  </si>
  <si>
    <t>FQFSZV5GX2</t>
  </si>
  <si>
    <t>RGVW3YMFX2</t>
  </si>
  <si>
    <t>V4M6ZXMGX2</t>
  </si>
  <si>
    <t>UT33JW5GX2</t>
  </si>
  <si>
    <t>MJHCY2NFX4</t>
  </si>
  <si>
    <t>K9J8CYMGX2</t>
  </si>
  <si>
    <t>W86973NFX4</t>
  </si>
  <si>
    <t>R87CFXZFX2</t>
  </si>
  <si>
    <t>56SRQX9GX2</t>
  </si>
  <si>
    <t>073</t>
  </si>
  <si>
    <t>https://drive.google.com/drive/folders/1xP_Nyj6cgr9GhQ-nyyWJhYS7xMKwUqxk?usp=sharing</t>
  </si>
  <si>
    <t>Visa ···· 8879</t>
  </si>
  <si>
    <t>SMXYPVDHX2</t>
  </si>
  <si>
    <t>7,411,668</t>
  </si>
  <si>
    <t>Trang tính17</t>
  </si>
  <si>
    <t>TTF6SVVGX2</t>
  </si>
  <si>
    <t>6,798,045</t>
  </si>
  <si>
    <t>L8LF6VVHX2</t>
  </si>
  <si>
    <t>Trang tính9</t>
  </si>
  <si>
    <t>Không khớp</t>
  </si>
  <si>
    <t>N8EH9VVHX2</t>
  </si>
  <si>
    <t>4,351,815</t>
  </si>
  <si>
    <t>Trang tính4</t>
  </si>
  <si>
    <t>A3UKDVVHX2</t>
  </si>
  <si>
    <t>10,670,416</t>
  </si>
  <si>
    <t>JSAF7XHHX2</t>
  </si>
  <si>
    <t>4,084,907</t>
  </si>
  <si>
    <t>K6BSZVDHX2</t>
  </si>
  <si>
    <t>2,963,857</t>
  </si>
  <si>
    <t>L55KAVMHX2</t>
  </si>
  <si>
    <t>BASK8WDHX2</t>
  </si>
  <si>
    <t>7,524,770</t>
  </si>
  <si>
    <t>982SSVVHX2</t>
  </si>
  <si>
    <t>9,236,479</t>
  </si>
  <si>
    <t>67CRAZRHX2</t>
  </si>
  <si>
    <t>4DUTKWDHX2</t>
  </si>
  <si>
    <t>GXMMSXHHX2</t>
  </si>
  <si>
    <t>4,202,598</t>
  </si>
  <si>
    <t>A6YRTVMHX2</t>
  </si>
  <si>
    <t>ZJGGXXHHX2</t>
  </si>
  <si>
    <t>5,551,165</t>
  </si>
  <si>
    <t>5RJMAXZGX2</t>
  </si>
  <si>
    <t>11,770,471</t>
  </si>
  <si>
    <t>4LV3EWVHX2</t>
  </si>
  <si>
    <t>5,034,060</t>
  </si>
  <si>
    <t>9YTY5WMHX2</t>
  </si>
  <si>
    <t>5,597,162</t>
  </si>
  <si>
    <t>DS584XDHX2</t>
  </si>
  <si>
    <t>LZ5N4X5HX2</t>
  </si>
  <si>
    <t>12,867,452</t>
  </si>
  <si>
    <t>BJC6MYHHX2</t>
  </si>
  <si>
    <t>9,242,284</t>
  </si>
  <si>
    <t>8E3WYXZGX2</t>
  </si>
  <si>
    <t>10,904,252</t>
  </si>
  <si>
    <t>GUFYPXVGX2</t>
  </si>
  <si>
    <t>11,911,438</t>
  </si>
  <si>
    <t>RSFLPX9HX2</t>
  </si>
  <si>
    <t>13,823,059</t>
  </si>
  <si>
    <t>4EA6R2NHX4</t>
  </si>
  <si>
    <t>73ZXYXDHX2</t>
  </si>
  <si>
    <t>7,308,568</t>
  </si>
  <si>
    <t>PRAHUX5HX2</t>
  </si>
  <si>
    <t>CSM5NXVHX2</t>
  </si>
  <si>
    <t>16,062,786</t>
  </si>
  <si>
    <t>GBP7BYDHX2</t>
  </si>
  <si>
    <t>5,670,457</t>
  </si>
  <si>
    <t>KSA8CYDHX2</t>
  </si>
  <si>
    <t>SC5R9Y9HX2</t>
  </si>
  <si>
    <t>DWAJ7Y5HX2</t>
  </si>
  <si>
    <t>2YNZUXVHX2</t>
  </si>
  <si>
    <t>PFYPDY9HX2</t>
  </si>
  <si>
    <t>X7CQQZHHX2</t>
  </si>
  <si>
    <t>BGTCTZHHX2</t>
  </si>
  <si>
    <t>SZKX6YVHX2</t>
  </si>
  <si>
    <t>13,897,056</t>
  </si>
  <si>
    <t>UN9CRY9HX2</t>
  </si>
  <si>
    <t>15,249,838</t>
  </si>
  <si>
    <t>MCP36YMHX2</t>
  </si>
  <si>
    <t>17,350,231</t>
  </si>
  <si>
    <t>RGQ36YMHX2</t>
  </si>
  <si>
    <t>99891-989</t>
  </si>
  <si>
    <t>Visa ···· 1695</t>
  </si>
  <si>
    <t>BH9QKV9HX2</t>
  </si>
  <si>
    <t>Trang tính6</t>
  </si>
  <si>
    <t>GLQJYWHHX2</t>
  </si>
  <si>
    <t>35Z5NYRHX2</t>
  </si>
  <si>
    <t>GBQSSV5HX2</t>
  </si>
  <si>
    <t>NJHUZV5HX2</t>
  </si>
  <si>
    <t>KGZ7GWDHX2</t>
  </si>
  <si>
    <t>J2K6PWVGX2</t>
  </si>
  <si>
    <t>6TCGVZRHX2</t>
  </si>
  <si>
    <t>UQEQKVZEC2</t>
  </si>
  <si>
    <t>Lý ADS - Green Vita 01 (1507622</t>
  </si>
  <si>
    <t>Quốc Anh-BSH Hưng Việt</t>
  </si>
  <si>
    <t>Visa ···· 9330</t>
  </si>
  <si>
    <t>M2BVLVMJF2</t>
  </si>
  <si>
    <t>Trang tính20</t>
  </si>
  <si>
    <t>U52CCVDJF2</t>
  </si>
  <si>
    <t>JHT92VMGF2</t>
  </si>
  <si>
    <t>Trang tính23</t>
  </si>
  <si>
    <t>8Q7KWV9HF2</t>
  </si>
  <si>
    <t>Không cộng</t>
  </si>
  <si>
    <t>VPJ26VRGF2</t>
  </si>
  <si>
    <t>9352MVHJF2</t>
  </si>
  <si>
    <t>MLN55W9HF2</t>
  </si>
  <si>
    <t>7MDDWVMJF2</t>
  </si>
  <si>
    <t>WBQA2WMJF2</t>
  </si>
  <si>
    <t>PHHTUVHJF2</t>
  </si>
  <si>
    <t>9GZX2XZHF2</t>
  </si>
  <si>
    <t>YVBDDVRGF2</t>
  </si>
  <si>
    <t>HS86QVDGF2</t>
  </si>
  <si>
    <t>WBNTDVRGF2</t>
  </si>
  <si>
    <t>NNPSKVRGF2</t>
  </si>
  <si>
    <t>3VT36XVHF2</t>
  </si>
  <si>
    <t>UL86VXZGF2</t>
  </si>
  <si>
    <t>JHYGYWMHF2</t>
  </si>
  <si>
    <t>NZX9MW9HF2</t>
  </si>
  <si>
    <t>KULL5XMHF2</t>
  </si>
  <si>
    <t>DZ374VVGF2</t>
  </si>
  <si>
    <t>SESL8WDGF2</t>
  </si>
  <si>
    <t>HUBU9V5HF2</t>
  </si>
  <si>
    <t>AN7HHXVHF2</t>
  </si>
  <si>
    <t>L4PB5WMGF2</t>
  </si>
  <si>
    <t>V7KTQXZHF2</t>
  </si>
  <si>
    <t>TKUWTWMJF2</t>
  </si>
  <si>
    <t>9GTLNV5HF2</t>
  </si>
  <si>
    <t>LN74BWRGF2</t>
  </si>
  <si>
    <t>HZ6ATWRHF2</t>
  </si>
  <si>
    <t>2BCYMWDJF2</t>
  </si>
  <si>
    <t>XCWF2YZHF2</t>
  </si>
  <si>
    <t>C5AEDWRGF2</t>
  </si>
  <si>
    <t>PH4TZWHJF2</t>
  </si>
  <si>
    <t>H4A4PWRGF2</t>
  </si>
  <si>
    <t>KEN9HYZHF2</t>
  </si>
  <si>
    <t>3CHR9XDGF2</t>
  </si>
  <si>
    <t>7TNYCW5JF2</t>
  </si>
  <si>
    <t>SQJ3GWVGF2</t>
  </si>
  <si>
    <t>LSF7YYMHF2</t>
  </si>
  <si>
    <t>S7A3MXRGF2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</si>
</sst>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* #,##0_);_(* \(#,##0\);_(* &quot;-&quot;??_);_(@_)"/>
    <numFmt numFmtId="165" formatCode="#,##0\ [$đ-42A]"/>
    <numFmt numFmtId="166" formatCode="0.0%"/>
    <numFmt numFmtId="167" formatCode="#,##0[$ ₫]"/>
    <numFmt numFmtId="168" formatCode="d\ &quot;Tháng &quot;m\,\ yyyy"/>
    <numFmt numFmtId="169" formatCode="#,##0&quot;₫&quot;"/>
  </numFmts>
  <fonts count="72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b/>
      <sz val="10"/>
      <color rgb="FFFF0000"/>
      <name val="Times New Roman"/>
    </font>
    <font>
      <sz val="10"/>
      <color theme="1"/>
      <name val="Arial"/>
      <scheme val="minor"/>
    </font>
    <font>
      <sz val="11"/>
      <color theme="1"/>
      <name val="Calibri"/>
    </font>
    <font>
      <sz val="11"/>
      <color rgb="FFFF0000"/>
      <name val="Calibri"/>
    </font>
    <font>
      <b/>
      <sz val="12"/>
      <color theme="1"/>
      <name val="Arial"/>
      <scheme val="minor"/>
    </font>
    <font>
      <b/>
      <sz val="10"/>
      <color rgb="FFFF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Times New Roman"/>
    </font>
    <font>
      <b/>
      <sz val="16"/>
      <color rgb="FFFF0000"/>
      <name val="Times New Roman"/>
    </font>
    <font>
      <b/>
      <sz val="14"/>
      <color theme="1"/>
      <name val="Times New Roman"/>
    </font>
    <font>
      <u/>
      <sz val="10"/>
      <color rgb="FF0000FF"/>
      <name val="Arial"/>
    </font>
    <font>
      <b/>
      <sz val="11"/>
      <color theme="1"/>
      <name val="Arial"/>
      <scheme val="minor"/>
    </font>
    <font>
      <sz val="10"/>
      <color theme="1"/>
      <name val="Times New Roman"/>
    </font>
    <font>
      <u/>
      <sz val="10"/>
      <color rgb="FF0000FF"/>
      <name val="Arial"/>
    </font>
    <font>
      <b/>
      <sz val="10"/>
      <color rgb="FFFF0000"/>
      <name val="Merriweather"/>
    </font>
    <font>
      <sz val="11"/>
      <color rgb="FF101828"/>
      <name val="Arial"/>
    </font>
    <font>
      <b/>
      <sz val="12"/>
      <color theme="1"/>
      <name val="Times New Roman"/>
    </font>
    <font>
      <u/>
      <sz val="10"/>
      <color rgb="FF0000FF"/>
      <name val="Arial"/>
    </font>
    <font>
      <sz val="11"/>
      <color theme="1"/>
      <name val="Times New Roman"/>
    </font>
    <font>
      <sz val="11"/>
      <color rgb="FF1C2B33"/>
      <name val="Arial"/>
    </font>
    <font>
      <sz val="11"/>
      <color theme="1"/>
      <name val="Roboto"/>
    </font>
    <font>
      <u/>
      <sz val="10"/>
      <color rgb="FF0000FF"/>
      <name val="Arial"/>
    </font>
    <font>
      <sz val="11"/>
      <color theme="1"/>
      <name val="Arial"/>
      <scheme val="minor"/>
    </font>
    <font>
      <b/>
      <sz val="11"/>
      <color rgb="FFFF0000"/>
      <name val="Arial"/>
      <scheme val="minor"/>
    </font>
    <font>
      <sz val="11"/>
      <color rgb="FFFF0000"/>
      <name val="Arial"/>
      <scheme val="minor"/>
    </font>
    <font>
      <u/>
      <sz val="10"/>
      <color rgb="FF1155CC"/>
      <name val="Arial"/>
    </font>
    <font>
      <b/>
      <sz val="11"/>
      <color rgb="FF1C2B33"/>
      <name val="Arial"/>
      <scheme val="minor"/>
    </font>
    <font>
      <u/>
      <sz val="10"/>
      <color rgb="FF0000FF"/>
      <name val="Arial"/>
    </font>
    <font>
      <b/>
      <sz val="11"/>
      <color rgb="FF1F1F1F"/>
      <name val="&quot;Google Sans&quot;"/>
    </font>
    <font>
      <b/>
      <sz val="13"/>
      <color rgb="FFFF00FF"/>
      <name val="Arial"/>
      <scheme val="minor"/>
    </font>
    <font>
      <sz val="13"/>
      <color rgb="FFFF00FF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FF0000"/>
      <name val="Arial"/>
      <scheme val="minor"/>
    </font>
    <font>
      <b/>
      <sz val="10"/>
      <color rgb="FFFF00FF"/>
      <name val="Arial"/>
      <scheme val="minor"/>
    </font>
    <font>
      <sz val="10"/>
      <color rgb="FFFF00FF"/>
      <name val="Arial"/>
      <scheme val="minor"/>
    </font>
    <font>
      <b/>
      <sz val="11"/>
      <color rgb="FFFF0000"/>
      <name val="Times New Roman"/>
    </font>
    <font>
      <sz val="11"/>
      <color rgb="FFFF0000"/>
      <name val="Times New Roman"/>
    </font>
    <font>
      <sz val="11"/>
      <color rgb="FF101828"/>
      <name val="Times New Roman"/>
    </font>
    <font>
      <b/>
      <sz val="11"/>
      <color theme="1"/>
      <name val="Calibri"/>
    </font>
    <font>
      <b/>
      <sz val="12"/>
      <color theme="1"/>
      <name val="Calibri"/>
    </font>
    <font>
      <b/>
      <sz val="12"/>
      <color rgb="FFFF0000"/>
      <name val="Calibri"/>
    </font>
    <font>
      <b/>
      <u/>
      <sz val="11"/>
      <color rgb="FFFF0000"/>
      <name val="Arial"/>
    </font>
    <font>
      <u/>
      <sz val="10"/>
      <color rgb="FF0000FF"/>
      <name val="Arial"/>
    </font>
    <font>
      <b/>
      <i/>
      <sz val="10"/>
      <color theme="1"/>
      <name val="Arial"/>
      <scheme val="minor"/>
    </font>
    <font>
      <sz val="11"/>
      <color rgb="FF000000"/>
      <name val="Arial"/>
    </font>
    <font>
      <i/>
      <sz val="10"/>
      <color theme="1"/>
      <name val="Arial"/>
      <scheme val="minor"/>
    </font>
    <font>
      <i/>
      <sz val="10"/>
      <color theme="1"/>
      <name val="Arial"/>
      <scheme val="minor"/>
    </font>
    <font>
      <b/>
      <i/>
      <sz val="11"/>
      <color theme="1"/>
      <name val="Times New Roman"/>
    </font>
    <font>
      <i/>
      <sz val="11"/>
      <color rgb="FF101828"/>
      <name val="Arial"/>
    </font>
    <font>
      <u/>
      <sz val="10"/>
      <color rgb="FF0000FF"/>
      <name val="Arial"/>
    </font>
    <font>
      <sz val="10"/>
      <color rgb="FF000000"/>
      <name val="Arial"/>
    </font>
    <font>
      <i/>
      <sz val="10"/>
      <color rgb="FF000000"/>
      <name val="Arial"/>
    </font>
    <font>
      <i/>
      <sz val="10"/>
      <color rgb="FF1C2B33"/>
      <name val="Arial"/>
    </font>
    <font>
      <sz val="11"/>
      <color rgb="FF1C2B33"/>
      <name val="&quot;Optimistic 95&quot;"/>
    </font>
    <font>
      <sz val="10"/>
      <color rgb="FF000000"/>
      <name val="-apple-system-body"/>
    </font>
    <font>
      <b/>
      <sz val="11"/>
      <color rgb="FF101828"/>
      <name val="Arial"/>
    </font>
    <font>
      <b/>
      <sz val="11"/>
      <color rgb="FF000000"/>
      <name val="Arial"/>
    </font>
    <font>
      <sz val="11"/>
      <color rgb="FFFFFFFF"/>
      <name val="Arial"/>
    </font>
    <font>
      <u/>
      <sz val="10"/>
      <color theme="1"/>
      <name val="Arial"/>
      <scheme val="minor"/>
    </font>
    <font>
      <sz val="10"/>
      <color rgb="FF465A69"/>
      <name val="Arial"/>
      <scheme val="minor"/>
    </font>
    <font>
      <sz val="9"/>
      <color rgb="FF465A69"/>
      <name val="&quot;Optimistic 95&quot;"/>
    </font>
  </fonts>
  <fills count="2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B0F0"/>
        <bgColor rgb="FF00B0F0"/>
      </patternFill>
    </fill>
    <fill>
      <patternFill patternType="solid">
        <fgColor rgb="FFED7D31"/>
        <bgColor rgb="FFED7D31"/>
      </patternFill>
    </fill>
    <fill>
      <patternFill patternType="solid">
        <fgColor rgb="FFFEF2CB"/>
        <bgColor rgb="FFFEF2CB"/>
      </patternFill>
    </fill>
    <fill>
      <patternFill patternType="solid">
        <fgColor rgb="FFF3F3F3"/>
        <bgColor rgb="FFF3F3F3"/>
      </patternFill>
    </fill>
    <fill>
      <patternFill patternType="solid">
        <fgColor rgb="FFDEEAF6"/>
        <bgColor rgb="FFDEEAF6"/>
      </patternFill>
    </fill>
    <fill>
      <patternFill patternType="solid">
        <fgColor rgb="FFFF0000"/>
        <bgColor rgb="FFFF0000"/>
      </patternFill>
    </fill>
    <fill>
      <patternFill patternType="solid">
        <fgColor rgb="FFEAECF0"/>
        <bgColor rgb="FFEAECF0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DDE3EA"/>
        <bgColor rgb="FFDDE3EA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EB139"/>
      </left>
      <right/>
      <top style="thin">
        <color rgb="FFFEB139"/>
      </top>
      <bottom/>
      <diagonal/>
    </border>
    <border>
      <left/>
      <right/>
      <top style="thin">
        <color rgb="FFFEB139"/>
      </top>
      <bottom/>
      <diagonal/>
    </border>
    <border>
      <left/>
      <right style="thin">
        <color rgb="FFFEB139"/>
      </right>
      <top style="thin">
        <color rgb="FFFEB13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FEB139"/>
      </left>
      <right style="thin">
        <color rgb="FFFEB139"/>
      </right>
      <top style="thin">
        <color rgb="FFFEB139"/>
      </top>
      <bottom/>
      <diagonal/>
    </border>
  </borders>
  <cellStyleXfs count="1">
    <xf numFmtId="0" fontId="0" fillId="0" borderId="12"/>
  </cellStyleXfs>
  <cellXfs count="397">
    <xf numFmtId="0" fontId="0" fillId="0" borderId="0" xfId="0" applyBorder="1"/>
    <xf numFmtId="0" fontId="1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5" fillId="2" borderId="0" xfId="0" applyFont="1" applyFill="1" applyBorder="1"/>
    <xf numFmtId="0" fontId="6" fillId="0" borderId="1" xfId="0" applyFont="1" applyBorder="1"/>
    <xf numFmtId="164" fontId="4" fillId="0" borderId="0" xfId="0" applyNumberFormat="1" applyFont="1" applyBorder="1"/>
    <xf numFmtId="14" fontId="4" fillId="0" borderId="0" xfId="0" applyNumberFormat="1" applyFont="1" applyBorder="1"/>
    <xf numFmtId="3" fontId="2" fillId="2" borderId="1" xfId="0" applyNumberFormat="1" applyFont="1" applyFill="1" applyBorder="1" applyAlignment="1">
      <alignment wrapText="1"/>
    </xf>
    <xf numFmtId="0" fontId="8" fillId="3" borderId="1" xfId="0" applyFont="1" applyFill="1" applyBorder="1"/>
    <xf numFmtId="165" fontId="2" fillId="2" borderId="1" xfId="0" applyNumberFormat="1" applyFont="1" applyFill="1" applyBorder="1" applyAlignment="1">
      <alignment horizontal="right" wrapText="1"/>
    </xf>
    <xf numFmtId="0" fontId="9" fillId="5" borderId="7" xfId="0" applyFont="1" applyFill="1" applyBorder="1"/>
    <xf numFmtId="0" fontId="12" fillId="3" borderId="1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/>
    </xf>
    <xf numFmtId="49" fontId="11" fillId="4" borderId="1" xfId="0" applyNumberFormat="1" applyFont="1" applyFill="1" applyBorder="1" applyAlignment="1">
      <alignment horizontal="center" wrapText="1"/>
    </xf>
    <xf numFmtId="0" fontId="4" fillId="5" borderId="8" xfId="0" applyFont="1" applyFill="1" applyBorder="1"/>
    <xf numFmtId="0" fontId="13" fillId="3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/>
    </xf>
    <xf numFmtId="3" fontId="11" fillId="6" borderId="1" xfId="0" applyNumberFormat="1" applyFont="1" applyFill="1" applyBorder="1" applyAlignment="1">
      <alignment horizontal="center" wrapText="1"/>
    </xf>
    <xf numFmtId="3" fontId="11" fillId="7" borderId="1" xfId="0" applyNumberFormat="1" applyFont="1" applyFill="1" applyBorder="1" applyAlignment="1">
      <alignment horizontal="center" wrapText="1"/>
    </xf>
    <xf numFmtId="3" fontId="11" fillId="8" borderId="1" xfId="0" applyNumberFormat="1" applyFont="1" applyFill="1" applyBorder="1" applyAlignment="1">
      <alignment horizontal="center" wrapText="1"/>
    </xf>
    <xf numFmtId="166" fontId="2" fillId="2" borderId="1" xfId="0" applyNumberFormat="1" applyFont="1" applyFill="1" applyBorder="1" applyAlignment="1">
      <alignment horizontal="center"/>
    </xf>
    <xf numFmtId="3" fontId="11" fillId="9" borderId="1" xfId="0" applyNumberFormat="1" applyFont="1" applyFill="1" applyBorder="1" applyAlignment="1">
      <alignment horizontal="center" wrapText="1"/>
    </xf>
    <xf numFmtId="0" fontId="14" fillId="10" borderId="1" xfId="0" applyFont="1" applyFill="1" applyBorder="1" applyAlignment="1">
      <alignment horizontal="right"/>
    </xf>
    <xf numFmtId="2" fontId="11" fillId="11" borderId="1" xfId="0" applyNumberFormat="1" applyFont="1" applyFill="1" applyBorder="1" applyAlignment="1">
      <alignment horizontal="center" wrapText="1"/>
    </xf>
    <xf numFmtId="14" fontId="14" fillId="10" borderId="1" xfId="0" applyNumberFormat="1" applyFont="1" applyFill="1" applyBorder="1" applyAlignment="1">
      <alignment horizontal="right"/>
    </xf>
    <xf numFmtId="0" fontId="15" fillId="3" borderId="1" xfId="0" applyFont="1" applyFill="1" applyBorder="1" applyAlignment="1">
      <alignment horizontal="left" vertical="center"/>
    </xf>
    <xf numFmtId="0" fontId="4" fillId="5" borderId="9" xfId="0" applyFont="1" applyFill="1" applyBorder="1"/>
    <xf numFmtId="0" fontId="11" fillId="12" borderId="1" xfId="0" applyFont="1" applyFill="1" applyBorder="1" applyAlignment="1">
      <alignment horizontal="center" wrapText="1"/>
    </xf>
    <xf numFmtId="0" fontId="8" fillId="2" borderId="0" xfId="0" applyFont="1" applyFill="1" applyBorder="1"/>
    <xf numFmtId="14" fontId="9" fillId="0" borderId="1" xfId="0" applyNumberFormat="1" applyFont="1" applyBorder="1" applyAlignment="1">
      <alignment horizontal="center"/>
    </xf>
    <xf numFmtId="0" fontId="16" fillId="5" borderId="1" xfId="0" applyFont="1" applyFill="1" applyBorder="1"/>
    <xf numFmtId="0" fontId="16" fillId="5" borderId="1" xfId="0" applyFont="1" applyFill="1" applyBorder="1" applyAlignment="1">
      <alignment wrapText="1"/>
    </xf>
    <xf numFmtId="3" fontId="18" fillId="2" borderId="1" xfId="0" applyNumberFormat="1" applyFont="1" applyFill="1" applyBorder="1"/>
    <xf numFmtId="10" fontId="14" fillId="10" borderId="1" xfId="0" applyNumberFormat="1" applyFont="1" applyFill="1" applyBorder="1" applyAlignment="1">
      <alignment horizontal="center"/>
    </xf>
    <xf numFmtId="0" fontId="14" fillId="14" borderId="1" xfId="0" applyFont="1" applyFill="1" applyBorder="1" applyAlignment="1">
      <alignment horizontal="right"/>
    </xf>
    <xf numFmtId="14" fontId="14" fillId="14" borderId="1" xfId="0" applyNumberFormat="1" applyFont="1" applyFill="1" applyBorder="1" applyAlignment="1">
      <alignment horizontal="right"/>
    </xf>
    <xf numFmtId="0" fontId="19" fillId="3" borderId="1" xfId="0" applyFont="1" applyFill="1" applyBorder="1" applyAlignment="1">
      <alignment horizontal="left"/>
    </xf>
    <xf numFmtId="165" fontId="3" fillId="0" borderId="1" xfId="0" applyNumberFormat="1" applyFont="1" applyBorder="1"/>
    <xf numFmtId="10" fontId="14" fillId="14" borderId="1" xfId="0" applyNumberFormat="1" applyFont="1" applyFill="1" applyBorder="1" applyAlignment="1">
      <alignment horizontal="center"/>
    </xf>
    <xf numFmtId="10" fontId="3" fillId="0" borderId="1" xfId="0" applyNumberFormat="1" applyFont="1" applyBorder="1"/>
    <xf numFmtId="10" fontId="7" fillId="0" borderId="1" xfId="0" applyNumberFormat="1" applyFont="1" applyBorder="1"/>
    <xf numFmtId="14" fontId="4" fillId="0" borderId="1" xfId="0" applyNumberFormat="1" applyFont="1" applyBorder="1"/>
    <xf numFmtId="165" fontId="7" fillId="0" borderId="1" xfId="0" applyNumberFormat="1" applyFont="1" applyBorder="1"/>
    <xf numFmtId="0" fontId="8" fillId="3" borderId="1" xfId="0" applyFont="1" applyFill="1" applyBorder="1" applyAlignment="1">
      <alignment horizontal="left"/>
    </xf>
    <xf numFmtId="165" fontId="14" fillId="2" borderId="1" xfId="0" applyNumberFormat="1" applyFont="1" applyFill="1" applyBorder="1" applyAlignment="1">
      <alignment horizontal="center"/>
    </xf>
    <xf numFmtId="0" fontId="9" fillId="0" borderId="1" xfId="0" applyFont="1" applyBorder="1"/>
    <xf numFmtId="164" fontId="9" fillId="0" borderId="1" xfId="0" applyNumberFormat="1" applyFont="1" applyBorder="1" applyAlignment="1">
      <alignment horizontal="right"/>
    </xf>
    <xf numFmtId="3" fontId="11" fillId="2" borderId="1" xfId="0" applyNumberFormat="1" applyFont="1" applyFill="1" applyBorder="1"/>
    <xf numFmtId="49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8" fillId="15" borderId="1" xfId="0" applyFont="1" applyFill="1" applyBorder="1"/>
    <xf numFmtId="0" fontId="23" fillId="15" borderId="1" xfId="0" applyFont="1" applyFill="1" applyBorder="1" applyAlignment="1">
      <alignment horizontal="left"/>
    </xf>
    <xf numFmtId="0" fontId="24" fillId="15" borderId="1" xfId="0" applyFont="1" applyFill="1" applyBorder="1" applyAlignment="1">
      <alignment vertical="center"/>
    </xf>
    <xf numFmtId="0" fontId="3" fillId="0" borderId="1" xfId="0" applyFont="1" applyBorder="1"/>
    <xf numFmtId="49" fontId="26" fillId="0" borderId="1" xfId="0" applyNumberFormat="1" applyFont="1" applyBorder="1" applyAlignment="1">
      <alignment horizontal="center"/>
    </xf>
    <xf numFmtId="165" fontId="26" fillId="0" borderId="1" xfId="0" applyNumberFormat="1" applyFont="1" applyBorder="1"/>
    <xf numFmtId="0" fontId="8" fillId="15" borderId="1" xfId="0" applyFont="1" applyFill="1" applyBorder="1" applyAlignment="1">
      <alignment horizontal="left"/>
    </xf>
    <xf numFmtId="0" fontId="8" fillId="15" borderId="1" xfId="0" applyFont="1" applyFill="1" applyBorder="1" applyAlignment="1">
      <alignment horizontal="left" vertical="center"/>
    </xf>
    <xf numFmtId="10" fontId="26" fillId="0" borderId="1" xfId="0" applyNumberFormat="1" applyFont="1" applyBorder="1"/>
    <xf numFmtId="10" fontId="25" fillId="0" borderId="1" xfId="0" applyNumberFormat="1" applyFont="1" applyBorder="1"/>
    <xf numFmtId="0" fontId="26" fillId="0" borderId="0" xfId="0" applyFont="1" applyBorder="1"/>
    <xf numFmtId="0" fontId="8" fillId="16" borderId="1" xfId="0" applyFont="1" applyFill="1" applyBorder="1"/>
    <xf numFmtId="165" fontId="3" fillId="0" borderId="0" xfId="0" applyNumberFormat="1" applyFont="1" applyBorder="1"/>
    <xf numFmtId="10" fontId="3" fillId="0" borderId="0" xfId="0" applyNumberFormat="1" applyFont="1" applyBorder="1"/>
    <xf numFmtId="165" fontId="7" fillId="0" borderId="0" xfId="0" applyNumberFormat="1" applyFont="1" applyBorder="1"/>
    <xf numFmtId="10" fontId="7" fillId="0" borderId="0" xfId="0" applyNumberFormat="1" applyFont="1" applyBorder="1"/>
    <xf numFmtId="0" fontId="5" fillId="0" borderId="0" xfId="0" applyFont="1" applyBorder="1"/>
    <xf numFmtId="0" fontId="27" fillId="16" borderId="1" xfId="0" applyFont="1" applyFill="1" applyBorder="1" applyAlignment="1">
      <alignment horizontal="left" wrapText="1"/>
    </xf>
    <xf numFmtId="0" fontId="18" fillId="0" borderId="1" xfId="0" applyFont="1" applyBorder="1"/>
    <xf numFmtId="164" fontId="20" fillId="0" borderId="0" xfId="0" applyNumberFormat="1" applyFont="1" applyBorder="1" applyAlignment="1">
      <alignment horizontal="right"/>
    </xf>
    <xf numFmtId="0" fontId="29" fillId="16" borderId="1" xfId="0" applyFont="1" applyFill="1" applyBorder="1" applyAlignment="1">
      <alignment horizontal="left" vertical="center"/>
    </xf>
    <xf numFmtId="165" fontId="4" fillId="0" borderId="1" xfId="0" applyNumberFormat="1" applyFont="1" applyBorder="1"/>
    <xf numFmtId="14" fontId="3" fillId="0" borderId="0" xfId="0" applyNumberFormat="1" applyFont="1" applyBorder="1"/>
    <xf numFmtId="0" fontId="30" fillId="17" borderId="0" xfId="0" applyFont="1" applyFill="1" applyBorder="1"/>
    <xf numFmtId="0" fontId="18" fillId="6" borderId="1" xfId="0" applyFont="1" applyFill="1" applyBorder="1" applyAlignment="1">
      <alignment horizontal="center" wrapText="1"/>
    </xf>
    <xf numFmtId="49" fontId="18" fillId="6" borderId="1" xfId="0" applyNumberFormat="1" applyFont="1" applyFill="1" applyBorder="1" applyAlignment="1">
      <alignment horizontal="center" wrapText="1"/>
    </xf>
    <xf numFmtId="0" fontId="8" fillId="16" borderId="1" xfId="0" applyFont="1" applyFill="1" applyBorder="1" applyAlignment="1">
      <alignment horizontal="left" wrapText="1"/>
    </xf>
    <xf numFmtId="0" fontId="8" fillId="16" borderId="1" xfId="0" applyFont="1" applyFill="1" applyBorder="1" applyAlignment="1">
      <alignment horizontal="left"/>
    </xf>
    <xf numFmtId="0" fontId="28" fillId="16" borderId="1" xfId="0" applyFont="1" applyFill="1" applyBorder="1" applyAlignment="1">
      <alignment vertical="center"/>
    </xf>
    <xf numFmtId="0" fontId="26" fillId="0" borderId="1" xfId="0" applyFont="1" applyBorder="1"/>
    <xf numFmtId="0" fontId="8" fillId="18" borderId="1" xfId="0" applyFont="1" applyFill="1" applyBorder="1"/>
    <xf numFmtId="0" fontId="32" fillId="0" borderId="1" xfId="0" applyFont="1" applyBorder="1"/>
    <xf numFmtId="0" fontId="33" fillId="18" borderId="1" xfId="0" applyFont="1" applyFill="1" applyBorder="1" applyAlignment="1">
      <alignment horizontal="left"/>
    </xf>
    <xf numFmtId="165" fontId="32" fillId="0" borderId="1" xfId="0" applyNumberFormat="1" applyFont="1" applyBorder="1"/>
    <xf numFmtId="0" fontId="24" fillId="18" borderId="1" xfId="0" applyFont="1" applyFill="1" applyBorder="1" applyAlignment="1">
      <alignment vertical="center"/>
    </xf>
    <xf numFmtId="0" fontId="34" fillId="18" borderId="1" xfId="0" applyFont="1" applyFill="1" applyBorder="1" applyAlignment="1">
      <alignment horizontal="left" vertical="center"/>
    </xf>
    <xf numFmtId="10" fontId="32" fillId="0" borderId="1" xfId="0" applyNumberFormat="1" applyFont="1" applyBorder="1"/>
    <xf numFmtId="10" fontId="31" fillId="0" borderId="1" xfId="0" applyNumberFormat="1" applyFont="1" applyBorder="1"/>
    <xf numFmtId="0" fontId="32" fillId="0" borderId="0" xfId="0" applyFont="1" applyBorder="1"/>
    <xf numFmtId="0" fontId="11" fillId="4" borderId="1" xfId="0" applyFont="1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 wrapText="1"/>
    </xf>
    <xf numFmtId="3" fontId="11" fillId="15" borderId="1" xfId="0" applyNumberFormat="1" applyFont="1" applyFill="1" applyBorder="1" applyAlignment="1">
      <alignment horizontal="center" wrapText="1"/>
    </xf>
    <xf numFmtId="3" fontId="11" fillId="16" borderId="1" xfId="0" applyNumberFormat="1" applyFont="1" applyFill="1" applyBorder="1" applyAlignment="1">
      <alignment horizontal="center" wrapText="1"/>
    </xf>
    <xf numFmtId="3" fontId="11" fillId="19" borderId="1" xfId="0" applyNumberFormat="1" applyFont="1" applyFill="1" applyBorder="1" applyAlignment="1">
      <alignment horizontal="center" wrapText="1"/>
    </xf>
    <xf numFmtId="3" fontId="11" fillId="18" borderId="1" xfId="0" applyNumberFormat="1" applyFont="1" applyFill="1" applyBorder="1" applyAlignment="1">
      <alignment horizontal="center" wrapText="1"/>
    </xf>
    <xf numFmtId="2" fontId="11" fillId="20" borderId="1" xfId="0" applyNumberFormat="1" applyFont="1" applyFill="1" applyBorder="1" applyAlignment="1">
      <alignment horizontal="center" wrapText="1"/>
    </xf>
    <xf numFmtId="2" fontId="11" fillId="3" borderId="1" xfId="0" applyNumberFormat="1" applyFont="1" applyFill="1" applyBorder="1" applyAlignment="1">
      <alignment horizontal="center" wrapText="1"/>
    </xf>
    <xf numFmtId="2" fontId="11" fillId="21" borderId="1" xfId="0" applyNumberFormat="1" applyFont="1" applyFill="1" applyBorder="1" applyAlignment="1">
      <alignment horizontal="center" wrapText="1"/>
    </xf>
    <xf numFmtId="0" fontId="11" fillId="22" borderId="1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8" fillId="18" borderId="1" xfId="0" applyFont="1" applyFill="1" applyBorder="1" applyAlignment="1">
      <alignment horizontal="left"/>
    </xf>
    <xf numFmtId="167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8" fillId="20" borderId="1" xfId="0" applyFont="1" applyFill="1" applyBorder="1"/>
    <xf numFmtId="0" fontId="8" fillId="20" borderId="1" xfId="0" applyFont="1" applyFill="1" applyBorder="1" applyAlignment="1">
      <alignment horizontal="left"/>
    </xf>
    <xf numFmtId="167" fontId="35" fillId="0" borderId="1" xfId="0" applyNumberFormat="1" applyFont="1" applyBorder="1" applyAlignment="1">
      <alignment horizontal="center" vertical="center"/>
    </xf>
    <xf numFmtId="0" fontId="36" fillId="20" borderId="1" xfId="0" applyFont="1" applyFill="1" applyBorder="1" applyAlignment="1">
      <alignment horizontal="left"/>
    </xf>
    <xf numFmtId="0" fontId="37" fillId="20" borderId="1" xfId="0" applyFont="1" applyFill="1" applyBorder="1" applyAlignment="1">
      <alignment horizontal="left" vertical="center"/>
    </xf>
    <xf numFmtId="3" fontId="11" fillId="2" borderId="0" xfId="0" applyNumberFormat="1" applyFont="1" applyFill="1" applyBorder="1" applyAlignment="1">
      <alignment horizontal="center"/>
    </xf>
    <xf numFmtId="0" fontId="8" fillId="24" borderId="1" xfId="0" applyFont="1" applyFill="1" applyBorder="1"/>
    <xf numFmtId="49" fontId="11" fillId="2" borderId="0" xfId="0" applyNumberFormat="1" applyFont="1" applyFill="1" applyBorder="1" applyAlignment="1">
      <alignment horizontal="center" wrapText="1"/>
    </xf>
    <xf numFmtId="0" fontId="11" fillId="2" borderId="0" xfId="0" applyFont="1" applyFill="1" applyBorder="1" applyAlignment="1">
      <alignment horizontal="center" wrapText="1"/>
    </xf>
    <xf numFmtId="0" fontId="38" fillId="24" borderId="1" xfId="0" applyFont="1" applyFill="1" applyBorder="1" applyAlignment="1">
      <alignment horizontal="left"/>
    </xf>
    <xf numFmtId="0" fontId="13" fillId="24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39" fillId="24" borderId="1" xfId="0" applyFont="1" applyFill="1" applyBorder="1" applyAlignment="1">
      <alignment horizontal="left" vertical="center"/>
    </xf>
    <xf numFmtId="0" fontId="8" fillId="24" borderId="1" xfId="0" applyFont="1" applyFill="1" applyBorder="1" applyAlignment="1">
      <alignment horizontal="left"/>
    </xf>
    <xf numFmtId="0" fontId="40" fillId="24" borderId="1" xfId="0" applyFont="1" applyFill="1" applyBorder="1" applyAlignment="1">
      <alignment horizontal="left"/>
    </xf>
    <xf numFmtId="0" fontId="7" fillId="0" borderId="1" xfId="0" applyFont="1" applyBorder="1"/>
    <xf numFmtId="3" fontId="2" fillId="2" borderId="0" xfId="0" applyNumberFormat="1" applyFont="1" applyFill="1" applyBorder="1" applyAlignment="1">
      <alignment horizontal="center" wrapText="1"/>
    </xf>
    <xf numFmtId="167" fontId="7" fillId="0" borderId="1" xfId="0" applyNumberFormat="1" applyFont="1" applyBorder="1"/>
    <xf numFmtId="3" fontId="3" fillId="0" borderId="1" xfId="0" applyNumberFormat="1" applyFont="1" applyBorder="1" applyAlignment="1">
      <alignment horizontal="center"/>
    </xf>
    <xf numFmtId="9" fontId="7" fillId="0" borderId="1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6" borderId="1" xfId="0" applyFont="1" applyFill="1" applyBorder="1"/>
    <xf numFmtId="10" fontId="7" fillId="0" borderId="1" xfId="0" applyNumberFormat="1" applyFont="1" applyBorder="1" applyAlignment="1">
      <alignment horizontal="center" vertical="center"/>
    </xf>
    <xf numFmtId="0" fontId="41" fillId="26" borderId="0" xfId="0" applyFont="1" applyFill="1" applyBorder="1" applyAlignment="1">
      <alignment horizontal="left"/>
    </xf>
    <xf numFmtId="0" fontId="28" fillId="26" borderId="1" xfId="0" applyFont="1" applyFill="1" applyBorder="1" applyAlignment="1">
      <alignment horizontal="left" vertical="center"/>
    </xf>
    <xf numFmtId="0" fontId="42" fillId="26" borderId="1" xfId="0" applyFont="1" applyFill="1" applyBorder="1" applyAlignment="1">
      <alignment horizontal="left" vertical="center"/>
    </xf>
    <xf numFmtId="0" fontId="8" fillId="26" borderId="1" xfId="0" applyFont="1" applyFill="1" applyBorder="1" applyAlignment="1">
      <alignment horizontal="left"/>
    </xf>
    <xf numFmtId="0" fontId="43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44" fillId="0" borderId="1" xfId="0" applyFont="1" applyBorder="1"/>
    <xf numFmtId="0" fontId="24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Border="1"/>
    <xf numFmtId="0" fontId="45" fillId="0" borderId="1" xfId="0" applyFont="1" applyBorder="1"/>
    <xf numFmtId="10" fontId="44" fillId="0" borderId="1" xfId="0" applyNumberFormat="1" applyFont="1" applyBorder="1"/>
    <xf numFmtId="0" fontId="44" fillId="0" borderId="0" xfId="0" applyFont="1" applyBorder="1"/>
    <xf numFmtId="2" fontId="11" fillId="26" borderId="1" xfId="0" applyNumberFormat="1" applyFont="1" applyFill="1" applyBorder="1" applyAlignment="1">
      <alignment horizontal="center" wrapText="1"/>
    </xf>
    <xf numFmtId="0" fontId="24" fillId="0" borderId="1" xfId="0" applyFont="1" applyBorder="1"/>
    <xf numFmtId="3" fontId="2" fillId="2" borderId="1" xfId="0" applyNumberFormat="1" applyFont="1" applyFill="1" applyBorder="1" applyAlignment="1">
      <alignment horizontal="center" wrapText="1"/>
    </xf>
    <xf numFmtId="0" fontId="25" fillId="0" borderId="1" xfId="0" applyFont="1" applyBorder="1"/>
    <xf numFmtId="165" fontId="3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11" fillId="4" borderId="1" xfId="0" applyFont="1" applyFill="1" applyBorder="1" applyAlignment="1">
      <alignment horizontal="center" wrapText="1"/>
    </xf>
    <xf numFmtId="165" fontId="7" fillId="0" borderId="1" xfId="0" applyNumberFormat="1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0" fontId="31" fillId="0" borderId="1" xfId="0" applyFont="1" applyBorder="1"/>
    <xf numFmtId="165" fontId="44" fillId="0" borderId="1" xfId="0" applyNumberFormat="1" applyFont="1" applyBorder="1"/>
    <xf numFmtId="165" fontId="44" fillId="0" borderId="1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0" fontId="44" fillId="0" borderId="0" xfId="0" applyNumberFormat="1" applyFont="1" applyBorder="1"/>
    <xf numFmtId="0" fontId="6" fillId="23" borderId="1" xfId="0" applyFont="1" applyFill="1" applyBorder="1" applyAlignment="1">
      <alignment wrapText="1"/>
    </xf>
    <xf numFmtId="3" fontId="46" fillId="2" borderId="2" xfId="0" applyNumberFormat="1" applyFont="1" applyFill="1" applyBorder="1" applyAlignment="1">
      <alignment horizontal="right" vertical="center"/>
    </xf>
    <xf numFmtId="3" fontId="46" fillId="2" borderId="3" xfId="0" applyNumberFormat="1" applyFont="1" applyFill="1" applyBorder="1" applyAlignment="1">
      <alignment horizontal="right" vertical="center"/>
    </xf>
    <xf numFmtId="3" fontId="46" fillId="2" borderId="3" xfId="0" applyNumberFormat="1" applyFont="1" applyFill="1" applyBorder="1" applyAlignment="1">
      <alignment horizontal="center" vertical="center"/>
    </xf>
    <xf numFmtId="3" fontId="46" fillId="2" borderId="4" xfId="0" applyNumberFormat="1" applyFont="1" applyFill="1" applyBorder="1" applyAlignment="1">
      <alignment horizontal="center" vertical="center"/>
    </xf>
    <xf numFmtId="0" fontId="47" fillId="2" borderId="0" xfId="0" applyFont="1" applyFill="1" applyBorder="1" applyAlignment="1">
      <alignment horizontal="center" vertical="center"/>
    </xf>
    <xf numFmtId="3" fontId="46" fillId="2" borderId="1" xfId="0" applyNumberFormat="1" applyFont="1" applyFill="1" applyBorder="1" applyAlignment="1">
      <alignment horizontal="center" vertical="center" wrapText="1"/>
    </xf>
    <xf numFmtId="3" fontId="46" fillId="2" borderId="0" xfId="0" applyNumberFormat="1" applyFont="1" applyFill="1" applyBorder="1" applyAlignment="1">
      <alignment horizontal="center" vertical="center" wrapText="1"/>
    </xf>
    <xf numFmtId="165" fontId="46" fillId="2" borderId="1" xfId="0" applyNumberFormat="1" applyFont="1" applyFill="1" applyBorder="1" applyAlignment="1">
      <alignment horizontal="center" vertical="center" wrapText="1"/>
    </xf>
    <xf numFmtId="165" fontId="46" fillId="2" borderId="1" xfId="0" applyNumberFormat="1" applyFont="1" applyFill="1" applyBorder="1" applyAlignment="1">
      <alignment horizontal="center" vertical="center"/>
    </xf>
    <xf numFmtId="3" fontId="46" fillId="2" borderId="1" xfId="0" applyNumberFormat="1" applyFont="1" applyFill="1" applyBorder="1" applyAlignment="1">
      <alignment horizontal="center" vertical="center"/>
    </xf>
    <xf numFmtId="166" fontId="46" fillId="2" borderId="1" xfId="0" applyNumberFormat="1" applyFont="1" applyFill="1" applyBorder="1" applyAlignment="1">
      <alignment horizontal="center" vertical="center"/>
    </xf>
    <xf numFmtId="3" fontId="7" fillId="0" borderId="0" xfId="0" applyNumberFormat="1" applyFont="1" applyBorder="1" applyAlignment="1">
      <alignment horizontal="center"/>
    </xf>
    <xf numFmtId="0" fontId="20" fillId="10" borderId="1" xfId="0" applyFont="1" applyFill="1" applyBorder="1" applyAlignment="1">
      <alignment horizontal="right" vertical="center"/>
    </xf>
    <xf numFmtId="14" fontId="20" fillId="10" borderId="1" xfId="0" applyNumberFormat="1" applyFont="1" applyFill="1" applyBorder="1" applyAlignment="1">
      <alignment horizontal="right" vertical="center"/>
    </xf>
    <xf numFmtId="165" fontId="20" fillId="10" borderId="1" xfId="0" applyNumberFormat="1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165" fontId="48" fillId="13" borderId="1" xfId="0" applyNumberFormat="1" applyFont="1" applyFill="1" applyBorder="1" applyAlignment="1">
      <alignment horizontal="center" vertical="center"/>
    </xf>
    <xf numFmtId="10" fontId="20" fillId="10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/>
    </xf>
    <xf numFmtId="165" fontId="3" fillId="27" borderId="0" xfId="0" applyNumberFormat="1" applyFont="1" applyFill="1" applyBorder="1"/>
    <xf numFmtId="0" fontId="20" fillId="14" borderId="1" xfId="0" applyFont="1" applyFill="1" applyBorder="1" applyAlignment="1">
      <alignment horizontal="right" vertical="center"/>
    </xf>
    <xf numFmtId="14" fontId="20" fillId="14" borderId="1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center"/>
    </xf>
    <xf numFmtId="165" fontId="20" fillId="14" borderId="1" xfId="0" applyNumberFormat="1" applyFont="1" applyFill="1" applyBorder="1" applyAlignment="1">
      <alignment horizontal="center" vertical="center"/>
    </xf>
    <xf numFmtId="0" fontId="20" fillId="14" borderId="1" xfId="0" applyFont="1" applyFill="1" applyBorder="1" applyAlignment="1">
      <alignment horizontal="center" vertical="center"/>
    </xf>
    <xf numFmtId="165" fontId="48" fillId="14" borderId="1" xfId="0" applyNumberFormat="1" applyFont="1" applyFill="1" applyBorder="1" applyAlignment="1">
      <alignment horizontal="center" vertical="center"/>
    </xf>
    <xf numFmtId="10" fontId="20" fillId="14" borderId="1" xfId="0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49" fillId="0" borderId="1" xfId="0" applyFont="1" applyBorder="1" applyAlignment="1">
      <alignment horizontal="center" vertical="center"/>
    </xf>
    <xf numFmtId="164" fontId="20" fillId="2" borderId="1" xfId="0" applyNumberFormat="1" applyFont="1" applyFill="1" applyBorder="1" applyAlignment="1">
      <alignment horizontal="right"/>
    </xf>
    <xf numFmtId="164" fontId="4" fillId="2" borderId="1" xfId="0" applyNumberFormat="1" applyFont="1" applyFill="1" applyBorder="1"/>
    <xf numFmtId="3" fontId="20" fillId="2" borderId="1" xfId="0" applyNumberFormat="1" applyFont="1" applyFill="1" applyBorder="1" applyAlignment="1">
      <alignment horizontal="right"/>
    </xf>
    <xf numFmtId="3" fontId="4" fillId="2" borderId="1" xfId="0" applyNumberFormat="1" applyFont="1" applyFill="1" applyBorder="1" applyAlignment="1">
      <alignment horizontal="right"/>
    </xf>
    <xf numFmtId="164" fontId="21" fillId="2" borderId="1" xfId="0" applyNumberFormat="1" applyFont="1" applyFill="1" applyBorder="1" applyAlignment="1">
      <alignment horizontal="right"/>
    </xf>
    <xf numFmtId="164" fontId="22" fillId="2" borderId="1" xfId="0" applyNumberFormat="1" applyFont="1" applyFill="1" applyBorder="1" applyAlignment="1">
      <alignment horizontal="right"/>
    </xf>
    <xf numFmtId="164" fontId="4" fillId="0" borderId="1" xfId="0" applyNumberFormat="1" applyFont="1" applyBorder="1"/>
    <xf numFmtId="164" fontId="20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/>
    <xf numFmtId="167" fontId="3" fillId="0" borderId="1" xfId="0" applyNumberFormat="1" applyFont="1" applyBorder="1"/>
    <xf numFmtId="3" fontId="4" fillId="2" borderId="1" xfId="0" applyNumberFormat="1" applyFont="1" applyFill="1" applyBorder="1"/>
    <xf numFmtId="3" fontId="20" fillId="0" borderId="1" xfId="0" applyNumberFormat="1" applyFont="1" applyBorder="1" applyAlignment="1">
      <alignment horizontal="right"/>
    </xf>
    <xf numFmtId="165" fontId="20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right" vertical="center"/>
    </xf>
    <xf numFmtId="14" fontId="20" fillId="2" borderId="1" xfId="0" applyNumberFormat="1" applyFont="1" applyFill="1" applyBorder="1" applyAlignment="1">
      <alignment horizontal="right" vertical="center"/>
    </xf>
    <xf numFmtId="164" fontId="20" fillId="2" borderId="1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65" fontId="48" fillId="2" borderId="1" xfId="0" applyNumberFormat="1" applyFont="1" applyFill="1" applyBorder="1" applyAlignment="1">
      <alignment horizontal="center" vertical="center"/>
    </xf>
    <xf numFmtId="3" fontId="20" fillId="2" borderId="1" xfId="0" applyNumberFormat="1" applyFont="1" applyFill="1" applyBorder="1" applyAlignment="1">
      <alignment horizontal="center" vertical="center"/>
    </xf>
    <xf numFmtId="0" fontId="24" fillId="0" borderId="0" xfId="0" applyFont="1" applyBorder="1" applyAlignment="1">
      <alignment horizontal="right" vertical="center"/>
    </xf>
    <xf numFmtId="14" fontId="24" fillId="0" borderId="0" xfId="0" applyNumberFormat="1" applyFont="1" applyBorder="1" applyAlignment="1">
      <alignment horizontal="right" vertical="center"/>
    </xf>
    <xf numFmtId="0" fontId="20" fillId="0" borderId="0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/>
    </xf>
    <xf numFmtId="0" fontId="50" fillId="0" borderId="0" xfId="0" applyFont="1" applyBorder="1"/>
    <xf numFmtId="0" fontId="51" fillId="0" borderId="0" xfId="0" applyFont="1" applyBorder="1"/>
    <xf numFmtId="164" fontId="20" fillId="0" borderId="0" xfId="0" applyNumberFormat="1" applyFont="1" applyBorder="1" applyAlignment="1">
      <alignment horizontal="center"/>
    </xf>
    <xf numFmtId="0" fontId="30" fillId="17" borderId="0" xfId="0" applyFont="1" applyFill="1" applyBorder="1" applyAlignment="1">
      <alignment horizontal="center"/>
    </xf>
    <xf numFmtId="0" fontId="52" fillId="0" borderId="0" xfId="0" applyFont="1" applyBorder="1"/>
    <xf numFmtId="0" fontId="53" fillId="0" borderId="0" xfId="0" applyFont="1" applyBorder="1"/>
    <xf numFmtId="168" fontId="3" fillId="26" borderId="1" xfId="0" applyNumberFormat="1" applyFont="1" applyFill="1" applyBorder="1" applyAlignment="1">
      <alignment horizontal="center"/>
    </xf>
    <xf numFmtId="0" fontId="3" fillId="26" borderId="1" xfId="0" applyFont="1" applyFill="1" applyBorder="1"/>
    <xf numFmtId="3" fontId="3" fillId="26" borderId="1" xfId="0" applyNumberFormat="1" applyFont="1" applyFill="1" applyBorder="1" applyAlignment="1">
      <alignment horizontal="center"/>
    </xf>
    <xf numFmtId="168" fontId="3" fillId="18" borderId="1" xfId="0" applyNumberFormat="1" applyFont="1" applyFill="1" applyBorder="1" applyAlignment="1">
      <alignment horizontal="center"/>
    </xf>
    <xf numFmtId="0" fontId="3" fillId="18" borderId="1" xfId="0" applyFont="1" applyFill="1" applyBorder="1"/>
    <xf numFmtId="3" fontId="3" fillId="18" borderId="1" xfId="0" applyNumberFormat="1" applyFont="1" applyFill="1" applyBorder="1" applyAlignment="1">
      <alignment horizontal="center"/>
    </xf>
    <xf numFmtId="168" fontId="3" fillId="19" borderId="1" xfId="0" applyNumberFormat="1" applyFont="1" applyFill="1" applyBorder="1" applyAlignment="1">
      <alignment horizontal="center"/>
    </xf>
    <xf numFmtId="0" fontId="3" fillId="19" borderId="1" xfId="0" applyFont="1" applyFill="1" applyBorder="1"/>
    <xf numFmtId="3" fontId="3" fillId="19" borderId="1" xfId="0" applyNumberFormat="1" applyFont="1" applyFill="1" applyBorder="1" applyAlignment="1">
      <alignment horizontal="center"/>
    </xf>
    <xf numFmtId="0" fontId="54" fillId="0" borderId="0" xfId="0" applyFont="1" applyBorder="1" applyAlignment="1">
      <alignment horizontal="center"/>
    </xf>
    <xf numFmtId="0" fontId="54" fillId="0" borderId="0" xfId="0" applyFont="1" applyBorder="1"/>
    <xf numFmtId="165" fontId="4" fillId="10" borderId="1" xfId="0" applyNumberFormat="1" applyFont="1" applyFill="1" applyBorder="1"/>
    <xf numFmtId="164" fontId="4" fillId="10" borderId="1" xfId="0" applyNumberFormat="1" applyFont="1" applyFill="1" applyBorder="1" applyAlignment="1">
      <alignment horizontal="center" vertical="center"/>
    </xf>
    <xf numFmtId="165" fontId="55" fillId="27" borderId="1" xfId="0" applyNumberFormat="1" applyFont="1" applyFill="1" applyBorder="1" applyAlignment="1">
      <alignment horizontal="center"/>
    </xf>
    <xf numFmtId="164" fontId="4" fillId="14" borderId="1" xfId="0" applyNumberFormat="1" applyFont="1" applyFill="1" applyBorder="1" applyAlignment="1">
      <alignment horizontal="center"/>
    </xf>
    <xf numFmtId="165" fontId="55" fillId="14" borderId="1" xfId="0" applyNumberFormat="1" applyFont="1" applyFill="1" applyBorder="1" applyAlignment="1">
      <alignment horizontal="right"/>
    </xf>
    <xf numFmtId="165" fontId="56" fillId="0" borderId="0" xfId="0" applyNumberFormat="1" applyFont="1" applyBorder="1"/>
    <xf numFmtId="164" fontId="4" fillId="10" borderId="1" xfId="0" applyNumberFormat="1" applyFont="1" applyFill="1" applyBorder="1" applyAlignment="1">
      <alignment horizontal="center"/>
    </xf>
    <xf numFmtId="165" fontId="4" fillId="14" borderId="1" xfId="0" applyNumberFormat="1" applyFont="1" applyFill="1" applyBorder="1"/>
    <xf numFmtId="168" fontId="3" fillId="15" borderId="1" xfId="0" applyNumberFormat="1" applyFont="1" applyFill="1" applyBorder="1" applyAlignment="1">
      <alignment horizontal="center"/>
    </xf>
    <xf numFmtId="0" fontId="3" fillId="15" borderId="1" xfId="0" applyFont="1" applyFill="1" applyBorder="1"/>
    <xf numFmtId="3" fontId="3" fillId="15" borderId="1" xfId="0" applyNumberFormat="1" applyFont="1" applyFill="1" applyBorder="1" applyAlignment="1">
      <alignment horizontal="center"/>
    </xf>
    <xf numFmtId="165" fontId="17" fillId="14" borderId="1" xfId="0" applyNumberFormat="1" applyFont="1" applyFill="1" applyBorder="1" applyAlignment="1">
      <alignment horizontal="right"/>
    </xf>
    <xf numFmtId="165" fontId="57" fillId="0" borderId="0" xfId="0" applyNumberFormat="1" applyFont="1" applyBorder="1"/>
    <xf numFmtId="165" fontId="17" fillId="13" borderId="1" xfId="0" applyNumberFormat="1" applyFont="1" applyFill="1" applyBorder="1" applyAlignment="1">
      <alignment horizontal="right"/>
    </xf>
    <xf numFmtId="168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164" fontId="46" fillId="0" borderId="1" xfId="0" applyNumberFormat="1" applyFont="1" applyBorder="1" applyAlignment="1">
      <alignment horizontal="right"/>
    </xf>
    <xf numFmtId="164" fontId="4" fillId="14" borderId="1" xfId="0" applyNumberFormat="1" applyFont="1" applyFill="1" applyBorder="1" applyAlignment="1">
      <alignment horizontal="left"/>
    </xf>
    <xf numFmtId="164" fontId="4" fillId="10" borderId="1" xfId="0" applyNumberFormat="1" applyFont="1" applyFill="1" applyBorder="1" applyAlignment="1">
      <alignment horizontal="left"/>
    </xf>
    <xf numFmtId="0" fontId="58" fillId="14" borderId="1" xfId="0" applyFont="1" applyFill="1" applyBorder="1" applyAlignment="1">
      <alignment horizontal="right"/>
    </xf>
    <xf numFmtId="165" fontId="59" fillId="27" borderId="1" xfId="0" applyNumberFormat="1" applyFont="1" applyFill="1" applyBorder="1" applyAlignment="1">
      <alignment horizontal="right"/>
    </xf>
    <xf numFmtId="0" fontId="50" fillId="0" borderId="1" xfId="0" applyFont="1" applyBorder="1" applyAlignment="1">
      <alignment horizontal="center"/>
    </xf>
    <xf numFmtId="0" fontId="4" fillId="0" borderId="1" xfId="0" applyFont="1" applyBorder="1"/>
    <xf numFmtId="0" fontId="60" fillId="0" borderId="0" xfId="0" applyFont="1" applyBorder="1"/>
    <xf numFmtId="168" fontId="61" fillId="2" borderId="1" xfId="0" applyNumberFormat="1" applyFont="1" applyFill="1" applyBorder="1" applyAlignment="1">
      <alignment horizontal="center"/>
    </xf>
    <xf numFmtId="0" fontId="61" fillId="2" borderId="1" xfId="0" applyFont="1" applyFill="1" applyBorder="1" applyAlignment="1">
      <alignment horizontal="center"/>
    </xf>
    <xf numFmtId="165" fontId="62" fillId="2" borderId="1" xfId="0" applyNumberFormat="1" applyFont="1" applyFill="1" applyBorder="1"/>
    <xf numFmtId="164" fontId="4" fillId="10" borderId="1" xfId="0" applyNumberFormat="1" applyFont="1" applyFill="1" applyBorder="1"/>
    <xf numFmtId="165" fontId="63" fillId="2" borderId="0" xfId="0" applyNumberFormat="1" applyFont="1" applyFill="1" applyBorder="1"/>
    <xf numFmtId="164" fontId="4" fillId="14" borderId="1" xfId="0" applyNumberFormat="1" applyFont="1" applyFill="1" applyBorder="1"/>
    <xf numFmtId="168" fontId="61" fillId="2" borderId="1" xfId="0" applyNumberFormat="1" applyFont="1" applyFill="1" applyBorder="1" applyAlignment="1">
      <alignment horizontal="center" wrapText="1"/>
    </xf>
    <xf numFmtId="168" fontId="61" fillId="0" borderId="1" xfId="0" applyNumberFormat="1" applyFont="1" applyBorder="1" applyAlignment="1">
      <alignment horizontal="center"/>
    </xf>
    <xf numFmtId="0" fontId="61" fillId="0" borderId="1" xfId="0" applyFont="1" applyBorder="1" applyAlignment="1">
      <alignment horizontal="center"/>
    </xf>
    <xf numFmtId="165" fontId="62" fillId="2" borderId="1" xfId="0" applyNumberFormat="1" applyFont="1" applyFill="1" applyBorder="1" applyAlignment="1">
      <alignment wrapText="1"/>
    </xf>
    <xf numFmtId="0" fontId="4" fillId="10" borderId="1" xfId="0" applyFont="1" applyFill="1" applyBorder="1"/>
    <xf numFmtId="165" fontId="35" fillId="0" borderId="1" xfId="0" applyNumberFormat="1" applyFont="1" applyBorder="1" applyAlignment="1">
      <alignment horizontal="center"/>
    </xf>
    <xf numFmtId="3" fontId="4" fillId="2" borderId="0" xfId="0" applyNumberFormat="1" applyFont="1" applyFill="1" applyBorder="1" applyAlignment="1">
      <alignment horizontal="right"/>
    </xf>
    <xf numFmtId="164" fontId="21" fillId="2" borderId="0" xfId="0" applyNumberFormat="1" applyFont="1" applyFill="1" applyBorder="1" applyAlignment="1">
      <alignment horizontal="right"/>
    </xf>
    <xf numFmtId="164" fontId="4" fillId="2" borderId="0" xfId="0" applyNumberFormat="1" applyFont="1" applyFill="1" applyBorder="1"/>
    <xf numFmtId="164" fontId="64" fillId="2" borderId="0" xfId="0" applyNumberFormat="1" applyFont="1" applyFill="1" applyBorder="1"/>
    <xf numFmtId="3" fontId="4" fillId="0" borderId="0" xfId="0" applyNumberFormat="1" applyFont="1" applyBorder="1"/>
    <xf numFmtId="164" fontId="21" fillId="2" borderId="0" xfId="0" applyNumberFormat="1" applyFont="1" applyFill="1" applyBorder="1"/>
    <xf numFmtId="0" fontId="4" fillId="0" borderId="0" xfId="0" applyFont="1" applyBorder="1"/>
    <xf numFmtId="3" fontId="4" fillId="2" borderId="12" xfId="0" applyNumberFormat="1" applyFont="1" applyFill="1"/>
    <xf numFmtId="0" fontId="20" fillId="0" borderId="1" xfId="0" applyFont="1" applyBorder="1" applyAlignment="1">
      <alignment horizontal="right"/>
    </xf>
    <xf numFmtId="164" fontId="4" fillId="2" borderId="5" xfId="0" applyNumberFormat="1" applyFont="1" applyFill="1" applyBorder="1"/>
    <xf numFmtId="3" fontId="21" fillId="2" borderId="0" xfId="0" applyNumberFormat="1" applyFont="1" applyFill="1" applyBorder="1"/>
    <xf numFmtId="14" fontId="65" fillId="27" borderId="1" xfId="0" applyNumberFormat="1" applyFont="1" applyFill="1" applyBorder="1"/>
    <xf numFmtId="0" fontId="65" fillId="27" borderId="1" xfId="0" applyFont="1" applyFill="1" applyBorder="1"/>
    <xf numFmtId="169" fontId="65" fillId="27" borderId="1" xfId="0" applyNumberFormat="1" applyFont="1" applyFill="1" applyBorder="1" applyAlignment="1">
      <alignment horizontal="right"/>
    </xf>
    <xf numFmtId="49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4" fontId="3" fillId="28" borderId="1" xfId="0" applyNumberFormat="1" applyFont="1" applyFill="1" applyBorder="1"/>
    <xf numFmtId="0" fontId="3" fillId="28" borderId="1" xfId="0" applyFont="1" applyFill="1" applyBorder="1"/>
    <xf numFmtId="169" fontId="3" fillId="28" borderId="1" xfId="0" applyNumberFormat="1" applyFont="1" applyFill="1" applyBorder="1"/>
    <xf numFmtId="14" fontId="3" fillId="27" borderId="1" xfId="0" applyNumberFormat="1" applyFont="1" applyFill="1" applyBorder="1"/>
    <xf numFmtId="0" fontId="3" fillId="27" borderId="1" xfId="0" applyFont="1" applyFill="1" applyBorder="1"/>
    <xf numFmtId="169" fontId="3" fillId="27" borderId="1" xfId="0" applyNumberFormat="1" applyFont="1" applyFill="1" applyBorder="1"/>
    <xf numFmtId="14" fontId="3" fillId="5" borderId="1" xfId="0" applyNumberFormat="1" applyFont="1" applyFill="1" applyBorder="1"/>
    <xf numFmtId="0" fontId="3" fillId="5" borderId="1" xfId="0" applyFont="1" applyFill="1" applyBorder="1"/>
    <xf numFmtId="169" fontId="3" fillId="5" borderId="1" xfId="0" applyNumberFormat="1" applyFont="1" applyFill="1" applyBorder="1"/>
    <xf numFmtId="14" fontId="3" fillId="2" borderId="1" xfId="0" applyNumberFormat="1" applyFont="1" applyFill="1" applyBorder="1"/>
    <xf numFmtId="0" fontId="3" fillId="2" borderId="1" xfId="0" applyFont="1" applyFill="1" applyBorder="1"/>
    <xf numFmtId="169" fontId="3" fillId="2" borderId="1" xfId="0" applyNumberFormat="1" applyFont="1" applyFill="1" applyBorder="1"/>
    <xf numFmtId="0" fontId="3" fillId="0" borderId="1" xfId="0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Border="1" applyAlignment="1">
      <alignment horizontal="left"/>
    </xf>
    <xf numFmtId="165" fontId="14" fillId="10" borderId="1" xfId="0" applyNumberFormat="1" applyFont="1" applyFill="1" applyBorder="1" applyAlignment="1">
      <alignment horizontal="center"/>
    </xf>
    <xf numFmtId="165" fontId="14" fillId="14" borderId="1" xfId="0" applyNumberFormat="1" applyFont="1" applyFill="1" applyBorder="1" applyAlignment="1">
      <alignment horizontal="center"/>
    </xf>
    <xf numFmtId="165" fontId="66" fillId="12" borderId="1" xfId="0" applyNumberFormat="1" applyFont="1" applyFill="1" applyBorder="1" applyAlignment="1">
      <alignment horizontal="right"/>
    </xf>
    <xf numFmtId="165" fontId="67" fillId="27" borderId="1" xfId="0" applyNumberFormat="1" applyFont="1" applyFill="1" applyBorder="1" applyAlignment="1">
      <alignment horizontal="right"/>
    </xf>
    <xf numFmtId="0" fontId="49" fillId="0" borderId="1" xfId="0" applyFont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165" fontId="68" fillId="27" borderId="1" xfId="0" applyNumberFormat="1" applyFont="1" applyFill="1" applyBorder="1" applyAlignment="1">
      <alignment horizontal="right"/>
    </xf>
    <xf numFmtId="168" fontId="3" fillId="0" borderId="1" xfId="0" applyNumberFormat="1" applyFont="1" applyBorder="1"/>
    <xf numFmtId="3" fontId="3" fillId="0" borderId="1" xfId="0" applyNumberFormat="1" applyFont="1" applyBorder="1"/>
    <xf numFmtId="164" fontId="64" fillId="2" borderId="1" xfId="0" applyNumberFormat="1" applyFont="1" applyFill="1" applyBorder="1"/>
    <xf numFmtId="3" fontId="21" fillId="2" borderId="1" xfId="0" applyNumberFormat="1" applyFont="1" applyFill="1" applyBorder="1"/>
    <xf numFmtId="0" fontId="69" fillId="0" borderId="0" xfId="0" applyFont="1" applyBorder="1"/>
    <xf numFmtId="0" fontId="64" fillId="2" borderId="0" xfId="0" applyFont="1" applyFill="1" applyBorder="1"/>
    <xf numFmtId="3" fontId="64" fillId="2" borderId="0" xfId="0" applyNumberFormat="1" applyFont="1" applyFill="1" applyBorder="1"/>
    <xf numFmtId="0" fontId="70" fillId="2" borderId="0" xfId="0" applyFont="1" applyFill="1" applyBorder="1"/>
    <xf numFmtId="0" fontId="71" fillId="2" borderId="0" xfId="0" applyFont="1" applyFill="1" applyBorder="1"/>
    <xf numFmtId="3" fontId="64" fillId="2" borderId="1" xfId="0" applyNumberFormat="1" applyFont="1" applyFill="1" applyBorder="1"/>
    <xf numFmtId="3" fontId="3" fillId="0" borderId="0" xfId="0" applyNumberFormat="1" applyFont="1" applyBorder="1"/>
    <xf numFmtId="168" fontId="3" fillId="0" borderId="0" xfId="0" applyNumberFormat="1" applyFont="1" applyBorder="1"/>
    <xf numFmtId="0" fontId="0" fillId="0" borderId="0" xfId="0" applyBorder="1"/>
    <xf numFmtId="0" fontId="10" fillId="0" borderId="0" xfId="0" applyFont="1" applyBorder="1" applyAlignment="1">
      <alignment horizontal="center"/>
    </xf>
    <xf numFmtId="0" fontId="7" fillId="0" borderId="0" xfId="0" applyFont="1" applyBorder="1"/>
    <xf numFmtId="0" fontId="3" fillId="25" borderId="0" xfId="0" applyFont="1" applyFill="1" applyBorder="1"/>
    <xf numFmtId="168" fontId="8" fillId="26" borderId="1" xfId="0" applyNumberFormat="1" applyFont="1" applyFill="1" applyBorder="1" applyAlignment="1">
      <alignment horizontal="center"/>
    </xf>
    <xf numFmtId="3" fontId="8" fillId="26" borderId="1" xfId="0" applyNumberFormat="1" applyFont="1" applyFill="1" applyBorder="1" applyAlignment="1">
      <alignment horizontal="center"/>
    </xf>
    <xf numFmtId="168" fontId="8" fillId="18" borderId="1" xfId="0" applyNumberFormat="1" applyFont="1" applyFill="1" applyBorder="1" applyAlignment="1">
      <alignment horizontal="center"/>
    </xf>
    <xf numFmtId="3" fontId="8" fillId="18" borderId="1" xfId="0" applyNumberFormat="1" applyFont="1" applyFill="1" applyBorder="1" applyAlignment="1">
      <alignment horizontal="center"/>
    </xf>
    <xf numFmtId="168" fontId="8" fillId="19" borderId="1" xfId="0" applyNumberFormat="1" applyFont="1" applyFill="1" applyBorder="1" applyAlignment="1">
      <alignment horizontal="center"/>
    </xf>
    <xf numFmtId="3" fontId="8" fillId="19" borderId="1" xfId="0" applyNumberFormat="1" applyFont="1" applyFill="1" applyBorder="1" applyAlignment="1">
      <alignment horizontal="center"/>
    </xf>
    <xf numFmtId="0" fontId="8" fillId="19" borderId="1" xfId="0" applyFont="1" applyFill="1" applyBorder="1"/>
    <xf numFmtId="168" fontId="8" fillId="15" borderId="1" xfId="0" applyNumberFormat="1" applyFont="1" applyFill="1" applyBorder="1" applyAlignment="1">
      <alignment horizontal="center"/>
    </xf>
    <xf numFmtId="3" fontId="8" fillId="15" borderId="1" xfId="0" applyNumberFormat="1" applyFont="1" applyFill="1" applyBorder="1" applyAlignment="1">
      <alignment horizontal="center"/>
    </xf>
    <xf numFmtId="168" fontId="8" fillId="3" borderId="1" xfId="0" applyNumberFormat="1" applyFont="1" applyFill="1" applyBorder="1" applyAlignment="1">
      <alignment horizontal="center"/>
    </xf>
    <xf numFmtId="3" fontId="8" fillId="3" borderId="1" xfId="0" applyNumberFormat="1" applyFont="1" applyFill="1" applyBorder="1" applyAlignment="1">
      <alignment horizontal="center"/>
    </xf>
    <xf numFmtId="165" fontId="63" fillId="2" borderId="12" xfId="0" applyNumberFormat="1" applyFont="1" applyFill="1"/>
    <xf numFmtId="14" fontId="8" fillId="28" borderId="1" xfId="0" applyNumberFormat="1" applyFont="1" applyFill="1" applyBorder="1"/>
    <xf numFmtId="169" fontId="8" fillId="28" borderId="1" xfId="0" applyNumberFormat="1" applyFont="1" applyFill="1" applyBorder="1"/>
    <xf numFmtId="0" fontId="8" fillId="28" borderId="1" xfId="0" applyFont="1" applyFill="1" applyBorder="1"/>
    <xf numFmtId="14" fontId="8" fillId="27" borderId="1" xfId="0" applyNumberFormat="1" applyFont="1" applyFill="1" applyBorder="1"/>
    <xf numFmtId="169" fontId="8" fillId="27" borderId="1" xfId="0" applyNumberFormat="1" applyFont="1" applyFill="1" applyBorder="1"/>
    <xf numFmtId="0" fontId="8" fillId="27" borderId="1" xfId="0" applyFont="1" applyFill="1" applyBorder="1"/>
    <xf numFmtId="14" fontId="8" fillId="5" borderId="1" xfId="0" applyNumberFormat="1" applyFont="1" applyFill="1" applyBorder="1"/>
    <xf numFmtId="169" fontId="8" fillId="5" borderId="1" xfId="0" applyNumberFormat="1" applyFont="1" applyFill="1" applyBorder="1"/>
    <xf numFmtId="0" fontId="8" fillId="5" borderId="1" xfId="0" applyFont="1" applyFill="1" applyBorder="1"/>
    <xf numFmtId="0" fontId="8" fillId="0" borderId="12" xfId="0" applyFont="1"/>
    <xf numFmtId="0" fontId="8" fillId="0" borderId="12" xfId="0" applyFont="1" applyAlignment="1">
      <alignment horizontal="left"/>
    </xf>
    <xf numFmtId="168" fontId="8" fillId="0" borderId="1" xfId="0" applyNumberFormat="1" applyFont="1" applyBorder="1"/>
    <xf numFmtId="3" fontId="8" fillId="0" borderId="1" xfId="0" applyNumberFormat="1" applyFont="1" applyBorder="1"/>
    <xf numFmtId="0" fontId="64" fillId="2" borderId="12" xfId="0" applyFont="1" applyFill="1"/>
    <xf numFmtId="3" fontId="64" fillId="2" borderId="12" xfId="0" applyNumberFormat="1" applyFont="1" applyFill="1"/>
    <xf numFmtId="0" fontId="70" fillId="2" borderId="12" xfId="0" applyFont="1" applyFill="1"/>
    <xf numFmtId="0" fontId="71" fillId="2" borderId="12" xfId="0" applyFont="1" applyFill="1"/>
    <xf numFmtId="3" fontId="8" fillId="0" borderId="12" xfId="0" applyNumberFormat="1" applyFont="1"/>
    <xf numFmtId="168" fontId="8" fillId="0" borderId="12" xfId="0" applyNumberFormat="1" applyFont="1"/>
    <xf numFmtId="3" fontId="2" fillId="2" borderId="13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3" fontId="2" fillId="2" borderId="1" xfId="0" applyNumberFormat="1" applyFont="1" applyFill="1" applyBorder="1" applyAlignment="1">
      <alignment horizontal="center" wrapText="1"/>
    </xf>
    <xf numFmtId="0" fontId="0" fillId="0" borderId="6" xfId="0" applyBorder="1"/>
    <xf numFmtId="0" fontId="2" fillId="2" borderId="1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49" fontId="11" fillId="4" borderId="1" xfId="0" applyNumberFormat="1" applyFont="1" applyFill="1" applyBorder="1" applyAlignment="1">
      <alignment horizontal="center" wrapText="1"/>
    </xf>
    <xf numFmtId="0" fontId="8" fillId="0" borderId="1" xfId="0" applyFont="1" applyBorder="1"/>
    <xf numFmtId="0" fontId="0" fillId="0" borderId="10" xfId="0" applyBorder="1"/>
    <xf numFmtId="0" fontId="8" fillId="16" borderId="1" xfId="0" applyFont="1" applyFill="1" applyBorder="1"/>
    <xf numFmtId="0" fontId="13" fillId="3" borderId="1" xfId="0" applyFont="1" applyFill="1" applyBorder="1" applyAlignment="1">
      <alignment vertical="center"/>
    </xf>
    <xf numFmtId="0" fontId="8" fillId="18" borderId="1" xfId="0" applyFont="1" applyFill="1" applyBorder="1"/>
    <xf numFmtId="0" fontId="28" fillId="16" borderId="1" xfId="0" applyFont="1" applyFill="1" applyBorder="1" applyAlignment="1">
      <alignment vertical="center"/>
    </xf>
    <xf numFmtId="0" fontId="8" fillId="15" borderId="1" xfId="0" applyFont="1" applyFill="1" applyBorder="1"/>
    <xf numFmtId="0" fontId="8" fillId="3" borderId="1" xfId="0" applyFont="1" applyFill="1" applyBorder="1"/>
    <xf numFmtId="0" fontId="8" fillId="26" borderId="1" xfId="0" applyFont="1" applyFill="1" applyBorder="1"/>
    <xf numFmtId="0" fontId="28" fillId="26" borderId="1" xfId="0" applyFont="1" applyFill="1" applyBorder="1" applyAlignment="1">
      <alignment horizontal="left" vertical="center"/>
    </xf>
    <xf numFmtId="0" fontId="13" fillId="24" borderId="1" xfId="0" applyFont="1" applyFill="1" applyBorder="1" applyAlignment="1">
      <alignment vertical="center"/>
    </xf>
    <xf numFmtId="0" fontId="8" fillId="20" borderId="1" xfId="0" applyFont="1" applyFill="1" applyBorder="1"/>
    <xf numFmtId="0" fontId="7" fillId="0" borderId="12" xfId="0" applyFont="1" applyAlignment="1">
      <alignment wrapText="1"/>
    </xf>
    <xf numFmtId="0" fontId="0" fillId="0" borderId="0" xfId="0" applyBorder="1"/>
    <xf numFmtId="0" fontId="8" fillId="24" borderId="1" xfId="0" applyFont="1" applyFill="1" applyBorder="1"/>
    <xf numFmtId="0" fontId="13" fillId="20" borderId="1" xfId="0" applyFont="1" applyFill="1" applyBorder="1" applyAlignment="1">
      <alignment vertical="center"/>
    </xf>
    <xf numFmtId="0" fontId="25" fillId="0" borderId="1" xfId="0" applyFont="1" applyBorder="1"/>
    <xf numFmtId="0" fontId="0" fillId="0" borderId="11" xfId="0" applyBorder="1"/>
    <xf numFmtId="0" fontId="31" fillId="0" borderId="1" xfId="0" applyFont="1" applyBorder="1"/>
    <xf numFmtId="0" fontId="7" fillId="0" borderId="12" xfId="0" applyFont="1"/>
    <xf numFmtId="0" fontId="10" fillId="0" borderId="12" xfId="0" applyFont="1" applyAlignment="1">
      <alignment horizontal="center"/>
    </xf>
    <xf numFmtId="0" fontId="3" fillId="3" borderId="12" xfId="0" applyFont="1" applyFill="1"/>
    <xf numFmtId="0" fontId="3" fillId="16" borderId="12" xfId="0" applyFont="1" applyFill="1"/>
    <xf numFmtId="0" fontId="3" fillId="21" borderId="12" xfId="0" applyFont="1" applyFill="1"/>
    <xf numFmtId="0" fontId="3" fillId="18" borderId="12" xfId="0" applyFont="1" applyFill="1"/>
    <xf numFmtId="0" fontId="3" fillId="25" borderId="12" xfId="0" applyFont="1" applyFill="1"/>
    <xf numFmtId="0" fontId="35" fillId="16" borderId="12" xfId="0" applyFont="1" applyFill="1" applyAlignment="1">
      <alignment horizontal="center"/>
    </xf>
    <xf numFmtId="3" fontId="46" fillId="2" borderId="1" xfId="0" applyNumberFormat="1" applyFont="1" applyFill="1" applyBorder="1" applyAlignment="1">
      <alignment horizontal="right" vertical="center" wrapText="1"/>
    </xf>
    <xf numFmtId="0" fontId="46" fillId="2" borderId="1" xfId="0" applyFont="1" applyFill="1" applyBorder="1" applyAlignment="1">
      <alignment horizontal="right" vertical="center" wrapText="1"/>
    </xf>
    <xf numFmtId="0" fontId="3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profile.php?id=61587788227415" TargetMode="External"/><Relationship Id="rId18" Type="http://schemas.openxmlformats.org/officeDocument/2006/relationships/hyperlink" Target="https://adsmanager.facebook.com/adsmanager/manage/campaigns?act=1019830297063950&amp;ads_manager_write_regions=true&amp;business_id=874930108075813&amp;global_scope_id=874930108075813&amp;column_preset=2804121349923810&amp;date=2026-06-03_2026-06-04%2Cyesterday&amp;insights_date=2026-06-03_2026-06-04%2Cyesterday&amp;selected_campaign_ids=120245535863370420&amp;selected_adset_ids=120245535864830420&amp;nav_source=no_referrer" TargetMode="External"/><Relationship Id="rId26" Type="http://schemas.openxmlformats.org/officeDocument/2006/relationships/hyperlink" Target="https://adsmanager.facebook.com/adsmanager/?act=632315609796394&amp;business_id=1274247713762131&amp;nav_entry_point=fbs_ad_account_open_in_ads_manager_button&amp;nav_source=facebook_business_suite" TargetMode="External"/><Relationship Id="rId39" Type="http://schemas.openxmlformats.org/officeDocument/2006/relationships/hyperlink" Target="https://adsmanager.facebook.com/adsmanager/manage/campaigns?global_scope_id=2365221567226425&amp;business_id=2365221567226425&amp;act=930439003353145&amp;redirect_session_id=7d4f1178-5d95-4194-a368-243e4cf406f9" TargetMode="External"/><Relationship Id="rId21" Type="http://schemas.openxmlformats.org/officeDocument/2006/relationships/hyperlink" Target="https://adsmanager.facebook.com/adsmanager/?nav_entry_point=fbs_ad_account_open_in_ads_manager_button&amp;nav_source=facebook_business_suite&amp;tool=MANAGE_ADS&amp;act=923957780675075&amp;business_id=1274247713762131" TargetMode="External"/><Relationship Id="rId34" Type="http://schemas.openxmlformats.org/officeDocument/2006/relationships/hyperlink" Target="https://adsmanager.facebook.com/adsmanager/manage/campaigns?act=1022199260349139&amp;business_id=2365221567226425&amp;nav_entry_point=ads_ecosystem_navigation_menu&amp;nav_source=ads_manager" TargetMode="External"/><Relationship Id="rId42" Type="http://schemas.openxmlformats.org/officeDocument/2006/relationships/hyperlink" Target="https://adsmanager.facebook.com/adsmanager/manage/campaigns?act=989196900514989&amp;business_id=1526597995029860&amp;global_scope_id=1526597995029860&amp;date=2026-06-25_2026-06-26%2Ctoday&amp;comparison_date=&amp;insights_date=2026-06-25_2026-06-26%2Ctoday&amp;insights_comparison_date=" TargetMode="External"/><Relationship Id="rId7" Type="http://schemas.openxmlformats.org/officeDocument/2006/relationships/hyperlink" Target="https://www.facebook.com/profile.php?id=61585093756453" TargetMode="External"/><Relationship Id="rId2" Type="http://schemas.openxmlformats.org/officeDocument/2006/relationships/hyperlink" Target="https://adsmanager.facebook.com/adsmanager/manage/campaigns?global_scope_id=2365221567226425&amp;business_id=2365221567226425&amp;act=3339934536170988&amp;redirect_session_id=c05e1c6c-e852-4aff-9a1f-98fd313868c9" TargetMode="External"/><Relationship Id="rId16" Type="http://schemas.openxmlformats.org/officeDocument/2006/relationships/hyperlink" Target="https://adsmanager.facebook.com/adsmanager/manage/campaigns?global_scope_id=874930108075813&amp;business_id=874930108075813&amp;act=831253603038561&amp;redirect_session_id=4ff91bbe-6889-486e-88a3-494def205c92" TargetMode="External"/><Relationship Id="rId29" Type="http://schemas.openxmlformats.org/officeDocument/2006/relationships/hyperlink" Target="https://www.facebook.com/bacsihoichuyendaday/" TargetMode="External"/><Relationship Id="rId1" Type="http://schemas.openxmlformats.org/officeDocument/2006/relationships/hyperlink" Target="https://www.facebook.com/profile.php?id=61584406597552" TargetMode="External"/><Relationship Id="rId6" Type="http://schemas.openxmlformats.org/officeDocument/2006/relationships/hyperlink" Target="https://adsmanager.facebook.com/adsmanager/manage/campaigns?global_scope_id=2365221567226425&amp;business_id=2365221567226425&amp;act=1282995733019095&amp;redirect_session_id=346ebb8d-50f7-4404-bf19-d2a0203189dd" TargetMode="External"/><Relationship Id="rId11" Type="http://schemas.openxmlformats.org/officeDocument/2006/relationships/hyperlink" Target="https://www.facebook.com/bacsibachhoiphoidadaytugoc" TargetMode="External"/><Relationship Id="rId24" Type="http://schemas.openxmlformats.org/officeDocument/2006/relationships/hyperlink" Target="https://www.facebook.com/bacsihoi.chamsocsuckhoedaitrangchuyensau" TargetMode="External"/><Relationship Id="rId32" Type="http://schemas.openxmlformats.org/officeDocument/2006/relationships/hyperlink" Target="https://adsmanager.facebook.com/adsmanager/manage/campaigns?act=3131403127219633&amp;business_id=2365221567226425&amp;nav_entry_point=ads_ecosystem_navigation_menu&amp;nav_source=ads_manager" TargetMode="External"/><Relationship Id="rId37" Type="http://schemas.openxmlformats.org/officeDocument/2006/relationships/hyperlink" Target="https://www.facebook.com/profile.php?id=61560743115486" TargetMode="External"/><Relationship Id="rId40" Type="http://schemas.openxmlformats.org/officeDocument/2006/relationships/hyperlink" Target="https://adsmanager.facebook.com/adsmanager/manage/campaigns?act=2475416436267715&amp;business_id=2365221567226425&amp;global_scope_id=2365221567226425&amp;columns=name%2Cdelivery%2Crecommendations_guidance%2Cresults%2Ccost_per_result%2Cbudget%2Cspend%2Cimpressions%2Creach%2Cactions%3Aonsite_conversion.total_messaging_connection%2Cactions%3Aonsite_conversion.messaging_first_reply%2Cactions%3Aomni_purchase%2Cschedule%2Cend_time%2Cattribution_setting%2Cbid%2Clast_significant_edit%2Cquality_score_organic%2Cquality_score_ectr%2Cquality_score_ecvr%2Ccampaign_name%2Ccost_per_action_type%3Aomni_purchase&amp;attribution_windows=default" TargetMode="External"/><Relationship Id="rId45" Type="http://schemas.openxmlformats.org/officeDocument/2006/relationships/hyperlink" Target="https://adsmanager.facebook.com/adsmanager/manage/campaigns?global_scope_id=1526597995029860&amp;business_id=1526597995029860&amp;act=1431120878778776&amp;redirect_session_id=e86271c6-aa74-4706-b33e-58ba82336f6f" TargetMode="External"/><Relationship Id="rId5" Type="http://schemas.openxmlformats.org/officeDocument/2006/relationships/hyperlink" Target="https://www.facebook.com/bacsibachhoi/" TargetMode="External"/><Relationship Id="rId15" Type="http://schemas.openxmlformats.org/officeDocument/2006/relationships/hyperlink" Target="https://www.facebook.com/profile.php?id=61580862672623" TargetMode="External"/><Relationship Id="rId23" Type="http://schemas.openxmlformats.org/officeDocument/2006/relationships/hyperlink" Target="https://adsmanager.facebook.com/adsmanager/?act=953915810853443&amp;business_id=1274247713762131&amp;nav_entry_point=fbs_ad_account_open_in_ads_manager_button&amp;nav_source=facebook_business_suite" TargetMode="External"/><Relationship Id="rId28" Type="http://schemas.openxmlformats.org/officeDocument/2006/relationships/hyperlink" Target="https://adsmanager.facebook.com/adsmanager/manage/campaigns?act=1014401967676930&amp;business_id=2365221567226425&amp;nav_entry_point=ads_ecosystem_navigation_menu&amp;date=2026-07-03_2026-07-04%2Ctoday&amp;comparison_date=&amp;insights_date=2026-07-03_2026-07-04%2Ctoday&amp;insights_comparison_date=&amp;nav_source=ads_manager" TargetMode="External"/><Relationship Id="rId36" Type="http://schemas.openxmlformats.org/officeDocument/2006/relationships/hyperlink" Target="https://adsmanager.facebook.com/adsmanager/manage/campaigns?act=1706002283866924&amp;business_id=2365221567226425&amp;nav_entry_point=ads_ecosystem_navigation_menu&amp;nav_source=ads_manager" TargetMode="External"/><Relationship Id="rId10" Type="http://schemas.openxmlformats.org/officeDocument/2006/relationships/hyperlink" Target="https://adsmanager.facebook.com/adsmanager/manage/campaigns?global_scope_id=2365221567226425&amp;business_id=2365221567226425&amp;act=866094236097506&amp;redirect_session_id=27ce2344-5e7f-4103-b3b1-8debe3d2d40c" TargetMode="External"/><Relationship Id="rId19" Type="http://schemas.openxmlformats.org/officeDocument/2006/relationships/hyperlink" Target="https://adsmanager.facebook.com/adsmanager/manage/campaigns?act=861578506991731&amp;business_id=1275852134350458&amp;global_scope_id=1275852134350458&amp;column_preset=2813356225666989&amp;date=2026-06-12_2026-06-13%2Ctoday&amp;insights_date=2026-06-12_2026-06-13%2Ctoday&amp;selected_campaign_ids=120245694365150094" TargetMode="External"/><Relationship Id="rId31" Type="http://schemas.openxmlformats.org/officeDocument/2006/relationships/hyperlink" Target="https://www.facebook.com/profile.php?id=61562973388499&amp;locale=vi_VN" TargetMode="External"/><Relationship Id="rId44" Type="http://schemas.openxmlformats.org/officeDocument/2006/relationships/hyperlink" Target="https://adsmanager.facebook.com/adsmanager/manage/campaigns?global_scope_id=1526597995029860&amp;business_id=1526597995029860&amp;act=1008337972158706&amp;redirect_session_id=b5af539d-4291-4bb4-96fc-d1ae6d6671c9" TargetMode="External"/><Relationship Id="rId4" Type="http://schemas.openxmlformats.org/officeDocument/2006/relationships/hyperlink" Target="https://adsmanager.facebook.com/adsmanager/manage/campaigns?global_scope_id=2365221567226425&amp;business_id=2365221567226425&amp;act=680331697699387&amp;redirect_session_id=71d1755e-d2b4-4f85-9826-f1cdb87bac02" TargetMode="External"/><Relationship Id="rId9" Type="http://schemas.openxmlformats.org/officeDocument/2006/relationships/hyperlink" Target="https://adsmanager.facebook.com/adsmanager/manage/campaigns?global_scope_id=2365221567226425&amp;business_id=2365221567226425&amp;act=1288486492565179&amp;redirect_session_id=a30292c4-0953-49ea-b7cc-526a1d113ea3" TargetMode="External"/><Relationship Id="rId14" Type="http://schemas.openxmlformats.org/officeDocument/2006/relationships/hyperlink" Target="https://adsmanager.facebook.com/adsmanager/manage/campaigns?act=2201498383943535&amp;business_id=874930108075813&amp;nav_entry_point=ads_ecosystem_navigation_menu&amp;nav_source=ads_manager&amp;treenav=true" TargetMode="External"/><Relationship Id="rId22" Type="http://schemas.openxmlformats.org/officeDocument/2006/relationships/hyperlink" Target="https://www.facebook.com/profile.php?id=61586412321740" TargetMode="External"/><Relationship Id="rId27" Type="http://schemas.openxmlformats.org/officeDocument/2006/relationships/hyperlink" Target="https://www.facebook.com/bacsihoidaday/" TargetMode="External"/><Relationship Id="rId30" Type="http://schemas.openxmlformats.org/officeDocument/2006/relationships/hyperlink" Target="https://adsmanager.facebook.com/adsmanager/manage/campaigns?act=950190234511487&amp;business_id=2365221567226425&amp;nav_entry_point=ads_ecosystem_navigation_menu&amp;date=2026-07-03_2026-07-04%2Ctoday&amp;insights_date=2026-07-03_2026-07-04%2Ctoday&amp;selected_campaign_ids=120245377848570489&amp;nav_source=ads_manager" TargetMode="External"/><Relationship Id="rId35" Type="http://schemas.openxmlformats.org/officeDocument/2006/relationships/hyperlink" Target="https://www.facebook.com/KhoaTieuHoa.BacSiHoi?locale=vi_VN" TargetMode="External"/><Relationship Id="rId43" Type="http://schemas.openxmlformats.org/officeDocument/2006/relationships/hyperlink" Target="https://adsmanager.facebook.com/adsmanager/manage/campaigns?global_scope_id=1526597995029860&amp;business_id=1526597995029860&amp;act=1507622920504610&amp;redirect_session_id=7fa8b70d-c882-4e80-9ac3-ef66b1f01e35" TargetMode="External"/><Relationship Id="rId8" Type="http://schemas.openxmlformats.org/officeDocument/2006/relationships/hyperlink" Target="https://adsmanager.facebook.com/adsmanager/manage/campaigns?global_scope_id=2365221567226425&amp;business_id=2365221567226425&amp;act=1793244831309551&amp;redirect_session_id=94835b32-e00a-4e65-b007-eadb87bcd169" TargetMode="External"/><Relationship Id="rId3" Type="http://schemas.openxmlformats.org/officeDocument/2006/relationships/hyperlink" Target="https://www.facebook.com/profile.php?id=61580994806050" TargetMode="External"/><Relationship Id="rId12" Type="http://schemas.openxmlformats.org/officeDocument/2006/relationships/hyperlink" Target="https://www.facebook.com/profile.php?id=61588430593952" TargetMode="External"/><Relationship Id="rId17" Type="http://schemas.openxmlformats.org/officeDocument/2006/relationships/hyperlink" Target="https://www.facebook.com/profile.php?id=61575705099170" TargetMode="External"/><Relationship Id="rId25" Type="http://schemas.openxmlformats.org/officeDocument/2006/relationships/hyperlink" Target="https://adsmanager.facebook.com/adsmanager/?act=1713830299796631&amp;business_id=1274247713762131&amp;nav_entry_point=fbs_ad_account_open_in_ads_manager_button&amp;nav_source=facebook_business_suite" TargetMode="External"/><Relationship Id="rId33" Type="http://schemas.openxmlformats.org/officeDocument/2006/relationships/hyperlink" Target="https://www.facebook.com/profile.php?id=61578593195386" TargetMode="External"/><Relationship Id="rId38" Type="http://schemas.openxmlformats.org/officeDocument/2006/relationships/hyperlink" Target="https://adsmanager.facebook.com/adsmanager/manage/campaigns?act=1556167802881944&amp;business_id=2365221567226425&amp;nav_entry_point=ads_ecosystem_navigation_menu&amp;nav_source=ads_manager" TargetMode="External"/><Relationship Id="rId20" Type="http://schemas.openxmlformats.org/officeDocument/2006/relationships/hyperlink" Target="https://www.facebook.com/bachhoidadaytieuhoa" TargetMode="External"/><Relationship Id="rId41" Type="http://schemas.openxmlformats.org/officeDocument/2006/relationships/hyperlink" Target="https://www.facebook.com/profile.php?id=61589456031276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drive/folders/1KxKUAAoEgDO60LcR79CJ55uehYCleDOu?usp=sharing" TargetMode="External"/><Relationship Id="rId1" Type="http://schemas.openxmlformats.org/officeDocument/2006/relationships/hyperlink" Target="https://drive.google.com/drive/folders/1KxKUAAoEgDO60LcR79CJ55uehYCleDOu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fOOT_xN-fGcnWkjIpeJlma_5qcu8zl-N?usp=drive_link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Xp6NNZPq9e6eGM7NcwoA76x2O9bsEaM3?usp=sharin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xP_Nyj6cgr9GhQ-nyyWJhYS7xMKwUqxk?usp=sharing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cZ-xfRAyaSI19FSui6L6gLJJmEqaLkRD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99"/>
  <sheetViews>
    <sheetView workbookViewId="0">
      <selection sqref="A1:D1"/>
    </sheetView>
  </sheetViews>
  <sheetFormatPr defaultColWidth="12.6640625" defaultRowHeight="15.75" customHeight="1"/>
  <cols>
    <col min="1" max="1" width="4.33203125" style="323" customWidth="1"/>
  </cols>
  <sheetData>
    <row r="1" spans="1:7" ht="15.75" customHeight="1">
      <c r="A1" s="358"/>
      <c r="B1" s="359"/>
      <c r="C1" s="359"/>
      <c r="D1" s="360"/>
      <c r="E1" s="4"/>
      <c r="F1" s="4"/>
      <c r="G1" s="4"/>
    </row>
    <row r="2" spans="1:7" ht="26.4">
      <c r="A2" s="361" t="s">
        <v>0</v>
      </c>
      <c r="B2" s="363" t="s">
        <v>1</v>
      </c>
      <c r="C2" s="8" t="s">
        <v>2</v>
      </c>
      <c r="D2" s="17" t="s">
        <v>3</v>
      </c>
      <c r="E2" s="150" t="s">
        <v>4</v>
      </c>
      <c r="F2" s="150" t="s">
        <v>5</v>
      </c>
      <c r="G2" s="150" t="s">
        <v>6</v>
      </c>
    </row>
    <row r="3" spans="1:7" ht="13.2">
      <c r="A3" s="362"/>
      <c r="B3" s="362"/>
      <c r="C3" s="10">
        <f>+SUM(C4:C34)</f>
        <v>0</v>
      </c>
      <c r="D3" s="13">
        <f>SUM(D4:D34)</f>
        <v>0</v>
      </c>
      <c r="E3" s="17">
        <f>SUM(E4:E34)</f>
        <v>0</v>
      </c>
      <c r="F3" s="13">
        <f>SUM(F4:F36)</f>
        <v>0</v>
      </c>
      <c r="G3" s="21">
        <f t="shared" ref="G3:G19" si="0">IFERROR(D3/F3,0)</f>
        <v>0</v>
      </c>
    </row>
    <row r="4" spans="1:7" ht="15.75" customHeight="1">
      <c r="A4" s="23">
        <v>1</v>
      </c>
      <c r="B4" s="25">
        <v>46204</v>
      </c>
      <c r="C4" s="234"/>
      <c r="D4" s="304"/>
      <c r="E4" s="264"/>
      <c r="F4" s="247"/>
      <c r="G4" s="34">
        <f t="shared" si="0"/>
        <v>0</v>
      </c>
    </row>
    <row r="5" spans="1:7" ht="15.75" customHeight="1">
      <c r="A5" s="35">
        <v>2</v>
      </c>
      <c r="B5" s="36">
        <v>46205</v>
      </c>
      <c r="C5" s="241"/>
      <c r="D5" s="305"/>
      <c r="E5" s="266"/>
      <c r="F5" s="245"/>
      <c r="G5" s="39">
        <f t="shared" si="0"/>
        <v>0</v>
      </c>
    </row>
    <row r="6" spans="1:7" ht="15.75" customHeight="1">
      <c r="A6" s="23">
        <v>3</v>
      </c>
      <c r="B6" s="25">
        <v>46206</v>
      </c>
      <c r="C6" s="234"/>
      <c r="D6" s="304"/>
      <c r="E6" s="264"/>
      <c r="F6" s="247"/>
      <c r="G6" s="34">
        <f t="shared" si="0"/>
        <v>0</v>
      </c>
    </row>
    <row r="7" spans="1:7" ht="15.75" customHeight="1">
      <c r="A7" s="35">
        <v>4</v>
      </c>
      <c r="B7" s="36">
        <v>46207</v>
      </c>
      <c r="C7" s="241"/>
      <c r="D7" s="305"/>
      <c r="E7" s="266"/>
      <c r="F7" s="245"/>
      <c r="G7" s="39">
        <f t="shared" si="0"/>
        <v>0</v>
      </c>
    </row>
    <row r="8" spans="1:7" ht="15.75" customHeight="1">
      <c r="A8" s="23">
        <v>5</v>
      </c>
      <c r="B8" s="25">
        <v>46208</v>
      </c>
      <c r="C8" s="234"/>
      <c r="D8" s="304"/>
      <c r="E8" s="264"/>
      <c r="F8" s="247"/>
      <c r="G8" s="34">
        <f t="shared" si="0"/>
        <v>0</v>
      </c>
    </row>
    <row r="9" spans="1:7" ht="15.75" customHeight="1">
      <c r="A9" s="35">
        <v>6</v>
      </c>
      <c r="B9" s="36">
        <v>46209</v>
      </c>
      <c r="C9" s="241"/>
      <c r="D9" s="305"/>
      <c r="E9" s="266"/>
      <c r="F9" s="245"/>
      <c r="G9" s="39">
        <f t="shared" si="0"/>
        <v>0</v>
      </c>
    </row>
    <row r="10" spans="1:7" ht="15.75" customHeight="1">
      <c r="A10" s="23">
        <v>7</v>
      </c>
      <c r="B10" s="25">
        <v>46210</v>
      </c>
      <c r="C10" s="234"/>
      <c r="D10" s="304"/>
      <c r="E10" s="264"/>
      <c r="F10" s="247"/>
      <c r="G10" s="34">
        <f t="shared" si="0"/>
        <v>0</v>
      </c>
    </row>
    <row r="11" spans="1:7" ht="15.75" customHeight="1">
      <c r="A11" s="35">
        <v>8</v>
      </c>
      <c r="B11" s="36">
        <v>46211</v>
      </c>
      <c r="C11" s="241"/>
      <c r="D11" s="305"/>
      <c r="E11" s="266"/>
      <c r="F11" s="245"/>
      <c r="G11" s="39">
        <f t="shared" si="0"/>
        <v>0</v>
      </c>
    </row>
    <row r="12" spans="1:7" ht="15.75" customHeight="1">
      <c r="A12" s="23">
        <v>9</v>
      </c>
      <c r="B12" s="25">
        <v>46212</v>
      </c>
      <c r="C12" s="234"/>
      <c r="D12" s="304"/>
      <c r="E12" s="264"/>
      <c r="F12" s="247"/>
      <c r="G12" s="34">
        <f t="shared" si="0"/>
        <v>0</v>
      </c>
    </row>
    <row r="13" spans="1:7" ht="15.75" customHeight="1">
      <c r="A13" s="35">
        <v>10</v>
      </c>
      <c r="B13" s="36">
        <v>46213</v>
      </c>
      <c r="C13" s="241"/>
      <c r="D13" s="305"/>
      <c r="E13" s="266"/>
      <c r="F13" s="245"/>
      <c r="G13" s="39">
        <f t="shared" si="0"/>
        <v>0</v>
      </c>
    </row>
    <row r="14" spans="1:7" ht="15.75" customHeight="1">
      <c r="A14" s="23">
        <v>11</v>
      </c>
      <c r="B14" s="25">
        <v>46214</v>
      </c>
      <c r="C14" s="234"/>
      <c r="D14" s="304"/>
      <c r="E14" s="264"/>
      <c r="F14" s="247"/>
      <c r="G14" s="34">
        <f t="shared" si="0"/>
        <v>0</v>
      </c>
    </row>
    <row r="15" spans="1:7" ht="15.75" customHeight="1">
      <c r="A15" s="35">
        <v>12</v>
      </c>
      <c r="B15" s="36">
        <v>46215</v>
      </c>
      <c r="C15" s="241"/>
      <c r="D15" s="305"/>
      <c r="E15" s="266"/>
      <c r="F15" s="245"/>
      <c r="G15" s="39">
        <f t="shared" si="0"/>
        <v>0</v>
      </c>
    </row>
    <row r="16" spans="1:7" ht="14.4" customHeight="1">
      <c r="A16" s="23">
        <v>13</v>
      </c>
      <c r="B16" s="25">
        <v>46216</v>
      </c>
      <c r="C16" s="234"/>
      <c r="D16" s="304"/>
      <c r="E16" s="264"/>
      <c r="F16" s="247"/>
      <c r="G16" s="34">
        <f t="shared" si="0"/>
        <v>0</v>
      </c>
    </row>
    <row r="17" spans="1:7" ht="14.4" customHeight="1">
      <c r="A17" s="35">
        <v>14</v>
      </c>
      <c r="B17" s="36">
        <v>46217</v>
      </c>
      <c r="C17" s="241"/>
      <c r="D17" s="305"/>
      <c r="E17" s="266"/>
      <c r="F17" s="245"/>
      <c r="G17" s="34">
        <f t="shared" si="0"/>
        <v>0</v>
      </c>
    </row>
    <row r="18" spans="1:7" ht="14.4" customHeight="1">
      <c r="A18" s="23">
        <v>15</v>
      </c>
      <c r="B18" s="25">
        <v>46218</v>
      </c>
      <c r="C18" s="234"/>
      <c r="D18" s="304"/>
      <c r="E18" s="264"/>
      <c r="F18" s="247"/>
      <c r="G18" s="34">
        <f t="shared" si="0"/>
        <v>0</v>
      </c>
    </row>
    <row r="19" spans="1:7" ht="14.4" customHeight="1">
      <c r="A19" s="35">
        <v>16</v>
      </c>
      <c r="B19" s="36">
        <v>46219</v>
      </c>
      <c r="C19" s="241"/>
      <c r="D19" s="305"/>
      <c r="E19" s="266"/>
      <c r="F19" s="245"/>
      <c r="G19" s="39">
        <f t="shared" si="0"/>
        <v>0</v>
      </c>
    </row>
    <row r="20" spans="1:7" ht="14.4" customHeight="1">
      <c r="A20" s="23">
        <v>17</v>
      </c>
      <c r="B20" s="25">
        <v>46220</v>
      </c>
      <c r="C20" s="234"/>
      <c r="D20" s="45"/>
      <c r="E20" s="264"/>
      <c r="F20" s="247"/>
      <c r="G20" s="34">
        <f>IFERROR(#REF!/F20,0)</f>
        <v>0</v>
      </c>
    </row>
    <row r="21" spans="1:7" ht="14.4" customHeight="1">
      <c r="A21" s="35">
        <v>18</v>
      </c>
      <c r="B21" s="36">
        <v>46221</v>
      </c>
      <c r="C21" s="241"/>
      <c r="D21" s="305"/>
      <c r="E21" s="266"/>
      <c r="F21" s="245"/>
      <c r="G21" s="34">
        <f t="shared" ref="G21:G34" si="1">IFERROR(D21/F21,0)</f>
        <v>0</v>
      </c>
    </row>
    <row r="22" spans="1:7" ht="14.4" customHeight="1">
      <c r="A22" s="23">
        <v>19</v>
      </c>
      <c r="B22" s="25">
        <v>46222</v>
      </c>
      <c r="C22" s="234"/>
      <c r="D22" s="304"/>
      <c r="E22" s="264"/>
      <c r="F22" s="247"/>
      <c r="G22" s="34">
        <f t="shared" si="1"/>
        <v>0</v>
      </c>
    </row>
    <row r="23" spans="1:7" ht="14.4" customHeight="1">
      <c r="A23" s="35">
        <v>20</v>
      </c>
      <c r="B23" s="36">
        <v>46223</v>
      </c>
      <c r="C23" s="241"/>
      <c r="D23" s="305"/>
      <c r="E23" s="266"/>
      <c r="F23" s="245"/>
      <c r="G23" s="34">
        <f t="shared" si="1"/>
        <v>0</v>
      </c>
    </row>
    <row r="24" spans="1:7" ht="14.4" customHeight="1">
      <c r="A24" s="23">
        <v>21</v>
      </c>
      <c r="B24" s="25">
        <v>46224</v>
      </c>
      <c r="C24" s="234"/>
      <c r="D24" s="304"/>
      <c r="E24" s="271"/>
      <c r="F24" s="247"/>
      <c r="G24" s="34">
        <f t="shared" si="1"/>
        <v>0</v>
      </c>
    </row>
    <row r="25" spans="1:7" ht="14.4" customHeight="1">
      <c r="A25" s="35">
        <v>22</v>
      </c>
      <c r="B25" s="36">
        <v>46225</v>
      </c>
      <c r="C25" s="241"/>
      <c r="D25" s="305"/>
      <c r="E25" s="266"/>
      <c r="F25" s="245"/>
      <c r="G25" s="34">
        <f t="shared" si="1"/>
        <v>0</v>
      </c>
    </row>
    <row r="26" spans="1:7" ht="14.4" customHeight="1">
      <c r="A26" s="23">
        <v>23</v>
      </c>
      <c r="B26" s="25">
        <v>46226</v>
      </c>
      <c r="C26" s="234"/>
      <c r="D26" s="304"/>
      <c r="E26" s="264"/>
      <c r="F26" s="247"/>
      <c r="G26" s="39">
        <f t="shared" si="1"/>
        <v>0</v>
      </c>
    </row>
    <row r="27" spans="1:7" ht="14.4" customHeight="1">
      <c r="A27" s="35">
        <v>24</v>
      </c>
      <c r="B27" s="36">
        <v>46227</v>
      </c>
      <c r="C27" s="241"/>
      <c r="D27" s="305"/>
      <c r="E27" s="266"/>
      <c r="F27" s="245"/>
      <c r="G27" s="34">
        <f t="shared" si="1"/>
        <v>0</v>
      </c>
    </row>
    <row r="28" spans="1:7" ht="14.4" customHeight="1">
      <c r="A28" s="23">
        <v>25</v>
      </c>
      <c r="B28" s="25">
        <v>46228</v>
      </c>
      <c r="C28" s="234"/>
      <c r="D28" s="304"/>
      <c r="E28" s="264"/>
      <c r="F28" s="247"/>
      <c r="G28" s="34">
        <f t="shared" si="1"/>
        <v>0</v>
      </c>
    </row>
    <row r="29" spans="1:7" ht="14.4" customHeight="1">
      <c r="A29" s="35">
        <v>26</v>
      </c>
      <c r="B29" s="36">
        <v>46229</v>
      </c>
      <c r="C29" s="241"/>
      <c r="D29" s="305"/>
      <c r="E29" s="266"/>
      <c r="F29" s="245"/>
      <c r="G29" s="39">
        <f t="shared" si="1"/>
        <v>0</v>
      </c>
    </row>
    <row r="30" spans="1:7" ht="14.4" customHeight="1">
      <c r="A30" s="23">
        <v>27</v>
      </c>
      <c r="B30" s="25">
        <v>46230</v>
      </c>
      <c r="C30" s="234"/>
      <c r="D30" s="304"/>
      <c r="E30" s="264"/>
      <c r="F30" s="247"/>
      <c r="G30" s="34">
        <f t="shared" si="1"/>
        <v>0</v>
      </c>
    </row>
    <row r="31" spans="1:7" ht="14.4" customHeight="1">
      <c r="A31" s="35">
        <v>28</v>
      </c>
      <c r="B31" s="36">
        <v>46231</v>
      </c>
      <c r="C31" s="241"/>
      <c r="D31" s="305"/>
      <c r="E31" s="266"/>
      <c r="F31" s="245"/>
      <c r="G31" s="39">
        <f t="shared" si="1"/>
        <v>0</v>
      </c>
    </row>
    <row r="32" spans="1:7" ht="14.4" customHeight="1">
      <c r="A32" s="23">
        <v>29</v>
      </c>
      <c r="B32" s="25">
        <v>46232</v>
      </c>
      <c r="C32" s="234"/>
      <c r="D32" s="304"/>
      <c r="E32" s="264"/>
      <c r="F32" s="247"/>
      <c r="G32" s="34">
        <f t="shared" si="1"/>
        <v>0</v>
      </c>
    </row>
    <row r="33" spans="1:7" ht="14.4" customHeight="1">
      <c r="A33" s="35">
        <v>30</v>
      </c>
      <c r="B33" s="36">
        <v>46233</v>
      </c>
      <c r="C33" s="241"/>
      <c r="D33" s="305"/>
      <c r="E33" s="266"/>
      <c r="F33" s="245"/>
      <c r="G33" s="39">
        <f t="shared" si="1"/>
        <v>0</v>
      </c>
    </row>
    <row r="34" spans="1:7" ht="14.4" customHeight="1">
      <c r="A34" s="23">
        <v>31</v>
      </c>
      <c r="B34" s="25">
        <v>46234</v>
      </c>
      <c r="C34" s="234"/>
      <c r="D34" s="304"/>
      <c r="E34" s="264"/>
      <c r="F34" s="247"/>
      <c r="G34" s="34">
        <f t="shared" si="1"/>
        <v>0</v>
      </c>
    </row>
    <row r="35" spans="1:7" ht="14.4" customHeight="1">
      <c r="A35" s="259"/>
      <c r="B35" s="36"/>
      <c r="C35" s="72"/>
      <c r="D35" s="241"/>
      <c r="E35" s="259"/>
      <c r="F35" s="245"/>
      <c r="G35" s="201"/>
    </row>
    <row r="36" spans="1:7" ht="13.2" customHeight="1">
      <c r="B36" s="73"/>
    </row>
    <row r="37" spans="1:7" ht="13.2" customHeight="1">
      <c r="B37" s="73"/>
    </row>
    <row r="38" spans="1:7" ht="13.2" customHeight="1">
      <c r="B38" s="73"/>
    </row>
    <row r="39" spans="1:7" ht="13.2" customHeight="1">
      <c r="B39" s="73"/>
    </row>
    <row r="40" spans="1:7" ht="13.2" customHeight="1">
      <c r="B40" s="73"/>
    </row>
    <row r="41" spans="1:7" ht="13.2" customHeight="1">
      <c r="B41" s="73"/>
    </row>
    <row r="42" spans="1:7" ht="13.2" customHeight="1">
      <c r="B42" s="73"/>
    </row>
    <row r="43" spans="1:7" ht="13.2" customHeight="1">
      <c r="B43" s="73"/>
    </row>
    <row r="44" spans="1:7" ht="13.2" customHeight="1">
      <c r="B44" s="73"/>
    </row>
    <row r="45" spans="1:7" ht="13.2" customHeight="1">
      <c r="B45" s="73"/>
    </row>
    <row r="46" spans="1:7" ht="13.2" customHeight="1">
      <c r="B46" s="73"/>
    </row>
    <row r="47" spans="1:7" ht="13.2" customHeight="1">
      <c r="B47" s="73"/>
    </row>
    <row r="48" spans="1:7" ht="13.2" customHeight="1">
      <c r="B48" s="73"/>
    </row>
    <row r="49" spans="2:2" ht="13.2" customHeight="1">
      <c r="B49" s="73"/>
    </row>
    <row r="50" spans="2:2" ht="13.2" customHeight="1">
      <c r="B50" s="73"/>
    </row>
    <row r="51" spans="2:2" ht="13.2" customHeight="1">
      <c r="B51" s="73"/>
    </row>
    <row r="52" spans="2:2" ht="13.2" customHeight="1">
      <c r="B52" s="73"/>
    </row>
    <row r="53" spans="2:2" ht="13.2" customHeight="1">
      <c r="B53" s="73"/>
    </row>
    <row r="54" spans="2:2" ht="13.2" customHeight="1">
      <c r="B54" s="73"/>
    </row>
    <row r="55" spans="2:2" ht="13.2" customHeight="1">
      <c r="B55" s="73"/>
    </row>
    <row r="56" spans="2:2" ht="13.2" customHeight="1">
      <c r="B56" s="73"/>
    </row>
    <row r="57" spans="2:2" ht="13.2" customHeight="1">
      <c r="B57" s="73"/>
    </row>
    <row r="58" spans="2:2" ht="13.2" customHeight="1">
      <c r="B58" s="73"/>
    </row>
    <row r="59" spans="2:2" ht="13.2" customHeight="1">
      <c r="B59" s="73"/>
    </row>
    <row r="60" spans="2:2" ht="13.2" customHeight="1">
      <c r="B60" s="73"/>
    </row>
    <row r="61" spans="2:2" ht="13.2" customHeight="1">
      <c r="B61" s="73"/>
    </row>
    <row r="62" spans="2:2" ht="13.2" customHeight="1">
      <c r="B62" s="73"/>
    </row>
    <row r="63" spans="2:2" ht="13.2" customHeight="1">
      <c r="B63" s="73"/>
    </row>
    <row r="64" spans="2:2" ht="13.2" customHeight="1">
      <c r="B64" s="73"/>
    </row>
    <row r="65" spans="2:2" ht="13.2" customHeight="1">
      <c r="B65" s="73"/>
    </row>
    <row r="66" spans="2:2" ht="13.2" customHeight="1">
      <c r="B66" s="73"/>
    </row>
    <row r="67" spans="2:2" ht="13.2" customHeight="1">
      <c r="B67" s="73"/>
    </row>
    <row r="68" spans="2:2" ht="13.2" customHeight="1">
      <c r="B68" s="73"/>
    </row>
    <row r="69" spans="2:2" ht="13.2" customHeight="1">
      <c r="B69" s="73"/>
    </row>
    <row r="70" spans="2:2" ht="13.2" customHeight="1">
      <c r="B70" s="73"/>
    </row>
    <row r="71" spans="2:2" ht="13.2" customHeight="1">
      <c r="B71" s="73"/>
    </row>
    <row r="72" spans="2:2" ht="13.2" customHeight="1">
      <c r="B72" s="73"/>
    </row>
    <row r="73" spans="2:2" ht="13.2" customHeight="1">
      <c r="B73" s="73"/>
    </row>
    <row r="74" spans="2:2" ht="13.2" customHeight="1">
      <c r="B74" s="73"/>
    </row>
    <row r="75" spans="2:2" ht="13.2" customHeight="1">
      <c r="B75" s="73"/>
    </row>
    <row r="76" spans="2:2" ht="13.2" customHeight="1">
      <c r="B76" s="73"/>
    </row>
    <row r="77" spans="2:2" ht="13.2" customHeight="1">
      <c r="B77" s="73"/>
    </row>
    <row r="78" spans="2:2" ht="13.2" customHeight="1">
      <c r="B78" s="73"/>
    </row>
    <row r="79" spans="2:2" ht="13.2" customHeight="1">
      <c r="B79" s="73"/>
    </row>
    <row r="80" spans="2:2" ht="13.2" customHeight="1">
      <c r="B80" s="73"/>
    </row>
    <row r="81" spans="2:2" ht="13.2" customHeight="1">
      <c r="B81" s="73"/>
    </row>
    <row r="82" spans="2:2" ht="13.2" customHeight="1">
      <c r="B82" s="73"/>
    </row>
    <row r="83" spans="2:2" ht="13.2" customHeight="1">
      <c r="B83" s="73"/>
    </row>
    <row r="84" spans="2:2" ht="13.2" customHeight="1">
      <c r="B84" s="73"/>
    </row>
    <row r="85" spans="2:2" ht="13.2" customHeight="1">
      <c r="B85" s="73"/>
    </row>
    <row r="86" spans="2:2" ht="13.2" customHeight="1">
      <c r="B86" s="73"/>
    </row>
    <row r="87" spans="2:2" ht="13.2" customHeight="1">
      <c r="B87" s="73"/>
    </row>
    <row r="88" spans="2:2" ht="13.2" customHeight="1">
      <c r="B88" s="73"/>
    </row>
    <row r="89" spans="2:2" ht="13.2" customHeight="1">
      <c r="B89" s="73"/>
    </row>
    <row r="90" spans="2:2" ht="13.2" customHeight="1">
      <c r="B90" s="73"/>
    </row>
    <row r="91" spans="2:2" ht="13.2" customHeight="1">
      <c r="B91" s="73"/>
    </row>
    <row r="92" spans="2:2" ht="13.2" customHeight="1">
      <c r="B92" s="73"/>
    </row>
    <row r="93" spans="2:2" ht="13.2" customHeight="1">
      <c r="B93" s="73"/>
    </row>
    <row r="94" spans="2:2" ht="13.2" customHeight="1">
      <c r="B94" s="73"/>
    </row>
    <row r="95" spans="2:2" ht="13.2" customHeight="1">
      <c r="B95" s="73"/>
    </row>
    <row r="96" spans="2:2" ht="13.2" customHeight="1">
      <c r="B96" s="73"/>
    </row>
    <row r="97" spans="2:2" ht="13.2" customHeight="1">
      <c r="B97" s="73"/>
    </row>
    <row r="98" spans="2:2" ht="13.2" customHeight="1">
      <c r="B98" s="73"/>
    </row>
    <row r="99" spans="2:2" ht="13.2" customHeight="1">
      <c r="B99" s="73"/>
    </row>
    <row r="100" spans="2:2" ht="13.2" customHeight="1">
      <c r="B100" s="73"/>
    </row>
    <row r="101" spans="2:2" ht="13.2" customHeight="1">
      <c r="B101" s="73"/>
    </row>
    <row r="102" spans="2:2" ht="13.2" customHeight="1">
      <c r="B102" s="73"/>
    </row>
    <row r="103" spans="2:2" ht="13.2" customHeight="1">
      <c r="B103" s="73"/>
    </row>
    <row r="104" spans="2:2" ht="13.2" customHeight="1">
      <c r="B104" s="73"/>
    </row>
    <row r="105" spans="2:2" ht="13.2" customHeight="1">
      <c r="B105" s="73"/>
    </row>
    <row r="106" spans="2:2" ht="13.2" customHeight="1">
      <c r="B106" s="73"/>
    </row>
    <row r="107" spans="2:2" ht="13.2" customHeight="1">
      <c r="B107" s="73"/>
    </row>
    <row r="108" spans="2:2" ht="13.2" customHeight="1">
      <c r="B108" s="73"/>
    </row>
    <row r="109" spans="2:2" ht="13.2" customHeight="1">
      <c r="B109" s="73"/>
    </row>
    <row r="110" spans="2:2" ht="13.2" customHeight="1">
      <c r="B110" s="73"/>
    </row>
    <row r="111" spans="2:2" ht="13.2" customHeight="1">
      <c r="B111" s="73"/>
    </row>
    <row r="112" spans="2:2" ht="13.2" customHeight="1">
      <c r="B112" s="73"/>
    </row>
    <row r="113" spans="2:2" ht="13.2" customHeight="1">
      <c r="B113" s="73"/>
    </row>
    <row r="114" spans="2:2" ht="13.2" customHeight="1">
      <c r="B114" s="73"/>
    </row>
    <row r="115" spans="2:2" ht="13.2" customHeight="1">
      <c r="B115" s="73"/>
    </row>
    <row r="116" spans="2:2" ht="13.2" customHeight="1">
      <c r="B116" s="73"/>
    </row>
    <row r="117" spans="2:2" ht="13.2" customHeight="1">
      <c r="B117" s="73"/>
    </row>
    <row r="118" spans="2:2" ht="13.2" customHeight="1">
      <c r="B118" s="73"/>
    </row>
    <row r="119" spans="2:2" ht="13.2" customHeight="1">
      <c r="B119" s="73"/>
    </row>
    <row r="120" spans="2:2" ht="13.2" customHeight="1">
      <c r="B120" s="73"/>
    </row>
    <row r="121" spans="2:2" ht="13.2" customHeight="1">
      <c r="B121" s="73"/>
    </row>
    <row r="122" spans="2:2" ht="13.2" customHeight="1">
      <c r="B122" s="73"/>
    </row>
    <row r="123" spans="2:2" ht="13.2" customHeight="1">
      <c r="B123" s="73"/>
    </row>
    <row r="124" spans="2:2" ht="13.2" customHeight="1">
      <c r="B124" s="73"/>
    </row>
    <row r="125" spans="2:2" ht="13.2" customHeight="1">
      <c r="B125" s="73"/>
    </row>
    <row r="126" spans="2:2" ht="13.2" customHeight="1">
      <c r="B126" s="73"/>
    </row>
    <row r="127" spans="2:2" ht="13.2" customHeight="1">
      <c r="B127" s="73"/>
    </row>
    <row r="128" spans="2:2" ht="13.2" customHeight="1">
      <c r="B128" s="73"/>
    </row>
    <row r="129" spans="2:2" ht="13.2" customHeight="1">
      <c r="B129" s="73"/>
    </row>
    <row r="130" spans="2:2" ht="13.2" customHeight="1">
      <c r="B130" s="73"/>
    </row>
    <row r="131" spans="2:2" ht="13.2" customHeight="1">
      <c r="B131" s="73"/>
    </row>
    <row r="132" spans="2:2" ht="13.2" customHeight="1">
      <c r="B132" s="73"/>
    </row>
    <row r="133" spans="2:2" ht="13.2" customHeight="1">
      <c r="B133" s="73"/>
    </row>
    <row r="134" spans="2:2" ht="13.2" customHeight="1">
      <c r="B134" s="73"/>
    </row>
    <row r="135" spans="2:2" ht="13.2" customHeight="1">
      <c r="B135" s="73"/>
    </row>
    <row r="136" spans="2:2" ht="13.2" customHeight="1">
      <c r="B136" s="73"/>
    </row>
    <row r="137" spans="2:2" ht="13.2" customHeight="1">
      <c r="B137" s="73"/>
    </row>
    <row r="138" spans="2:2" ht="13.2" customHeight="1">
      <c r="B138" s="73"/>
    </row>
    <row r="139" spans="2:2" ht="13.2" customHeight="1">
      <c r="B139" s="73"/>
    </row>
    <row r="140" spans="2:2" ht="13.2" customHeight="1">
      <c r="B140" s="73"/>
    </row>
    <row r="141" spans="2:2" ht="13.2" customHeight="1">
      <c r="B141" s="73"/>
    </row>
    <row r="142" spans="2:2" ht="13.2" customHeight="1">
      <c r="B142" s="73"/>
    </row>
    <row r="143" spans="2:2" ht="13.2" customHeight="1">
      <c r="B143" s="73"/>
    </row>
    <row r="144" spans="2:2" ht="13.2" customHeight="1">
      <c r="B144" s="73"/>
    </row>
    <row r="145" spans="2:2" ht="13.2" customHeight="1">
      <c r="B145" s="73"/>
    </row>
    <row r="146" spans="2:2" ht="13.2" customHeight="1">
      <c r="B146" s="73"/>
    </row>
    <row r="147" spans="2:2" ht="13.2" customHeight="1">
      <c r="B147" s="73"/>
    </row>
    <row r="148" spans="2:2" ht="13.2" customHeight="1">
      <c r="B148" s="73"/>
    </row>
    <row r="149" spans="2:2" ht="13.2" customHeight="1">
      <c r="B149" s="73"/>
    </row>
    <row r="150" spans="2:2" ht="13.2" customHeight="1">
      <c r="B150" s="73"/>
    </row>
    <row r="151" spans="2:2" ht="13.2" customHeight="1">
      <c r="B151" s="73"/>
    </row>
    <row r="152" spans="2:2" ht="13.2" customHeight="1">
      <c r="B152" s="73"/>
    </row>
    <row r="153" spans="2:2" ht="13.2" customHeight="1">
      <c r="B153" s="73"/>
    </row>
    <row r="154" spans="2:2" ht="13.2" customHeight="1">
      <c r="B154" s="73"/>
    </row>
    <row r="155" spans="2:2" ht="13.2" customHeight="1">
      <c r="B155" s="73"/>
    </row>
    <row r="156" spans="2:2" ht="13.2" customHeight="1">
      <c r="B156" s="73"/>
    </row>
    <row r="157" spans="2:2" ht="13.2" customHeight="1">
      <c r="B157" s="73"/>
    </row>
    <row r="158" spans="2:2" ht="13.2" customHeight="1">
      <c r="B158" s="73"/>
    </row>
    <row r="159" spans="2:2" ht="13.2" customHeight="1">
      <c r="B159" s="73"/>
    </row>
    <row r="160" spans="2:2" ht="13.2" customHeight="1">
      <c r="B160" s="73"/>
    </row>
    <row r="161" spans="2:2" ht="13.2" customHeight="1">
      <c r="B161" s="73"/>
    </row>
    <row r="162" spans="2:2" ht="13.2" customHeight="1">
      <c r="B162" s="73"/>
    </row>
    <row r="163" spans="2:2" ht="13.2" customHeight="1">
      <c r="B163" s="73"/>
    </row>
    <row r="164" spans="2:2" ht="13.2" customHeight="1">
      <c r="B164" s="73"/>
    </row>
    <row r="165" spans="2:2" ht="13.2" customHeight="1">
      <c r="B165" s="73"/>
    </row>
    <row r="166" spans="2:2" ht="13.2" customHeight="1">
      <c r="B166" s="73"/>
    </row>
    <row r="167" spans="2:2" ht="13.2" customHeight="1">
      <c r="B167" s="73"/>
    </row>
    <row r="168" spans="2:2" ht="13.2" customHeight="1">
      <c r="B168" s="73"/>
    </row>
    <row r="169" spans="2:2" ht="13.2" customHeight="1">
      <c r="B169" s="73"/>
    </row>
    <row r="170" spans="2:2" ht="13.2" customHeight="1">
      <c r="B170" s="73"/>
    </row>
    <row r="171" spans="2:2" ht="13.2" customHeight="1">
      <c r="B171" s="73"/>
    </row>
    <row r="172" spans="2:2" ht="13.2" customHeight="1">
      <c r="B172" s="73"/>
    </row>
    <row r="173" spans="2:2" ht="13.2" customHeight="1">
      <c r="B173" s="73"/>
    </row>
    <row r="174" spans="2:2" ht="13.2" customHeight="1">
      <c r="B174" s="73"/>
    </row>
    <row r="175" spans="2:2" ht="13.2" customHeight="1">
      <c r="B175" s="73"/>
    </row>
    <row r="176" spans="2:2" ht="13.2" customHeight="1">
      <c r="B176" s="73"/>
    </row>
    <row r="177" spans="2:2" ht="13.2" customHeight="1">
      <c r="B177" s="73"/>
    </row>
    <row r="178" spans="2:2" ht="13.2" customHeight="1">
      <c r="B178" s="73"/>
    </row>
    <row r="179" spans="2:2" ht="13.2" customHeight="1">
      <c r="B179" s="73"/>
    </row>
    <row r="180" spans="2:2" ht="13.2" customHeight="1">
      <c r="B180" s="73"/>
    </row>
    <row r="181" spans="2:2" ht="13.2" customHeight="1">
      <c r="B181" s="73"/>
    </row>
    <row r="182" spans="2:2" ht="13.2" customHeight="1">
      <c r="B182" s="73"/>
    </row>
    <row r="183" spans="2:2" ht="13.2" customHeight="1">
      <c r="B183" s="73"/>
    </row>
    <row r="184" spans="2:2" ht="13.2" customHeight="1">
      <c r="B184" s="73"/>
    </row>
    <row r="185" spans="2:2" ht="13.2" customHeight="1">
      <c r="B185" s="73"/>
    </row>
    <row r="186" spans="2:2" ht="13.2" customHeight="1">
      <c r="B186" s="73"/>
    </row>
    <row r="187" spans="2:2" ht="13.2" customHeight="1">
      <c r="B187" s="73"/>
    </row>
    <row r="188" spans="2:2" ht="13.2" customHeight="1">
      <c r="B188" s="73"/>
    </row>
    <row r="189" spans="2:2" ht="13.2" customHeight="1">
      <c r="B189" s="73"/>
    </row>
    <row r="190" spans="2:2" ht="13.2" customHeight="1">
      <c r="B190" s="73"/>
    </row>
    <row r="191" spans="2:2" ht="13.2" customHeight="1">
      <c r="B191" s="73"/>
    </row>
    <row r="192" spans="2:2" ht="13.2" customHeight="1">
      <c r="B192" s="73"/>
    </row>
    <row r="193" spans="2:2" ht="13.2" customHeight="1">
      <c r="B193" s="73"/>
    </row>
    <row r="194" spans="2:2" ht="13.2" customHeight="1">
      <c r="B194" s="73"/>
    </row>
    <row r="195" spans="2:2" ht="13.2" customHeight="1">
      <c r="B195" s="73"/>
    </row>
    <row r="196" spans="2:2" ht="13.2" customHeight="1">
      <c r="B196" s="73"/>
    </row>
    <row r="197" spans="2:2" ht="13.2" customHeight="1">
      <c r="B197" s="73"/>
    </row>
    <row r="198" spans="2:2" ht="13.2" customHeight="1">
      <c r="B198" s="73"/>
    </row>
    <row r="199" spans="2:2" ht="13.2" customHeight="1">
      <c r="B199" s="73"/>
    </row>
    <row r="200" spans="2:2" ht="13.2" customHeight="1">
      <c r="B200" s="73"/>
    </row>
    <row r="201" spans="2:2" ht="13.2" customHeight="1">
      <c r="B201" s="73"/>
    </row>
    <row r="202" spans="2:2" ht="13.2" customHeight="1">
      <c r="B202" s="73"/>
    </row>
    <row r="203" spans="2:2" ht="13.2" customHeight="1">
      <c r="B203" s="73"/>
    </row>
    <row r="204" spans="2:2" ht="13.2" customHeight="1">
      <c r="B204" s="73"/>
    </row>
    <row r="205" spans="2:2" ht="13.2" customHeight="1">
      <c r="B205" s="73"/>
    </row>
    <row r="206" spans="2:2" ht="13.2" customHeight="1">
      <c r="B206" s="73"/>
    </row>
    <row r="207" spans="2:2" ht="13.2" customHeight="1">
      <c r="B207" s="73"/>
    </row>
    <row r="208" spans="2:2" ht="13.2" customHeight="1">
      <c r="B208" s="73"/>
    </row>
    <row r="209" spans="2:2" ht="13.2" customHeight="1">
      <c r="B209" s="73"/>
    </row>
    <row r="210" spans="2:2" ht="13.2" customHeight="1">
      <c r="B210" s="73"/>
    </row>
    <row r="211" spans="2:2" ht="13.2" customHeight="1">
      <c r="B211" s="73"/>
    </row>
    <row r="212" spans="2:2" ht="13.2" customHeight="1">
      <c r="B212" s="73"/>
    </row>
    <row r="213" spans="2:2" ht="13.2" customHeight="1">
      <c r="B213" s="73"/>
    </row>
    <row r="214" spans="2:2" ht="13.2" customHeight="1">
      <c r="B214" s="73"/>
    </row>
    <row r="215" spans="2:2" ht="13.2" customHeight="1">
      <c r="B215" s="73"/>
    </row>
    <row r="216" spans="2:2" ht="13.2" customHeight="1">
      <c r="B216" s="73"/>
    </row>
    <row r="217" spans="2:2" ht="13.2" customHeight="1">
      <c r="B217" s="73"/>
    </row>
    <row r="218" spans="2:2" ht="13.2" customHeight="1">
      <c r="B218" s="73"/>
    </row>
    <row r="219" spans="2:2" ht="13.2" customHeight="1">
      <c r="B219" s="73"/>
    </row>
    <row r="220" spans="2:2" ht="13.2" customHeight="1">
      <c r="B220" s="73"/>
    </row>
    <row r="221" spans="2:2" ht="13.2" customHeight="1">
      <c r="B221" s="73"/>
    </row>
    <row r="222" spans="2:2" ht="13.2" customHeight="1">
      <c r="B222" s="73"/>
    </row>
    <row r="223" spans="2:2" ht="13.2" customHeight="1">
      <c r="B223" s="73"/>
    </row>
    <row r="224" spans="2:2" ht="13.2" customHeight="1">
      <c r="B224" s="73"/>
    </row>
    <row r="225" spans="2:2" ht="13.2" customHeight="1">
      <c r="B225" s="73"/>
    </row>
    <row r="226" spans="2:2" ht="13.2" customHeight="1">
      <c r="B226" s="73"/>
    </row>
    <row r="227" spans="2:2" ht="13.2" customHeight="1">
      <c r="B227" s="73"/>
    </row>
    <row r="228" spans="2:2" ht="13.2" customHeight="1">
      <c r="B228" s="73"/>
    </row>
    <row r="229" spans="2:2" ht="13.2" customHeight="1">
      <c r="B229" s="73"/>
    </row>
    <row r="230" spans="2:2" ht="13.2" customHeight="1">
      <c r="B230" s="73"/>
    </row>
    <row r="231" spans="2:2" ht="13.2" customHeight="1">
      <c r="B231" s="73"/>
    </row>
    <row r="232" spans="2:2" ht="13.2" customHeight="1">
      <c r="B232" s="73"/>
    </row>
    <row r="233" spans="2:2" ht="13.2" customHeight="1">
      <c r="B233" s="73"/>
    </row>
    <row r="234" spans="2:2" ht="13.2" customHeight="1">
      <c r="B234" s="73"/>
    </row>
    <row r="235" spans="2:2" ht="13.2" customHeight="1">
      <c r="B235" s="73"/>
    </row>
    <row r="236" spans="2:2" ht="13.2" customHeight="1">
      <c r="B236" s="73"/>
    </row>
    <row r="237" spans="2:2" ht="13.2" customHeight="1">
      <c r="B237" s="73"/>
    </row>
    <row r="238" spans="2:2" ht="13.2" customHeight="1">
      <c r="B238" s="73"/>
    </row>
    <row r="239" spans="2:2" ht="13.2" customHeight="1">
      <c r="B239" s="73"/>
    </row>
    <row r="240" spans="2:2" ht="13.2" customHeight="1">
      <c r="B240" s="73"/>
    </row>
    <row r="241" spans="2:2" ht="13.2" customHeight="1">
      <c r="B241" s="73"/>
    </row>
    <row r="242" spans="2:2" ht="13.2" customHeight="1">
      <c r="B242" s="73"/>
    </row>
    <row r="243" spans="2:2" ht="13.2" customHeight="1">
      <c r="B243" s="73"/>
    </row>
    <row r="244" spans="2:2" ht="13.2" customHeight="1">
      <c r="B244" s="73"/>
    </row>
    <row r="245" spans="2:2" ht="13.2" customHeight="1">
      <c r="B245" s="73"/>
    </row>
    <row r="246" spans="2:2" ht="13.2" customHeight="1">
      <c r="B246" s="73"/>
    </row>
    <row r="247" spans="2:2" ht="13.2" customHeight="1">
      <c r="B247" s="73"/>
    </row>
    <row r="248" spans="2:2" ht="13.2" customHeight="1">
      <c r="B248" s="73"/>
    </row>
    <row r="249" spans="2:2" ht="13.2" customHeight="1">
      <c r="B249" s="73"/>
    </row>
    <row r="250" spans="2:2" ht="13.2" customHeight="1">
      <c r="B250" s="73"/>
    </row>
    <row r="251" spans="2:2" ht="13.2" customHeight="1">
      <c r="B251" s="73"/>
    </row>
    <row r="252" spans="2:2" ht="13.2" customHeight="1">
      <c r="B252" s="73"/>
    </row>
    <row r="253" spans="2:2" ht="13.2" customHeight="1">
      <c r="B253" s="73"/>
    </row>
    <row r="254" spans="2:2" ht="13.2" customHeight="1">
      <c r="B254" s="73"/>
    </row>
    <row r="255" spans="2:2" ht="13.2" customHeight="1">
      <c r="B255" s="73"/>
    </row>
    <row r="256" spans="2:2" ht="13.2" customHeight="1">
      <c r="B256" s="73"/>
    </row>
    <row r="257" spans="2:2" ht="13.2" customHeight="1">
      <c r="B257" s="73"/>
    </row>
    <row r="258" spans="2:2" ht="13.2" customHeight="1">
      <c r="B258" s="73"/>
    </row>
    <row r="259" spans="2:2" ht="13.2" customHeight="1">
      <c r="B259" s="73"/>
    </row>
    <row r="260" spans="2:2" ht="13.2" customHeight="1">
      <c r="B260" s="73"/>
    </row>
    <row r="261" spans="2:2" ht="13.2" customHeight="1">
      <c r="B261" s="73"/>
    </row>
    <row r="262" spans="2:2" ht="13.2" customHeight="1">
      <c r="B262" s="73"/>
    </row>
    <row r="263" spans="2:2" ht="13.2" customHeight="1">
      <c r="B263" s="73"/>
    </row>
    <row r="264" spans="2:2" ht="13.2" customHeight="1">
      <c r="B264" s="73"/>
    </row>
    <row r="265" spans="2:2" ht="13.2" customHeight="1">
      <c r="B265" s="73"/>
    </row>
    <row r="266" spans="2:2" ht="13.2" customHeight="1">
      <c r="B266" s="73"/>
    </row>
    <row r="267" spans="2:2" ht="13.2" customHeight="1">
      <c r="B267" s="73"/>
    </row>
    <row r="268" spans="2:2" ht="13.2" customHeight="1">
      <c r="B268" s="73"/>
    </row>
    <row r="269" spans="2:2" ht="13.2" customHeight="1">
      <c r="B269" s="73"/>
    </row>
    <row r="270" spans="2:2" ht="13.2" customHeight="1">
      <c r="B270" s="73"/>
    </row>
    <row r="271" spans="2:2" ht="13.2" customHeight="1">
      <c r="B271" s="73"/>
    </row>
    <row r="272" spans="2:2" ht="13.2" customHeight="1">
      <c r="B272" s="73"/>
    </row>
    <row r="273" spans="2:2" ht="13.2" customHeight="1">
      <c r="B273" s="73"/>
    </row>
    <row r="274" spans="2:2" ht="13.2" customHeight="1">
      <c r="B274" s="73"/>
    </row>
    <row r="275" spans="2:2" ht="13.2" customHeight="1">
      <c r="B275" s="73"/>
    </row>
    <row r="276" spans="2:2" ht="13.2" customHeight="1">
      <c r="B276" s="73"/>
    </row>
    <row r="277" spans="2:2" ht="13.2" customHeight="1">
      <c r="B277" s="73"/>
    </row>
    <row r="278" spans="2:2" ht="13.2" customHeight="1">
      <c r="B278" s="73"/>
    </row>
    <row r="279" spans="2:2" ht="13.2" customHeight="1">
      <c r="B279" s="73"/>
    </row>
    <row r="280" spans="2:2" ht="13.2" customHeight="1">
      <c r="B280" s="73"/>
    </row>
    <row r="281" spans="2:2" ht="13.2" customHeight="1">
      <c r="B281" s="73"/>
    </row>
    <row r="282" spans="2:2" ht="13.2" customHeight="1">
      <c r="B282" s="73"/>
    </row>
    <row r="283" spans="2:2" ht="13.2" customHeight="1">
      <c r="B283" s="73"/>
    </row>
    <row r="284" spans="2:2" ht="13.2" customHeight="1">
      <c r="B284" s="73"/>
    </row>
    <row r="285" spans="2:2" ht="13.2" customHeight="1">
      <c r="B285" s="73"/>
    </row>
    <row r="286" spans="2:2" ht="13.2" customHeight="1">
      <c r="B286" s="73"/>
    </row>
    <row r="287" spans="2:2" ht="13.2" customHeight="1">
      <c r="B287" s="73"/>
    </row>
    <row r="288" spans="2:2" ht="13.2" customHeight="1">
      <c r="B288" s="73"/>
    </row>
    <row r="289" spans="2:2" ht="13.2" customHeight="1">
      <c r="B289" s="73"/>
    </row>
    <row r="290" spans="2:2" ht="13.2" customHeight="1">
      <c r="B290" s="73"/>
    </row>
    <row r="291" spans="2:2" ht="13.2" customHeight="1">
      <c r="B291" s="73"/>
    </row>
    <row r="292" spans="2:2" ht="13.2" customHeight="1">
      <c r="B292" s="73"/>
    </row>
    <row r="293" spans="2:2" ht="13.2" customHeight="1">
      <c r="B293" s="73"/>
    </row>
    <row r="294" spans="2:2" ht="13.2" customHeight="1">
      <c r="B294" s="73"/>
    </row>
    <row r="295" spans="2:2" ht="13.2" customHeight="1">
      <c r="B295" s="73"/>
    </row>
    <row r="296" spans="2:2" ht="13.2" customHeight="1">
      <c r="B296" s="73"/>
    </row>
    <row r="297" spans="2:2" ht="13.2" customHeight="1">
      <c r="B297" s="73"/>
    </row>
    <row r="298" spans="2:2" ht="13.2" customHeight="1">
      <c r="B298" s="73"/>
    </row>
    <row r="299" spans="2:2" ht="13.2" customHeight="1">
      <c r="B299" s="73"/>
    </row>
    <row r="300" spans="2:2" ht="13.2" customHeight="1">
      <c r="B300" s="73"/>
    </row>
    <row r="301" spans="2:2" ht="13.2" customHeight="1">
      <c r="B301" s="73"/>
    </row>
    <row r="302" spans="2:2" ht="13.2" customHeight="1">
      <c r="B302" s="73"/>
    </row>
    <row r="303" spans="2:2" ht="13.2" customHeight="1">
      <c r="B303" s="73"/>
    </row>
    <row r="304" spans="2:2" ht="13.2" customHeight="1">
      <c r="B304" s="73"/>
    </row>
    <row r="305" spans="2:2" ht="13.2" customHeight="1">
      <c r="B305" s="73"/>
    </row>
    <row r="306" spans="2:2" ht="13.2" customHeight="1">
      <c r="B306" s="73"/>
    </row>
    <row r="307" spans="2:2" ht="13.2" customHeight="1">
      <c r="B307" s="73"/>
    </row>
    <row r="308" spans="2:2" ht="13.2" customHeight="1">
      <c r="B308" s="73"/>
    </row>
    <row r="309" spans="2:2" ht="13.2" customHeight="1">
      <c r="B309" s="73"/>
    </row>
    <row r="310" spans="2:2" ht="13.2" customHeight="1">
      <c r="B310" s="73"/>
    </row>
    <row r="311" spans="2:2" ht="13.2" customHeight="1">
      <c r="B311" s="73"/>
    </row>
    <row r="312" spans="2:2" ht="13.2" customHeight="1">
      <c r="B312" s="73"/>
    </row>
    <row r="313" spans="2:2" ht="13.2" customHeight="1">
      <c r="B313" s="73"/>
    </row>
    <row r="314" spans="2:2" ht="13.2" customHeight="1">
      <c r="B314" s="73"/>
    </row>
    <row r="315" spans="2:2" ht="13.2" customHeight="1">
      <c r="B315" s="73"/>
    </row>
    <row r="316" spans="2:2" ht="13.2" customHeight="1">
      <c r="B316" s="73"/>
    </row>
    <row r="317" spans="2:2" ht="13.2" customHeight="1">
      <c r="B317" s="73"/>
    </row>
    <row r="318" spans="2:2" ht="13.2" customHeight="1">
      <c r="B318" s="73"/>
    </row>
    <row r="319" spans="2:2" ht="13.2" customHeight="1">
      <c r="B319" s="73"/>
    </row>
    <row r="320" spans="2:2" ht="13.2" customHeight="1">
      <c r="B320" s="73"/>
    </row>
    <row r="321" spans="2:2" ht="13.2" customHeight="1">
      <c r="B321" s="73"/>
    </row>
    <row r="322" spans="2:2" ht="13.2" customHeight="1">
      <c r="B322" s="73"/>
    </row>
    <row r="323" spans="2:2" ht="13.2" customHeight="1">
      <c r="B323" s="73"/>
    </row>
    <row r="324" spans="2:2" ht="13.2" customHeight="1">
      <c r="B324" s="73"/>
    </row>
    <row r="325" spans="2:2" ht="13.2" customHeight="1">
      <c r="B325" s="73"/>
    </row>
    <row r="326" spans="2:2" ht="13.2" customHeight="1">
      <c r="B326" s="73"/>
    </row>
    <row r="327" spans="2:2" ht="13.2" customHeight="1">
      <c r="B327" s="73"/>
    </row>
    <row r="328" spans="2:2" ht="13.2" customHeight="1">
      <c r="B328" s="73"/>
    </row>
    <row r="329" spans="2:2" ht="13.2" customHeight="1">
      <c r="B329" s="73"/>
    </row>
    <row r="330" spans="2:2" ht="13.2" customHeight="1">
      <c r="B330" s="73"/>
    </row>
    <row r="331" spans="2:2" ht="13.2" customHeight="1">
      <c r="B331" s="73"/>
    </row>
    <row r="332" spans="2:2" ht="13.2" customHeight="1">
      <c r="B332" s="73"/>
    </row>
    <row r="333" spans="2:2" ht="13.2" customHeight="1">
      <c r="B333" s="73"/>
    </row>
    <row r="334" spans="2:2" ht="13.2" customHeight="1">
      <c r="B334" s="73"/>
    </row>
    <row r="335" spans="2:2" ht="13.2" customHeight="1">
      <c r="B335" s="73"/>
    </row>
    <row r="336" spans="2:2" ht="13.2" customHeight="1">
      <c r="B336" s="73"/>
    </row>
    <row r="337" spans="2:2" ht="13.2" customHeight="1">
      <c r="B337" s="73"/>
    </row>
    <row r="338" spans="2:2" ht="13.2" customHeight="1">
      <c r="B338" s="73"/>
    </row>
    <row r="339" spans="2:2" ht="13.2" customHeight="1">
      <c r="B339" s="73"/>
    </row>
    <row r="340" spans="2:2" ht="13.2" customHeight="1">
      <c r="B340" s="73"/>
    </row>
    <row r="341" spans="2:2" ht="13.2" customHeight="1">
      <c r="B341" s="73"/>
    </row>
    <row r="342" spans="2:2" ht="13.2" customHeight="1">
      <c r="B342" s="73"/>
    </row>
    <row r="343" spans="2:2" ht="13.2" customHeight="1">
      <c r="B343" s="73"/>
    </row>
    <row r="344" spans="2:2" ht="13.2" customHeight="1">
      <c r="B344" s="73"/>
    </row>
    <row r="345" spans="2:2" ht="13.2" customHeight="1">
      <c r="B345" s="73"/>
    </row>
    <row r="346" spans="2:2" ht="13.2" customHeight="1">
      <c r="B346" s="73"/>
    </row>
    <row r="347" spans="2:2" ht="13.2" customHeight="1">
      <c r="B347" s="73"/>
    </row>
    <row r="348" spans="2:2" ht="13.2" customHeight="1">
      <c r="B348" s="73"/>
    </row>
    <row r="349" spans="2:2" ht="13.2" customHeight="1">
      <c r="B349" s="73"/>
    </row>
    <row r="350" spans="2:2" ht="13.2" customHeight="1">
      <c r="B350" s="73"/>
    </row>
    <row r="351" spans="2:2" ht="13.2" customHeight="1">
      <c r="B351" s="73"/>
    </row>
    <row r="352" spans="2:2" ht="13.2" customHeight="1">
      <c r="B352" s="73"/>
    </row>
    <row r="353" spans="2:2" ht="13.2" customHeight="1">
      <c r="B353" s="73"/>
    </row>
    <row r="354" spans="2:2" ht="13.2" customHeight="1">
      <c r="B354" s="73"/>
    </row>
    <row r="355" spans="2:2" ht="13.2" customHeight="1">
      <c r="B355" s="73"/>
    </row>
    <row r="356" spans="2:2" ht="13.2" customHeight="1">
      <c r="B356" s="73"/>
    </row>
    <row r="357" spans="2:2" ht="13.2" customHeight="1">
      <c r="B357" s="73"/>
    </row>
    <row r="358" spans="2:2" ht="13.2" customHeight="1">
      <c r="B358" s="73"/>
    </row>
    <row r="359" spans="2:2" ht="13.2" customHeight="1">
      <c r="B359" s="73"/>
    </row>
    <row r="360" spans="2:2" ht="13.2" customHeight="1">
      <c r="B360" s="73"/>
    </row>
    <row r="361" spans="2:2" ht="13.2" customHeight="1">
      <c r="B361" s="73"/>
    </row>
    <row r="362" spans="2:2" ht="13.2" customHeight="1">
      <c r="B362" s="73"/>
    </row>
    <row r="363" spans="2:2" ht="13.2" customHeight="1">
      <c r="B363" s="73"/>
    </row>
    <row r="364" spans="2:2" ht="13.2" customHeight="1">
      <c r="B364" s="73"/>
    </row>
    <row r="365" spans="2:2" ht="13.2" customHeight="1">
      <c r="B365" s="73"/>
    </row>
    <row r="366" spans="2:2" ht="13.2" customHeight="1">
      <c r="B366" s="73"/>
    </row>
    <row r="367" spans="2:2" ht="13.2" customHeight="1">
      <c r="B367" s="73"/>
    </row>
    <row r="368" spans="2:2" ht="13.2" customHeight="1">
      <c r="B368" s="73"/>
    </row>
    <row r="369" spans="2:2" ht="13.2" customHeight="1">
      <c r="B369" s="73"/>
    </row>
    <row r="370" spans="2:2" ht="13.2" customHeight="1">
      <c r="B370" s="73"/>
    </row>
    <row r="371" spans="2:2" ht="13.2" customHeight="1">
      <c r="B371" s="73"/>
    </row>
    <row r="372" spans="2:2" ht="13.2" customHeight="1">
      <c r="B372" s="73"/>
    </row>
    <row r="373" spans="2:2" ht="13.2" customHeight="1">
      <c r="B373" s="73"/>
    </row>
    <row r="374" spans="2:2" ht="13.2" customHeight="1">
      <c r="B374" s="73"/>
    </row>
    <row r="375" spans="2:2" ht="13.2" customHeight="1">
      <c r="B375" s="73"/>
    </row>
    <row r="376" spans="2:2" ht="13.2" customHeight="1">
      <c r="B376" s="73"/>
    </row>
    <row r="377" spans="2:2" ht="13.2" customHeight="1">
      <c r="B377" s="73"/>
    </row>
    <row r="378" spans="2:2" ht="13.2" customHeight="1">
      <c r="B378" s="73"/>
    </row>
    <row r="379" spans="2:2" ht="13.2" customHeight="1">
      <c r="B379" s="73"/>
    </row>
    <row r="380" spans="2:2" ht="13.2" customHeight="1">
      <c r="B380" s="73"/>
    </row>
    <row r="381" spans="2:2" ht="13.2" customHeight="1">
      <c r="B381" s="73"/>
    </row>
    <row r="382" spans="2:2" ht="13.2" customHeight="1">
      <c r="B382" s="73"/>
    </row>
    <row r="383" spans="2:2" ht="13.2" customHeight="1">
      <c r="B383" s="73"/>
    </row>
    <row r="384" spans="2:2" ht="13.2" customHeight="1">
      <c r="B384" s="73"/>
    </row>
    <row r="385" spans="2:2" ht="13.2" customHeight="1">
      <c r="B385" s="73"/>
    </row>
    <row r="386" spans="2:2" ht="13.2" customHeight="1">
      <c r="B386" s="73"/>
    </row>
    <row r="387" spans="2:2" ht="13.2" customHeight="1">
      <c r="B387" s="73"/>
    </row>
    <row r="388" spans="2:2" ht="13.2" customHeight="1">
      <c r="B388" s="73"/>
    </row>
    <row r="389" spans="2:2" ht="13.2" customHeight="1">
      <c r="B389" s="73"/>
    </row>
    <row r="390" spans="2:2" ht="13.2" customHeight="1">
      <c r="B390" s="73"/>
    </row>
    <row r="391" spans="2:2" ht="13.2" customHeight="1">
      <c r="B391" s="73"/>
    </row>
    <row r="392" spans="2:2" ht="13.2" customHeight="1">
      <c r="B392" s="73"/>
    </row>
    <row r="393" spans="2:2" ht="13.2" customHeight="1">
      <c r="B393" s="73"/>
    </row>
    <row r="394" spans="2:2" ht="13.2" customHeight="1">
      <c r="B394" s="73"/>
    </row>
    <row r="395" spans="2:2" ht="13.2" customHeight="1">
      <c r="B395" s="73"/>
    </row>
    <row r="396" spans="2:2" ht="13.2" customHeight="1">
      <c r="B396" s="73"/>
    </row>
    <row r="397" spans="2:2" ht="13.2" customHeight="1">
      <c r="B397" s="73"/>
    </row>
    <row r="398" spans="2:2" ht="13.2" customHeight="1">
      <c r="B398" s="73"/>
    </row>
    <row r="399" spans="2:2" ht="13.2" customHeight="1">
      <c r="B399" s="73"/>
    </row>
    <row r="400" spans="2:2" ht="13.2" customHeight="1">
      <c r="B400" s="73"/>
    </row>
    <row r="401" spans="2:2" ht="13.2" customHeight="1">
      <c r="B401" s="73"/>
    </row>
    <row r="402" spans="2:2" ht="13.2" customHeight="1">
      <c r="B402" s="73"/>
    </row>
    <row r="403" spans="2:2" ht="13.2" customHeight="1">
      <c r="B403" s="73"/>
    </row>
    <row r="404" spans="2:2" ht="13.2" customHeight="1">
      <c r="B404" s="73"/>
    </row>
    <row r="405" spans="2:2" ht="13.2" customHeight="1">
      <c r="B405" s="73"/>
    </row>
    <row r="406" spans="2:2" ht="13.2" customHeight="1">
      <c r="B406" s="73"/>
    </row>
    <row r="407" spans="2:2" ht="13.2" customHeight="1">
      <c r="B407" s="73"/>
    </row>
    <row r="408" spans="2:2" ht="13.2" customHeight="1">
      <c r="B408" s="73"/>
    </row>
    <row r="409" spans="2:2" ht="13.2" customHeight="1">
      <c r="B409" s="73"/>
    </row>
    <row r="410" spans="2:2" ht="13.2" customHeight="1">
      <c r="B410" s="73"/>
    </row>
    <row r="411" spans="2:2" ht="13.2" customHeight="1">
      <c r="B411" s="73"/>
    </row>
    <row r="412" spans="2:2" ht="13.2" customHeight="1">
      <c r="B412" s="73"/>
    </row>
    <row r="413" spans="2:2" ht="13.2" customHeight="1">
      <c r="B413" s="73"/>
    </row>
    <row r="414" spans="2:2" ht="13.2" customHeight="1">
      <c r="B414" s="73"/>
    </row>
    <row r="415" spans="2:2" ht="13.2" customHeight="1">
      <c r="B415" s="73"/>
    </row>
    <row r="416" spans="2:2" ht="13.2" customHeight="1">
      <c r="B416" s="73"/>
    </row>
    <row r="417" spans="2:2" ht="13.2" customHeight="1">
      <c r="B417" s="73"/>
    </row>
    <row r="418" spans="2:2" ht="13.2" customHeight="1">
      <c r="B418" s="73"/>
    </row>
    <row r="419" spans="2:2" ht="13.2" customHeight="1">
      <c r="B419" s="73"/>
    </row>
    <row r="420" spans="2:2" ht="13.2" customHeight="1">
      <c r="B420" s="73"/>
    </row>
    <row r="421" spans="2:2" ht="13.2" customHeight="1">
      <c r="B421" s="73"/>
    </row>
    <row r="422" spans="2:2" ht="13.2" customHeight="1">
      <c r="B422" s="73"/>
    </row>
    <row r="423" spans="2:2" ht="13.2" customHeight="1">
      <c r="B423" s="73"/>
    </row>
    <row r="424" spans="2:2" ht="13.2" customHeight="1">
      <c r="B424" s="73"/>
    </row>
    <row r="425" spans="2:2" ht="13.2" customHeight="1">
      <c r="B425" s="73"/>
    </row>
    <row r="426" spans="2:2" ht="13.2" customHeight="1">
      <c r="B426" s="73"/>
    </row>
    <row r="427" spans="2:2" ht="13.2" customHeight="1">
      <c r="B427" s="73"/>
    </row>
    <row r="428" spans="2:2" ht="13.2" customHeight="1">
      <c r="B428" s="73"/>
    </row>
    <row r="429" spans="2:2" ht="13.2" customHeight="1">
      <c r="B429" s="73"/>
    </row>
    <row r="430" spans="2:2" ht="13.2" customHeight="1">
      <c r="B430" s="73"/>
    </row>
    <row r="431" spans="2:2" ht="13.2" customHeight="1">
      <c r="B431" s="73"/>
    </row>
    <row r="432" spans="2:2" ht="13.2" customHeight="1">
      <c r="B432" s="73"/>
    </row>
    <row r="433" spans="2:2" ht="13.2" customHeight="1">
      <c r="B433" s="73"/>
    </row>
    <row r="434" spans="2:2" ht="13.2" customHeight="1">
      <c r="B434" s="73"/>
    </row>
    <row r="435" spans="2:2" ht="13.2" customHeight="1">
      <c r="B435" s="73"/>
    </row>
    <row r="436" spans="2:2" ht="13.2" customHeight="1">
      <c r="B436" s="73"/>
    </row>
    <row r="437" spans="2:2" ht="13.2" customHeight="1">
      <c r="B437" s="73"/>
    </row>
    <row r="438" spans="2:2" ht="13.2" customHeight="1">
      <c r="B438" s="73"/>
    </row>
    <row r="439" spans="2:2" ht="13.2" customHeight="1">
      <c r="B439" s="73"/>
    </row>
    <row r="440" spans="2:2" ht="13.2" customHeight="1">
      <c r="B440" s="73"/>
    </row>
    <row r="441" spans="2:2" ht="13.2" customHeight="1">
      <c r="B441" s="73"/>
    </row>
    <row r="442" spans="2:2" ht="13.2" customHeight="1">
      <c r="B442" s="73"/>
    </row>
    <row r="443" spans="2:2" ht="13.2" customHeight="1">
      <c r="B443" s="73"/>
    </row>
    <row r="444" spans="2:2" ht="13.2" customHeight="1">
      <c r="B444" s="73"/>
    </row>
    <row r="445" spans="2:2" ht="13.2" customHeight="1">
      <c r="B445" s="73"/>
    </row>
    <row r="446" spans="2:2" ht="13.2" customHeight="1">
      <c r="B446" s="73"/>
    </row>
    <row r="447" spans="2:2" ht="13.2" customHeight="1">
      <c r="B447" s="73"/>
    </row>
    <row r="448" spans="2:2" ht="13.2" customHeight="1">
      <c r="B448" s="73"/>
    </row>
    <row r="449" spans="2:2" ht="13.2" customHeight="1">
      <c r="B449" s="73"/>
    </row>
    <row r="450" spans="2:2" ht="13.2" customHeight="1">
      <c r="B450" s="73"/>
    </row>
    <row r="451" spans="2:2" ht="13.2" customHeight="1">
      <c r="B451" s="73"/>
    </row>
    <row r="452" spans="2:2" ht="13.2" customHeight="1">
      <c r="B452" s="73"/>
    </row>
    <row r="453" spans="2:2" ht="13.2" customHeight="1">
      <c r="B453" s="73"/>
    </row>
    <row r="454" spans="2:2" ht="13.2" customHeight="1">
      <c r="B454" s="73"/>
    </row>
    <row r="455" spans="2:2" ht="13.2" customHeight="1">
      <c r="B455" s="73"/>
    </row>
    <row r="456" spans="2:2" ht="13.2" customHeight="1">
      <c r="B456" s="73"/>
    </row>
    <row r="457" spans="2:2" ht="13.2" customHeight="1">
      <c r="B457" s="73"/>
    </row>
    <row r="458" spans="2:2" ht="13.2" customHeight="1">
      <c r="B458" s="73"/>
    </row>
    <row r="459" spans="2:2" ht="13.2" customHeight="1">
      <c r="B459" s="73"/>
    </row>
    <row r="460" spans="2:2" ht="13.2" customHeight="1">
      <c r="B460" s="73"/>
    </row>
    <row r="461" spans="2:2" ht="13.2" customHeight="1">
      <c r="B461" s="73"/>
    </row>
    <row r="462" spans="2:2" ht="13.2" customHeight="1">
      <c r="B462" s="73"/>
    </row>
    <row r="463" spans="2:2" ht="13.2" customHeight="1">
      <c r="B463" s="73"/>
    </row>
    <row r="464" spans="2:2" ht="13.2" customHeight="1">
      <c r="B464" s="73"/>
    </row>
    <row r="465" spans="2:2" ht="13.2" customHeight="1">
      <c r="B465" s="73"/>
    </row>
    <row r="466" spans="2:2" ht="13.2" customHeight="1">
      <c r="B466" s="73"/>
    </row>
    <row r="467" spans="2:2" ht="13.2" customHeight="1">
      <c r="B467" s="73"/>
    </row>
    <row r="468" spans="2:2" ht="13.2" customHeight="1">
      <c r="B468" s="73"/>
    </row>
    <row r="469" spans="2:2" ht="13.2" customHeight="1">
      <c r="B469" s="73"/>
    </row>
    <row r="470" spans="2:2" ht="13.2" customHeight="1">
      <c r="B470" s="73"/>
    </row>
    <row r="471" spans="2:2" ht="13.2" customHeight="1">
      <c r="B471" s="73"/>
    </row>
    <row r="472" spans="2:2" ht="13.2" customHeight="1">
      <c r="B472" s="73"/>
    </row>
    <row r="473" spans="2:2" ht="13.2" customHeight="1">
      <c r="B473" s="73"/>
    </row>
    <row r="474" spans="2:2" ht="13.2" customHeight="1">
      <c r="B474" s="73"/>
    </row>
    <row r="475" spans="2:2" ht="13.2" customHeight="1">
      <c r="B475" s="73"/>
    </row>
    <row r="476" spans="2:2" ht="13.2" customHeight="1">
      <c r="B476" s="73"/>
    </row>
    <row r="477" spans="2:2" ht="13.2" customHeight="1">
      <c r="B477" s="73"/>
    </row>
    <row r="478" spans="2:2" ht="13.2" customHeight="1">
      <c r="B478" s="73"/>
    </row>
    <row r="479" spans="2:2" ht="13.2" customHeight="1">
      <c r="B479" s="73"/>
    </row>
    <row r="480" spans="2:2" ht="13.2" customHeight="1">
      <c r="B480" s="73"/>
    </row>
    <row r="481" spans="2:2" ht="13.2" customHeight="1">
      <c r="B481" s="73"/>
    </row>
    <row r="482" spans="2:2" ht="13.2" customHeight="1">
      <c r="B482" s="73"/>
    </row>
    <row r="483" spans="2:2" ht="13.2" customHeight="1">
      <c r="B483" s="73"/>
    </row>
    <row r="484" spans="2:2" ht="13.2" customHeight="1">
      <c r="B484" s="73"/>
    </row>
    <row r="485" spans="2:2" ht="13.2" customHeight="1">
      <c r="B485" s="73"/>
    </row>
    <row r="486" spans="2:2" ht="13.2" customHeight="1">
      <c r="B486" s="73"/>
    </row>
    <row r="487" spans="2:2" ht="13.2" customHeight="1">
      <c r="B487" s="73"/>
    </row>
    <row r="488" spans="2:2" ht="13.2" customHeight="1">
      <c r="B488" s="73"/>
    </row>
    <row r="489" spans="2:2" ht="13.2" customHeight="1">
      <c r="B489" s="73"/>
    </row>
    <row r="490" spans="2:2" ht="13.2" customHeight="1">
      <c r="B490" s="73"/>
    </row>
    <row r="491" spans="2:2" ht="13.2" customHeight="1">
      <c r="B491" s="73"/>
    </row>
    <row r="492" spans="2:2" ht="13.2" customHeight="1">
      <c r="B492" s="73"/>
    </row>
    <row r="493" spans="2:2" ht="13.2" customHeight="1">
      <c r="B493" s="73"/>
    </row>
    <row r="494" spans="2:2" ht="13.2" customHeight="1">
      <c r="B494" s="73"/>
    </row>
    <row r="495" spans="2:2" ht="13.2" customHeight="1">
      <c r="B495" s="73"/>
    </row>
    <row r="496" spans="2:2" ht="13.2" customHeight="1">
      <c r="B496" s="73"/>
    </row>
    <row r="497" spans="2:2" ht="13.2" customHeight="1">
      <c r="B497" s="73"/>
    </row>
    <row r="498" spans="2:2" ht="13.2" customHeight="1">
      <c r="B498" s="73"/>
    </row>
    <row r="499" spans="2:2" ht="13.2" customHeight="1">
      <c r="B499" s="73"/>
    </row>
    <row r="500" spans="2:2" ht="13.2" customHeight="1">
      <c r="B500" s="73"/>
    </row>
    <row r="501" spans="2:2" ht="13.2" customHeight="1">
      <c r="B501" s="73"/>
    </row>
    <row r="502" spans="2:2" ht="13.2" customHeight="1">
      <c r="B502" s="73"/>
    </row>
    <row r="503" spans="2:2" ht="13.2" customHeight="1">
      <c r="B503" s="73"/>
    </row>
    <row r="504" spans="2:2" ht="13.2" customHeight="1">
      <c r="B504" s="73"/>
    </row>
    <row r="505" spans="2:2" ht="13.2" customHeight="1">
      <c r="B505" s="73"/>
    </row>
    <row r="506" spans="2:2" ht="13.2" customHeight="1">
      <c r="B506" s="73"/>
    </row>
    <row r="507" spans="2:2" ht="13.2" customHeight="1">
      <c r="B507" s="73"/>
    </row>
    <row r="508" spans="2:2" ht="13.2" customHeight="1">
      <c r="B508" s="73"/>
    </row>
    <row r="509" spans="2:2" ht="13.2" customHeight="1">
      <c r="B509" s="73"/>
    </row>
    <row r="510" spans="2:2" ht="13.2" customHeight="1">
      <c r="B510" s="73"/>
    </row>
    <row r="511" spans="2:2" ht="13.2" customHeight="1">
      <c r="B511" s="73"/>
    </row>
    <row r="512" spans="2:2" ht="13.2" customHeight="1">
      <c r="B512" s="73"/>
    </row>
    <row r="513" spans="2:2" ht="13.2" customHeight="1">
      <c r="B513" s="73"/>
    </row>
    <row r="514" spans="2:2" ht="13.2" customHeight="1">
      <c r="B514" s="73"/>
    </row>
    <row r="515" spans="2:2" ht="13.2" customHeight="1">
      <c r="B515" s="73"/>
    </row>
    <row r="516" spans="2:2" ht="13.2" customHeight="1">
      <c r="B516" s="73"/>
    </row>
    <row r="517" spans="2:2" ht="13.2" customHeight="1">
      <c r="B517" s="73"/>
    </row>
    <row r="518" spans="2:2" ht="13.2" customHeight="1">
      <c r="B518" s="73"/>
    </row>
    <row r="519" spans="2:2" ht="13.2" customHeight="1">
      <c r="B519" s="73"/>
    </row>
    <row r="520" spans="2:2" ht="13.2" customHeight="1">
      <c r="B520" s="73"/>
    </row>
    <row r="521" spans="2:2" ht="13.2" customHeight="1">
      <c r="B521" s="73"/>
    </row>
    <row r="522" spans="2:2" ht="13.2" customHeight="1">
      <c r="B522" s="73"/>
    </row>
    <row r="523" spans="2:2" ht="13.2" customHeight="1">
      <c r="B523" s="73"/>
    </row>
    <row r="524" spans="2:2" ht="13.2" customHeight="1">
      <c r="B524" s="73"/>
    </row>
    <row r="525" spans="2:2" ht="13.2" customHeight="1">
      <c r="B525" s="73"/>
    </row>
    <row r="526" spans="2:2" ht="13.2" customHeight="1">
      <c r="B526" s="73"/>
    </row>
    <row r="527" spans="2:2" ht="13.2" customHeight="1">
      <c r="B527" s="73"/>
    </row>
    <row r="528" spans="2:2" ht="13.2" customHeight="1">
      <c r="B528" s="73"/>
    </row>
    <row r="529" spans="2:2" ht="13.2" customHeight="1">
      <c r="B529" s="73"/>
    </row>
    <row r="530" spans="2:2" ht="13.2" customHeight="1">
      <c r="B530" s="73"/>
    </row>
    <row r="531" spans="2:2" ht="13.2" customHeight="1">
      <c r="B531" s="73"/>
    </row>
    <row r="532" spans="2:2" ht="13.2" customHeight="1">
      <c r="B532" s="73"/>
    </row>
    <row r="533" spans="2:2" ht="13.2" customHeight="1">
      <c r="B533" s="73"/>
    </row>
    <row r="534" spans="2:2" ht="13.2" customHeight="1">
      <c r="B534" s="73"/>
    </row>
    <row r="535" spans="2:2" ht="13.2" customHeight="1">
      <c r="B535" s="73"/>
    </row>
    <row r="536" spans="2:2" ht="13.2" customHeight="1">
      <c r="B536" s="73"/>
    </row>
    <row r="537" spans="2:2" ht="13.2" customHeight="1">
      <c r="B537" s="73"/>
    </row>
    <row r="538" spans="2:2" ht="13.2" customHeight="1">
      <c r="B538" s="73"/>
    </row>
    <row r="539" spans="2:2" ht="13.2" customHeight="1">
      <c r="B539" s="73"/>
    </row>
    <row r="540" spans="2:2" ht="13.2" customHeight="1">
      <c r="B540" s="73"/>
    </row>
    <row r="541" spans="2:2" ht="13.2" customHeight="1">
      <c r="B541" s="73"/>
    </row>
    <row r="542" spans="2:2" ht="13.2" customHeight="1">
      <c r="B542" s="73"/>
    </row>
    <row r="543" spans="2:2" ht="13.2" customHeight="1">
      <c r="B543" s="73"/>
    </row>
    <row r="544" spans="2:2" ht="13.2" customHeight="1">
      <c r="B544" s="73"/>
    </row>
    <row r="545" spans="2:2" ht="13.2" customHeight="1">
      <c r="B545" s="73"/>
    </row>
    <row r="546" spans="2:2" ht="13.2" customHeight="1">
      <c r="B546" s="73"/>
    </row>
    <row r="547" spans="2:2" ht="13.2" customHeight="1">
      <c r="B547" s="73"/>
    </row>
    <row r="548" spans="2:2" ht="13.2" customHeight="1">
      <c r="B548" s="73"/>
    </row>
    <row r="549" spans="2:2" ht="13.2" customHeight="1">
      <c r="B549" s="73"/>
    </row>
    <row r="550" spans="2:2" ht="13.2" customHeight="1">
      <c r="B550" s="73"/>
    </row>
    <row r="551" spans="2:2" ht="13.2" customHeight="1">
      <c r="B551" s="73"/>
    </row>
    <row r="552" spans="2:2" ht="13.2" customHeight="1">
      <c r="B552" s="73"/>
    </row>
    <row r="553" spans="2:2" ht="13.2" customHeight="1">
      <c r="B553" s="73"/>
    </row>
    <row r="554" spans="2:2" ht="13.2" customHeight="1">
      <c r="B554" s="73"/>
    </row>
    <row r="555" spans="2:2" ht="13.2" customHeight="1">
      <c r="B555" s="73"/>
    </row>
    <row r="556" spans="2:2" ht="13.2" customHeight="1">
      <c r="B556" s="73"/>
    </row>
    <row r="557" spans="2:2" ht="13.2" customHeight="1">
      <c r="B557" s="73"/>
    </row>
    <row r="558" spans="2:2" ht="13.2" customHeight="1">
      <c r="B558" s="73"/>
    </row>
    <row r="559" spans="2:2" ht="13.2" customHeight="1">
      <c r="B559" s="73"/>
    </row>
    <row r="560" spans="2:2" ht="13.2" customHeight="1">
      <c r="B560" s="73"/>
    </row>
    <row r="561" spans="2:2" ht="13.2" customHeight="1">
      <c r="B561" s="73"/>
    </row>
    <row r="562" spans="2:2" ht="13.2" customHeight="1">
      <c r="B562" s="73"/>
    </row>
    <row r="563" spans="2:2" ht="13.2" customHeight="1">
      <c r="B563" s="73"/>
    </row>
    <row r="564" spans="2:2" ht="13.2" customHeight="1">
      <c r="B564" s="73"/>
    </row>
    <row r="565" spans="2:2" ht="13.2" customHeight="1">
      <c r="B565" s="73"/>
    </row>
    <row r="566" spans="2:2" ht="13.2" customHeight="1">
      <c r="B566" s="73"/>
    </row>
    <row r="567" spans="2:2" ht="13.2" customHeight="1">
      <c r="B567" s="73"/>
    </row>
    <row r="568" spans="2:2" ht="13.2" customHeight="1">
      <c r="B568" s="73"/>
    </row>
    <row r="569" spans="2:2" ht="13.2" customHeight="1">
      <c r="B569" s="73"/>
    </row>
    <row r="570" spans="2:2" ht="13.2" customHeight="1">
      <c r="B570" s="73"/>
    </row>
    <row r="571" spans="2:2" ht="13.2" customHeight="1">
      <c r="B571" s="73"/>
    </row>
    <row r="572" spans="2:2" ht="13.2" customHeight="1">
      <c r="B572" s="73"/>
    </row>
    <row r="573" spans="2:2" ht="13.2" customHeight="1">
      <c r="B573" s="73"/>
    </row>
    <row r="574" spans="2:2" ht="13.2" customHeight="1">
      <c r="B574" s="73"/>
    </row>
    <row r="575" spans="2:2" ht="13.2" customHeight="1">
      <c r="B575" s="73"/>
    </row>
    <row r="576" spans="2:2" ht="13.2" customHeight="1">
      <c r="B576" s="73"/>
    </row>
    <row r="577" spans="2:2" ht="13.2" customHeight="1">
      <c r="B577" s="73"/>
    </row>
    <row r="578" spans="2:2" ht="13.2" customHeight="1">
      <c r="B578" s="73"/>
    </row>
    <row r="579" spans="2:2" ht="13.2" customHeight="1">
      <c r="B579" s="73"/>
    </row>
    <row r="580" spans="2:2" ht="13.2" customHeight="1">
      <c r="B580" s="73"/>
    </row>
    <row r="581" spans="2:2" ht="13.2" customHeight="1">
      <c r="B581" s="73"/>
    </row>
    <row r="582" spans="2:2" ht="13.2" customHeight="1">
      <c r="B582" s="73"/>
    </row>
    <row r="583" spans="2:2" ht="13.2" customHeight="1">
      <c r="B583" s="73"/>
    </row>
    <row r="584" spans="2:2" ht="13.2" customHeight="1">
      <c r="B584" s="73"/>
    </row>
    <row r="585" spans="2:2" ht="13.2" customHeight="1">
      <c r="B585" s="73"/>
    </row>
    <row r="586" spans="2:2" ht="13.2" customHeight="1">
      <c r="B586" s="73"/>
    </row>
    <row r="587" spans="2:2" ht="13.2" customHeight="1">
      <c r="B587" s="73"/>
    </row>
    <row r="588" spans="2:2" ht="13.2" customHeight="1">
      <c r="B588" s="73"/>
    </row>
    <row r="589" spans="2:2" ht="13.2" customHeight="1">
      <c r="B589" s="73"/>
    </row>
    <row r="590" spans="2:2" ht="13.2" customHeight="1">
      <c r="B590" s="73"/>
    </row>
    <row r="591" spans="2:2" ht="13.2" customHeight="1">
      <c r="B591" s="73"/>
    </row>
    <row r="592" spans="2:2" ht="13.2" customHeight="1">
      <c r="B592" s="73"/>
    </row>
    <row r="593" spans="2:2" ht="13.2" customHeight="1">
      <c r="B593" s="73"/>
    </row>
    <row r="594" spans="2:2" ht="13.2" customHeight="1">
      <c r="B594" s="73"/>
    </row>
    <row r="595" spans="2:2" ht="13.2" customHeight="1">
      <c r="B595" s="73"/>
    </row>
    <row r="596" spans="2:2" ht="13.2" customHeight="1">
      <c r="B596" s="73"/>
    </row>
    <row r="597" spans="2:2" ht="13.2" customHeight="1">
      <c r="B597" s="73"/>
    </row>
    <row r="598" spans="2:2" ht="13.2" customHeight="1">
      <c r="B598" s="73"/>
    </row>
    <row r="599" spans="2:2" ht="13.2" customHeight="1">
      <c r="B599" s="73"/>
    </row>
    <row r="600" spans="2:2" ht="13.2" customHeight="1">
      <c r="B600" s="73"/>
    </row>
    <row r="601" spans="2:2" ht="13.2" customHeight="1">
      <c r="B601" s="73"/>
    </row>
    <row r="602" spans="2:2" ht="13.2" customHeight="1">
      <c r="B602" s="73"/>
    </row>
    <row r="603" spans="2:2" ht="13.2" customHeight="1">
      <c r="B603" s="73"/>
    </row>
    <row r="604" spans="2:2" ht="13.2" customHeight="1">
      <c r="B604" s="73"/>
    </row>
    <row r="605" spans="2:2" ht="13.2" customHeight="1">
      <c r="B605" s="73"/>
    </row>
    <row r="606" spans="2:2" ht="13.2" customHeight="1">
      <c r="B606" s="73"/>
    </row>
    <row r="607" spans="2:2" ht="13.2" customHeight="1">
      <c r="B607" s="73"/>
    </row>
    <row r="608" spans="2:2" ht="13.2" customHeight="1">
      <c r="B608" s="73"/>
    </row>
    <row r="609" spans="2:2" ht="13.2" customHeight="1">
      <c r="B609" s="73"/>
    </row>
    <row r="610" spans="2:2" ht="13.2" customHeight="1">
      <c r="B610" s="73"/>
    </row>
    <row r="611" spans="2:2" ht="13.2" customHeight="1">
      <c r="B611" s="73"/>
    </row>
    <row r="612" spans="2:2" ht="13.2" customHeight="1">
      <c r="B612" s="73"/>
    </row>
    <row r="613" spans="2:2" ht="13.2" customHeight="1">
      <c r="B613" s="73"/>
    </row>
    <row r="614" spans="2:2" ht="13.2" customHeight="1">
      <c r="B614" s="73"/>
    </row>
    <row r="615" spans="2:2" ht="13.2" customHeight="1">
      <c r="B615" s="73"/>
    </row>
    <row r="616" spans="2:2" ht="13.2" customHeight="1">
      <c r="B616" s="73"/>
    </row>
    <row r="617" spans="2:2" ht="13.2" customHeight="1">
      <c r="B617" s="73"/>
    </row>
    <row r="618" spans="2:2" ht="13.2" customHeight="1">
      <c r="B618" s="73"/>
    </row>
    <row r="619" spans="2:2" ht="13.2" customHeight="1">
      <c r="B619" s="73"/>
    </row>
    <row r="620" spans="2:2" ht="13.2" customHeight="1">
      <c r="B620" s="73"/>
    </row>
    <row r="621" spans="2:2" ht="13.2" customHeight="1">
      <c r="B621" s="73"/>
    </row>
    <row r="622" spans="2:2" ht="13.2" customHeight="1">
      <c r="B622" s="73"/>
    </row>
    <row r="623" spans="2:2" ht="13.2" customHeight="1">
      <c r="B623" s="73"/>
    </row>
    <row r="624" spans="2:2" ht="13.2" customHeight="1">
      <c r="B624" s="73"/>
    </row>
    <row r="625" spans="2:2" ht="13.2" customHeight="1">
      <c r="B625" s="73"/>
    </row>
    <row r="626" spans="2:2" ht="13.2" customHeight="1">
      <c r="B626" s="73"/>
    </row>
    <row r="627" spans="2:2" ht="13.2" customHeight="1">
      <c r="B627" s="73"/>
    </row>
    <row r="628" spans="2:2" ht="13.2" customHeight="1">
      <c r="B628" s="73"/>
    </row>
    <row r="629" spans="2:2" ht="13.2" customHeight="1">
      <c r="B629" s="73"/>
    </row>
    <row r="630" spans="2:2" ht="13.2" customHeight="1">
      <c r="B630" s="73"/>
    </row>
    <row r="631" spans="2:2" ht="13.2" customHeight="1">
      <c r="B631" s="73"/>
    </row>
    <row r="632" spans="2:2" ht="13.2" customHeight="1">
      <c r="B632" s="73"/>
    </row>
    <row r="633" spans="2:2" ht="13.2" customHeight="1">
      <c r="B633" s="73"/>
    </row>
    <row r="634" spans="2:2" ht="13.2" customHeight="1">
      <c r="B634" s="73"/>
    </row>
    <row r="635" spans="2:2" ht="13.2" customHeight="1">
      <c r="B635" s="73"/>
    </row>
    <row r="636" spans="2:2" ht="13.2" customHeight="1">
      <c r="B636" s="73"/>
    </row>
    <row r="637" spans="2:2" ht="13.2" customHeight="1">
      <c r="B637" s="73"/>
    </row>
    <row r="638" spans="2:2" ht="13.2" customHeight="1">
      <c r="B638" s="73"/>
    </row>
    <row r="639" spans="2:2" ht="13.2" customHeight="1">
      <c r="B639" s="73"/>
    </row>
    <row r="640" spans="2:2" ht="13.2" customHeight="1">
      <c r="B640" s="73"/>
    </row>
    <row r="641" spans="2:2" ht="13.2" customHeight="1">
      <c r="B641" s="73"/>
    </row>
    <row r="642" spans="2:2" ht="13.2" customHeight="1">
      <c r="B642" s="73"/>
    </row>
    <row r="643" spans="2:2" ht="13.2" customHeight="1">
      <c r="B643" s="73"/>
    </row>
    <row r="644" spans="2:2" ht="13.2" customHeight="1">
      <c r="B644" s="73"/>
    </row>
    <row r="645" spans="2:2" ht="13.2" customHeight="1">
      <c r="B645" s="73"/>
    </row>
    <row r="646" spans="2:2" ht="13.2" customHeight="1">
      <c r="B646" s="73"/>
    </row>
    <row r="647" spans="2:2" ht="13.2" customHeight="1">
      <c r="B647" s="73"/>
    </row>
    <row r="648" spans="2:2" ht="13.2" customHeight="1">
      <c r="B648" s="73"/>
    </row>
    <row r="649" spans="2:2" ht="13.2" customHeight="1">
      <c r="B649" s="73"/>
    </row>
    <row r="650" spans="2:2" ht="13.2" customHeight="1">
      <c r="B650" s="73"/>
    </row>
    <row r="651" spans="2:2" ht="13.2" customHeight="1">
      <c r="B651" s="73"/>
    </row>
    <row r="652" spans="2:2" ht="13.2" customHeight="1">
      <c r="B652" s="73"/>
    </row>
    <row r="653" spans="2:2" ht="13.2" customHeight="1">
      <c r="B653" s="73"/>
    </row>
    <row r="654" spans="2:2" ht="13.2" customHeight="1">
      <c r="B654" s="73"/>
    </row>
    <row r="655" spans="2:2" ht="13.2" customHeight="1">
      <c r="B655" s="73"/>
    </row>
    <row r="656" spans="2:2" ht="13.2" customHeight="1">
      <c r="B656" s="73"/>
    </row>
    <row r="657" spans="2:2" ht="13.2" customHeight="1">
      <c r="B657" s="73"/>
    </row>
    <row r="658" spans="2:2" ht="13.2" customHeight="1">
      <c r="B658" s="73"/>
    </row>
    <row r="659" spans="2:2" ht="13.2" customHeight="1">
      <c r="B659" s="73"/>
    </row>
    <row r="660" spans="2:2" ht="13.2" customHeight="1">
      <c r="B660" s="73"/>
    </row>
    <row r="661" spans="2:2" ht="13.2" customHeight="1">
      <c r="B661" s="73"/>
    </row>
    <row r="662" spans="2:2" ht="13.2" customHeight="1">
      <c r="B662" s="73"/>
    </row>
    <row r="663" spans="2:2" ht="13.2" customHeight="1">
      <c r="B663" s="73"/>
    </row>
    <row r="664" spans="2:2" ht="13.2" customHeight="1">
      <c r="B664" s="73"/>
    </row>
    <row r="665" spans="2:2" ht="13.2" customHeight="1">
      <c r="B665" s="73"/>
    </row>
    <row r="666" spans="2:2" ht="13.2" customHeight="1">
      <c r="B666" s="73"/>
    </row>
    <row r="667" spans="2:2" ht="13.2" customHeight="1">
      <c r="B667" s="73"/>
    </row>
    <row r="668" spans="2:2" ht="13.2" customHeight="1">
      <c r="B668" s="73"/>
    </row>
    <row r="669" spans="2:2" ht="13.2" customHeight="1">
      <c r="B669" s="73"/>
    </row>
    <row r="670" spans="2:2" ht="13.2" customHeight="1">
      <c r="B670" s="73"/>
    </row>
    <row r="671" spans="2:2" ht="13.2" customHeight="1">
      <c r="B671" s="73"/>
    </row>
    <row r="672" spans="2:2" ht="13.2" customHeight="1">
      <c r="B672" s="73"/>
    </row>
    <row r="673" spans="2:2" ht="13.2" customHeight="1">
      <c r="B673" s="73"/>
    </row>
    <row r="674" spans="2:2" ht="13.2" customHeight="1">
      <c r="B674" s="73"/>
    </row>
    <row r="675" spans="2:2" ht="13.2" customHeight="1">
      <c r="B675" s="73"/>
    </row>
    <row r="676" spans="2:2" ht="13.2" customHeight="1">
      <c r="B676" s="73"/>
    </row>
    <row r="677" spans="2:2" ht="13.2" customHeight="1">
      <c r="B677" s="73"/>
    </row>
    <row r="678" spans="2:2" ht="13.2" customHeight="1">
      <c r="B678" s="73"/>
    </row>
    <row r="679" spans="2:2" ht="13.2" customHeight="1">
      <c r="B679" s="73"/>
    </row>
    <row r="680" spans="2:2" ht="13.2" customHeight="1">
      <c r="B680" s="73"/>
    </row>
    <row r="681" spans="2:2" ht="13.2" customHeight="1">
      <c r="B681" s="73"/>
    </row>
    <row r="682" spans="2:2" ht="13.2" customHeight="1">
      <c r="B682" s="73"/>
    </row>
    <row r="683" spans="2:2" ht="13.2" customHeight="1">
      <c r="B683" s="73"/>
    </row>
    <row r="684" spans="2:2" ht="13.2" customHeight="1">
      <c r="B684" s="73"/>
    </row>
    <row r="685" spans="2:2" ht="13.2" customHeight="1">
      <c r="B685" s="73"/>
    </row>
    <row r="686" spans="2:2" ht="13.2" customHeight="1">
      <c r="B686" s="73"/>
    </row>
    <row r="687" spans="2:2" ht="13.2" customHeight="1">
      <c r="B687" s="73"/>
    </row>
    <row r="688" spans="2:2" ht="13.2" customHeight="1">
      <c r="B688" s="73"/>
    </row>
    <row r="689" spans="2:2" ht="13.2" customHeight="1">
      <c r="B689" s="73"/>
    </row>
    <row r="690" spans="2:2" ht="13.2" customHeight="1">
      <c r="B690" s="73"/>
    </row>
    <row r="691" spans="2:2" ht="13.2" customHeight="1">
      <c r="B691" s="73"/>
    </row>
    <row r="692" spans="2:2" ht="13.2" customHeight="1">
      <c r="B692" s="73"/>
    </row>
    <row r="693" spans="2:2" ht="13.2" customHeight="1">
      <c r="B693" s="73"/>
    </row>
    <row r="694" spans="2:2" ht="13.2" customHeight="1">
      <c r="B694" s="73"/>
    </row>
    <row r="695" spans="2:2" ht="13.2" customHeight="1">
      <c r="B695" s="73"/>
    </row>
    <row r="696" spans="2:2" ht="13.2" customHeight="1">
      <c r="B696" s="73"/>
    </row>
    <row r="697" spans="2:2" ht="13.2" customHeight="1">
      <c r="B697" s="73"/>
    </row>
    <row r="698" spans="2:2" ht="13.2" customHeight="1">
      <c r="B698" s="73"/>
    </row>
    <row r="699" spans="2:2" ht="13.2" customHeight="1">
      <c r="B699" s="73"/>
    </row>
    <row r="700" spans="2:2" ht="13.2" customHeight="1">
      <c r="B700" s="73"/>
    </row>
    <row r="701" spans="2:2" ht="13.2" customHeight="1">
      <c r="B701" s="73"/>
    </row>
    <row r="702" spans="2:2" ht="13.2" customHeight="1">
      <c r="B702" s="73"/>
    </row>
    <row r="703" spans="2:2" ht="13.2" customHeight="1">
      <c r="B703" s="73"/>
    </row>
    <row r="704" spans="2:2" ht="13.2" customHeight="1">
      <c r="B704" s="73"/>
    </row>
    <row r="705" spans="2:2" ht="13.2" customHeight="1">
      <c r="B705" s="73"/>
    </row>
    <row r="706" spans="2:2" ht="13.2" customHeight="1">
      <c r="B706" s="73"/>
    </row>
    <row r="707" spans="2:2" ht="13.2" customHeight="1">
      <c r="B707" s="73"/>
    </row>
    <row r="708" spans="2:2" ht="13.2" customHeight="1">
      <c r="B708" s="73"/>
    </row>
    <row r="709" spans="2:2" ht="13.2" customHeight="1">
      <c r="B709" s="73"/>
    </row>
    <row r="710" spans="2:2" ht="13.2" customHeight="1">
      <c r="B710" s="73"/>
    </row>
    <row r="711" spans="2:2" ht="13.2" customHeight="1">
      <c r="B711" s="73"/>
    </row>
    <row r="712" spans="2:2" ht="13.2" customHeight="1">
      <c r="B712" s="73"/>
    </row>
    <row r="713" spans="2:2" ht="13.2" customHeight="1">
      <c r="B713" s="73"/>
    </row>
    <row r="714" spans="2:2" ht="13.2" customHeight="1">
      <c r="B714" s="73"/>
    </row>
    <row r="715" spans="2:2" ht="13.2" customHeight="1">
      <c r="B715" s="73"/>
    </row>
    <row r="716" spans="2:2" ht="13.2" customHeight="1">
      <c r="B716" s="73"/>
    </row>
    <row r="717" spans="2:2" ht="13.2" customHeight="1">
      <c r="B717" s="73"/>
    </row>
    <row r="718" spans="2:2" ht="13.2" customHeight="1">
      <c r="B718" s="73"/>
    </row>
    <row r="719" spans="2:2" ht="13.2" customHeight="1">
      <c r="B719" s="73"/>
    </row>
    <row r="720" spans="2:2" ht="13.2" customHeight="1">
      <c r="B720" s="73"/>
    </row>
    <row r="721" spans="2:2" ht="13.2" customHeight="1">
      <c r="B721" s="73"/>
    </row>
    <row r="722" spans="2:2" ht="13.2" customHeight="1">
      <c r="B722" s="73"/>
    </row>
    <row r="723" spans="2:2" ht="13.2" customHeight="1">
      <c r="B723" s="73"/>
    </row>
    <row r="724" spans="2:2" ht="13.2" customHeight="1">
      <c r="B724" s="73"/>
    </row>
    <row r="725" spans="2:2" ht="13.2" customHeight="1">
      <c r="B725" s="73"/>
    </row>
    <row r="726" spans="2:2" ht="13.2" customHeight="1">
      <c r="B726" s="73"/>
    </row>
    <row r="727" spans="2:2" ht="13.2" customHeight="1">
      <c r="B727" s="73"/>
    </row>
    <row r="728" spans="2:2" ht="13.2" customHeight="1">
      <c r="B728" s="73"/>
    </row>
    <row r="729" spans="2:2" ht="13.2" customHeight="1">
      <c r="B729" s="73"/>
    </row>
    <row r="730" spans="2:2" ht="13.2" customHeight="1">
      <c r="B730" s="73"/>
    </row>
    <row r="731" spans="2:2" ht="13.2" customHeight="1">
      <c r="B731" s="73"/>
    </row>
    <row r="732" spans="2:2" ht="13.2" customHeight="1">
      <c r="B732" s="73"/>
    </row>
    <row r="733" spans="2:2" ht="13.2" customHeight="1">
      <c r="B733" s="73"/>
    </row>
    <row r="734" spans="2:2" ht="13.2" customHeight="1">
      <c r="B734" s="73"/>
    </row>
    <row r="735" spans="2:2" ht="13.2" customHeight="1">
      <c r="B735" s="73"/>
    </row>
    <row r="736" spans="2:2" ht="13.2" customHeight="1">
      <c r="B736" s="73"/>
    </row>
    <row r="737" spans="2:2" ht="13.2" customHeight="1">
      <c r="B737" s="73"/>
    </row>
    <row r="738" spans="2:2" ht="13.2" customHeight="1">
      <c r="B738" s="73"/>
    </row>
    <row r="739" spans="2:2" ht="13.2" customHeight="1">
      <c r="B739" s="73"/>
    </row>
    <row r="740" spans="2:2" ht="13.2" customHeight="1">
      <c r="B740" s="73"/>
    </row>
    <row r="741" spans="2:2" ht="13.2" customHeight="1">
      <c r="B741" s="73"/>
    </row>
    <row r="742" spans="2:2" ht="13.2" customHeight="1">
      <c r="B742" s="73"/>
    </row>
    <row r="743" spans="2:2" ht="13.2" customHeight="1">
      <c r="B743" s="73"/>
    </row>
    <row r="744" spans="2:2" ht="13.2" customHeight="1">
      <c r="B744" s="73"/>
    </row>
    <row r="745" spans="2:2" ht="13.2" customHeight="1">
      <c r="B745" s="73"/>
    </row>
    <row r="746" spans="2:2" ht="13.2" customHeight="1">
      <c r="B746" s="73"/>
    </row>
    <row r="747" spans="2:2" ht="13.2" customHeight="1">
      <c r="B747" s="73"/>
    </row>
    <row r="748" spans="2:2" ht="13.2" customHeight="1">
      <c r="B748" s="73"/>
    </row>
    <row r="749" spans="2:2" ht="13.2" customHeight="1">
      <c r="B749" s="73"/>
    </row>
    <row r="750" spans="2:2" ht="13.2" customHeight="1">
      <c r="B750" s="73"/>
    </row>
    <row r="751" spans="2:2" ht="13.2" customHeight="1">
      <c r="B751" s="73"/>
    </row>
    <row r="752" spans="2:2" ht="13.2" customHeight="1">
      <c r="B752" s="73"/>
    </row>
    <row r="753" spans="2:2" ht="13.2" customHeight="1">
      <c r="B753" s="73"/>
    </row>
    <row r="754" spans="2:2" ht="13.2" customHeight="1">
      <c r="B754" s="73"/>
    </row>
    <row r="755" spans="2:2" ht="13.2" customHeight="1">
      <c r="B755" s="73"/>
    </row>
    <row r="756" spans="2:2" ht="13.2" customHeight="1">
      <c r="B756" s="73"/>
    </row>
    <row r="757" spans="2:2" ht="13.2" customHeight="1">
      <c r="B757" s="73"/>
    </row>
    <row r="758" spans="2:2" ht="13.2" customHeight="1">
      <c r="B758" s="73"/>
    </row>
    <row r="759" spans="2:2" ht="13.2" customHeight="1">
      <c r="B759" s="73"/>
    </row>
    <row r="760" spans="2:2" ht="13.2" customHeight="1">
      <c r="B760" s="73"/>
    </row>
    <row r="761" spans="2:2" ht="13.2" customHeight="1">
      <c r="B761" s="73"/>
    </row>
    <row r="762" spans="2:2" ht="13.2" customHeight="1">
      <c r="B762" s="73"/>
    </row>
    <row r="763" spans="2:2" ht="13.2" customHeight="1">
      <c r="B763" s="73"/>
    </row>
    <row r="764" spans="2:2" ht="13.2" customHeight="1">
      <c r="B764" s="73"/>
    </row>
    <row r="765" spans="2:2" ht="13.2" customHeight="1">
      <c r="B765" s="73"/>
    </row>
    <row r="766" spans="2:2" ht="13.2" customHeight="1">
      <c r="B766" s="73"/>
    </row>
    <row r="767" spans="2:2" ht="13.2" customHeight="1">
      <c r="B767" s="73"/>
    </row>
    <row r="768" spans="2:2" ht="13.2" customHeight="1">
      <c r="B768" s="73"/>
    </row>
    <row r="769" spans="2:2" ht="13.2" customHeight="1">
      <c r="B769" s="73"/>
    </row>
    <row r="770" spans="2:2" ht="13.2" customHeight="1">
      <c r="B770" s="73"/>
    </row>
    <row r="771" spans="2:2" ht="13.2" customHeight="1">
      <c r="B771" s="73"/>
    </row>
    <row r="772" spans="2:2" ht="13.2" customHeight="1">
      <c r="B772" s="73"/>
    </row>
    <row r="773" spans="2:2" ht="13.2" customHeight="1">
      <c r="B773" s="73"/>
    </row>
    <row r="774" spans="2:2" ht="13.2" customHeight="1">
      <c r="B774" s="73"/>
    </row>
    <row r="775" spans="2:2" ht="13.2" customHeight="1">
      <c r="B775" s="73"/>
    </row>
    <row r="776" spans="2:2" ht="13.2" customHeight="1">
      <c r="B776" s="73"/>
    </row>
    <row r="777" spans="2:2" ht="13.2" customHeight="1">
      <c r="B777" s="73"/>
    </row>
    <row r="778" spans="2:2" ht="13.2" customHeight="1">
      <c r="B778" s="73"/>
    </row>
    <row r="779" spans="2:2" ht="13.2" customHeight="1">
      <c r="B779" s="73"/>
    </row>
    <row r="780" spans="2:2" ht="13.2" customHeight="1">
      <c r="B780" s="73"/>
    </row>
    <row r="781" spans="2:2" ht="13.2" customHeight="1">
      <c r="B781" s="73"/>
    </row>
    <row r="782" spans="2:2" ht="13.2" customHeight="1">
      <c r="B782" s="73"/>
    </row>
    <row r="783" spans="2:2" ht="13.2" customHeight="1">
      <c r="B783" s="73"/>
    </row>
    <row r="784" spans="2:2" ht="13.2" customHeight="1">
      <c r="B784" s="73"/>
    </row>
    <row r="785" spans="2:2" ht="13.2" customHeight="1">
      <c r="B785" s="73"/>
    </row>
    <row r="786" spans="2:2" ht="13.2" customHeight="1">
      <c r="B786" s="73"/>
    </row>
    <row r="787" spans="2:2" ht="13.2" customHeight="1">
      <c r="B787" s="73"/>
    </row>
    <row r="788" spans="2:2" ht="13.2" customHeight="1">
      <c r="B788" s="73"/>
    </row>
    <row r="789" spans="2:2" ht="13.2" customHeight="1">
      <c r="B789" s="73"/>
    </row>
    <row r="790" spans="2:2" ht="13.2" customHeight="1">
      <c r="B790" s="73"/>
    </row>
    <row r="791" spans="2:2" ht="13.2" customHeight="1">
      <c r="B791" s="73"/>
    </row>
    <row r="792" spans="2:2" ht="13.2" customHeight="1">
      <c r="B792" s="73"/>
    </row>
    <row r="793" spans="2:2" ht="13.2" customHeight="1">
      <c r="B793" s="73"/>
    </row>
    <row r="794" spans="2:2" ht="13.2" customHeight="1">
      <c r="B794" s="73"/>
    </row>
    <row r="795" spans="2:2" ht="13.2" customHeight="1">
      <c r="B795" s="73"/>
    </row>
    <row r="796" spans="2:2" ht="13.2" customHeight="1">
      <c r="B796" s="73"/>
    </row>
    <row r="797" spans="2:2" ht="13.2" customHeight="1">
      <c r="B797" s="73"/>
    </row>
    <row r="798" spans="2:2" ht="13.2" customHeight="1">
      <c r="B798" s="73"/>
    </row>
    <row r="799" spans="2:2" ht="13.2" customHeight="1">
      <c r="B799" s="73"/>
    </row>
    <row r="800" spans="2:2" ht="13.2" customHeight="1">
      <c r="B800" s="73"/>
    </row>
    <row r="801" spans="2:2" ht="13.2" customHeight="1">
      <c r="B801" s="73"/>
    </row>
    <row r="802" spans="2:2" ht="13.2" customHeight="1">
      <c r="B802" s="73"/>
    </row>
    <row r="803" spans="2:2" ht="13.2" customHeight="1">
      <c r="B803" s="73"/>
    </row>
    <row r="804" spans="2:2" ht="13.2" customHeight="1">
      <c r="B804" s="73"/>
    </row>
    <row r="805" spans="2:2" ht="13.2" customHeight="1">
      <c r="B805" s="73"/>
    </row>
    <row r="806" spans="2:2" ht="13.2" customHeight="1">
      <c r="B806" s="73"/>
    </row>
    <row r="807" spans="2:2" ht="13.2" customHeight="1">
      <c r="B807" s="73"/>
    </row>
    <row r="808" spans="2:2" ht="13.2" customHeight="1">
      <c r="B808" s="73"/>
    </row>
    <row r="809" spans="2:2" ht="13.2" customHeight="1">
      <c r="B809" s="73"/>
    </row>
    <row r="810" spans="2:2" ht="13.2" customHeight="1">
      <c r="B810" s="73"/>
    </row>
    <row r="811" spans="2:2" ht="13.2" customHeight="1">
      <c r="B811" s="73"/>
    </row>
    <row r="812" spans="2:2" ht="13.2" customHeight="1">
      <c r="B812" s="73"/>
    </row>
    <row r="813" spans="2:2" ht="13.2" customHeight="1">
      <c r="B813" s="73"/>
    </row>
    <row r="814" spans="2:2" ht="13.2" customHeight="1">
      <c r="B814" s="73"/>
    </row>
    <row r="815" spans="2:2" ht="13.2" customHeight="1">
      <c r="B815" s="73"/>
    </row>
    <row r="816" spans="2:2" ht="13.2" customHeight="1">
      <c r="B816" s="73"/>
    </row>
    <row r="817" spans="2:2" ht="13.2" customHeight="1">
      <c r="B817" s="73"/>
    </row>
    <row r="818" spans="2:2" ht="13.2" customHeight="1">
      <c r="B818" s="73"/>
    </row>
    <row r="819" spans="2:2" ht="13.2" customHeight="1">
      <c r="B819" s="73"/>
    </row>
    <row r="820" spans="2:2" ht="13.2" customHeight="1">
      <c r="B820" s="73"/>
    </row>
    <row r="821" spans="2:2" ht="13.2" customHeight="1">
      <c r="B821" s="73"/>
    </row>
    <row r="822" spans="2:2" ht="13.2" customHeight="1">
      <c r="B822" s="73"/>
    </row>
    <row r="823" spans="2:2" ht="13.2" customHeight="1">
      <c r="B823" s="73"/>
    </row>
    <row r="824" spans="2:2" ht="13.2" customHeight="1">
      <c r="B824" s="73"/>
    </row>
    <row r="825" spans="2:2" ht="13.2" customHeight="1">
      <c r="B825" s="73"/>
    </row>
    <row r="826" spans="2:2" ht="13.2" customHeight="1">
      <c r="B826" s="73"/>
    </row>
    <row r="827" spans="2:2" ht="13.2" customHeight="1">
      <c r="B827" s="73"/>
    </row>
    <row r="828" spans="2:2" ht="13.2" customHeight="1">
      <c r="B828" s="73"/>
    </row>
    <row r="829" spans="2:2" ht="13.2" customHeight="1">
      <c r="B829" s="73"/>
    </row>
    <row r="830" spans="2:2" ht="13.2" customHeight="1">
      <c r="B830" s="73"/>
    </row>
    <row r="831" spans="2:2" ht="13.2" customHeight="1">
      <c r="B831" s="73"/>
    </row>
    <row r="832" spans="2:2" ht="13.2" customHeight="1">
      <c r="B832" s="73"/>
    </row>
    <row r="833" spans="2:2" ht="13.2" customHeight="1">
      <c r="B833" s="73"/>
    </row>
    <row r="834" spans="2:2" ht="13.2" customHeight="1">
      <c r="B834" s="73"/>
    </row>
    <row r="835" spans="2:2" ht="13.2" customHeight="1">
      <c r="B835" s="73"/>
    </row>
    <row r="836" spans="2:2" ht="13.2" customHeight="1">
      <c r="B836" s="73"/>
    </row>
    <row r="837" spans="2:2" ht="13.2" customHeight="1">
      <c r="B837" s="73"/>
    </row>
    <row r="838" spans="2:2" ht="13.2" customHeight="1">
      <c r="B838" s="73"/>
    </row>
    <row r="839" spans="2:2" ht="13.2" customHeight="1">
      <c r="B839" s="73"/>
    </row>
    <row r="840" spans="2:2" ht="13.2" customHeight="1">
      <c r="B840" s="73"/>
    </row>
    <row r="841" spans="2:2" ht="13.2" customHeight="1">
      <c r="B841" s="73"/>
    </row>
    <row r="842" spans="2:2" ht="13.2" customHeight="1">
      <c r="B842" s="73"/>
    </row>
    <row r="843" spans="2:2" ht="13.2" customHeight="1">
      <c r="B843" s="73"/>
    </row>
    <row r="844" spans="2:2" ht="13.2" customHeight="1">
      <c r="B844" s="73"/>
    </row>
    <row r="845" spans="2:2" ht="13.2" customHeight="1">
      <c r="B845" s="73"/>
    </row>
    <row r="846" spans="2:2" ht="13.2" customHeight="1">
      <c r="B846" s="73"/>
    </row>
    <row r="847" spans="2:2" ht="13.2" customHeight="1">
      <c r="B847" s="73"/>
    </row>
    <row r="848" spans="2:2" ht="13.2" customHeight="1">
      <c r="B848" s="73"/>
    </row>
    <row r="849" spans="2:2" ht="13.2" customHeight="1">
      <c r="B849" s="73"/>
    </row>
    <row r="850" spans="2:2" ht="13.2" customHeight="1">
      <c r="B850" s="73"/>
    </row>
    <row r="851" spans="2:2" ht="13.2" customHeight="1">
      <c r="B851" s="73"/>
    </row>
    <row r="852" spans="2:2" ht="13.2" customHeight="1">
      <c r="B852" s="73"/>
    </row>
    <row r="853" spans="2:2" ht="13.2" customHeight="1">
      <c r="B853" s="73"/>
    </row>
    <row r="854" spans="2:2" ht="13.2" customHeight="1">
      <c r="B854" s="73"/>
    </row>
    <row r="855" spans="2:2" ht="13.2" customHeight="1">
      <c r="B855" s="73"/>
    </row>
    <row r="856" spans="2:2" ht="13.2" customHeight="1">
      <c r="B856" s="73"/>
    </row>
    <row r="857" spans="2:2" ht="13.2" customHeight="1">
      <c r="B857" s="73"/>
    </row>
    <row r="858" spans="2:2" ht="13.2" customHeight="1">
      <c r="B858" s="73"/>
    </row>
    <row r="859" spans="2:2" ht="13.2" customHeight="1">
      <c r="B859" s="73"/>
    </row>
    <row r="860" spans="2:2" ht="13.2" customHeight="1">
      <c r="B860" s="73"/>
    </row>
    <row r="861" spans="2:2" ht="13.2" customHeight="1">
      <c r="B861" s="73"/>
    </row>
    <row r="862" spans="2:2" ht="13.2" customHeight="1">
      <c r="B862" s="73"/>
    </row>
    <row r="863" spans="2:2" ht="13.2" customHeight="1">
      <c r="B863" s="73"/>
    </row>
    <row r="864" spans="2:2" ht="13.2" customHeight="1">
      <c r="B864" s="73"/>
    </row>
    <row r="865" spans="2:2" ht="13.2" customHeight="1">
      <c r="B865" s="73"/>
    </row>
    <row r="866" spans="2:2" ht="13.2" customHeight="1">
      <c r="B866" s="73"/>
    </row>
    <row r="867" spans="2:2" ht="13.2" customHeight="1">
      <c r="B867" s="73"/>
    </row>
    <row r="868" spans="2:2" ht="13.2" customHeight="1">
      <c r="B868" s="73"/>
    </row>
    <row r="869" spans="2:2" ht="13.2" customHeight="1">
      <c r="B869" s="73"/>
    </row>
    <row r="870" spans="2:2" ht="13.2" customHeight="1">
      <c r="B870" s="73"/>
    </row>
    <row r="871" spans="2:2" ht="13.2" customHeight="1">
      <c r="B871" s="73"/>
    </row>
    <row r="872" spans="2:2" ht="13.2" customHeight="1">
      <c r="B872" s="73"/>
    </row>
    <row r="873" spans="2:2" ht="13.2" customHeight="1">
      <c r="B873" s="73"/>
    </row>
    <row r="874" spans="2:2" ht="13.2" customHeight="1">
      <c r="B874" s="73"/>
    </row>
    <row r="875" spans="2:2" ht="13.2" customHeight="1">
      <c r="B875" s="73"/>
    </row>
    <row r="876" spans="2:2" ht="13.2" customHeight="1">
      <c r="B876" s="73"/>
    </row>
    <row r="877" spans="2:2" ht="13.2" customHeight="1">
      <c r="B877" s="73"/>
    </row>
    <row r="878" spans="2:2" ht="13.2" customHeight="1">
      <c r="B878" s="73"/>
    </row>
    <row r="879" spans="2:2" ht="13.2" customHeight="1">
      <c r="B879" s="73"/>
    </row>
    <row r="880" spans="2:2" ht="13.2" customHeight="1">
      <c r="B880" s="73"/>
    </row>
    <row r="881" spans="2:2" ht="13.2" customHeight="1">
      <c r="B881" s="73"/>
    </row>
    <row r="882" spans="2:2" ht="13.2" customHeight="1">
      <c r="B882" s="73"/>
    </row>
    <row r="883" spans="2:2" ht="13.2" customHeight="1">
      <c r="B883" s="73"/>
    </row>
    <row r="884" spans="2:2" ht="13.2" customHeight="1">
      <c r="B884" s="73"/>
    </row>
    <row r="885" spans="2:2" ht="13.2" customHeight="1">
      <c r="B885" s="73"/>
    </row>
    <row r="886" spans="2:2" ht="13.2" customHeight="1">
      <c r="B886" s="73"/>
    </row>
    <row r="887" spans="2:2" ht="13.2" customHeight="1">
      <c r="B887" s="73"/>
    </row>
    <row r="888" spans="2:2" ht="13.2" customHeight="1">
      <c r="B888" s="73"/>
    </row>
    <row r="889" spans="2:2" ht="13.2" customHeight="1">
      <c r="B889" s="73"/>
    </row>
    <row r="890" spans="2:2" ht="13.2" customHeight="1">
      <c r="B890" s="73"/>
    </row>
    <row r="891" spans="2:2" ht="13.2" customHeight="1">
      <c r="B891" s="73"/>
    </row>
    <row r="892" spans="2:2" ht="13.2" customHeight="1">
      <c r="B892" s="73"/>
    </row>
    <row r="893" spans="2:2" ht="13.2" customHeight="1">
      <c r="B893" s="73"/>
    </row>
    <row r="894" spans="2:2" ht="13.2" customHeight="1">
      <c r="B894" s="73"/>
    </row>
    <row r="895" spans="2:2" ht="13.2" customHeight="1">
      <c r="B895" s="73"/>
    </row>
    <row r="896" spans="2:2" ht="13.2" customHeight="1">
      <c r="B896" s="73"/>
    </row>
    <row r="897" spans="2:2" ht="13.2" customHeight="1">
      <c r="B897" s="73"/>
    </row>
    <row r="898" spans="2:2" ht="13.2" customHeight="1">
      <c r="B898" s="73"/>
    </row>
    <row r="899" spans="2:2" ht="13.2" customHeight="1">
      <c r="B899" s="73"/>
    </row>
    <row r="900" spans="2:2" ht="13.2" customHeight="1">
      <c r="B900" s="73"/>
    </row>
    <row r="901" spans="2:2" ht="13.2" customHeight="1">
      <c r="B901" s="73"/>
    </row>
    <row r="902" spans="2:2" ht="13.2" customHeight="1">
      <c r="B902" s="73"/>
    </row>
    <row r="903" spans="2:2" ht="13.2" customHeight="1">
      <c r="B903" s="73"/>
    </row>
    <row r="904" spans="2:2" ht="13.2" customHeight="1">
      <c r="B904" s="73"/>
    </row>
    <row r="905" spans="2:2" ht="13.2" customHeight="1">
      <c r="B905" s="73"/>
    </row>
    <row r="906" spans="2:2" ht="13.2" customHeight="1">
      <c r="B906" s="73"/>
    </row>
    <row r="907" spans="2:2" ht="13.2" customHeight="1">
      <c r="B907" s="73"/>
    </row>
    <row r="908" spans="2:2" ht="13.2" customHeight="1">
      <c r="B908" s="73"/>
    </row>
    <row r="909" spans="2:2" ht="13.2" customHeight="1">
      <c r="B909" s="73"/>
    </row>
    <row r="910" spans="2:2" ht="13.2" customHeight="1">
      <c r="B910" s="73"/>
    </row>
    <row r="911" spans="2:2" ht="13.2" customHeight="1">
      <c r="B911" s="73"/>
    </row>
    <row r="912" spans="2:2" ht="13.2" customHeight="1">
      <c r="B912" s="73"/>
    </row>
    <row r="913" spans="2:2" ht="13.2" customHeight="1">
      <c r="B913" s="73"/>
    </row>
    <row r="914" spans="2:2" ht="13.2" customHeight="1">
      <c r="B914" s="73"/>
    </row>
    <row r="915" spans="2:2" ht="13.2" customHeight="1">
      <c r="B915" s="73"/>
    </row>
    <row r="916" spans="2:2" ht="13.2" customHeight="1">
      <c r="B916" s="73"/>
    </row>
    <row r="917" spans="2:2" ht="13.2" customHeight="1">
      <c r="B917" s="73"/>
    </row>
    <row r="918" spans="2:2" ht="13.2" customHeight="1">
      <c r="B918" s="73"/>
    </row>
    <row r="919" spans="2:2" ht="13.2" customHeight="1">
      <c r="B919" s="73"/>
    </row>
    <row r="920" spans="2:2" ht="13.2" customHeight="1">
      <c r="B920" s="73"/>
    </row>
    <row r="921" spans="2:2" ht="13.2" customHeight="1">
      <c r="B921" s="73"/>
    </row>
    <row r="922" spans="2:2" ht="13.2" customHeight="1">
      <c r="B922" s="73"/>
    </row>
    <row r="923" spans="2:2" ht="13.2" customHeight="1">
      <c r="B923" s="73"/>
    </row>
    <row r="924" spans="2:2" ht="13.2" customHeight="1">
      <c r="B924" s="73"/>
    </row>
    <row r="925" spans="2:2" ht="13.2" customHeight="1">
      <c r="B925" s="73"/>
    </row>
    <row r="926" spans="2:2" ht="13.2" customHeight="1">
      <c r="B926" s="73"/>
    </row>
    <row r="927" spans="2:2" ht="13.2" customHeight="1">
      <c r="B927" s="73"/>
    </row>
    <row r="928" spans="2:2" ht="13.2" customHeight="1">
      <c r="B928" s="73"/>
    </row>
    <row r="929" spans="2:2" ht="13.2" customHeight="1">
      <c r="B929" s="73"/>
    </row>
    <row r="930" spans="2:2" ht="13.2" customHeight="1">
      <c r="B930" s="73"/>
    </row>
    <row r="931" spans="2:2" ht="13.2" customHeight="1">
      <c r="B931" s="73"/>
    </row>
    <row r="932" spans="2:2" ht="13.2" customHeight="1">
      <c r="B932" s="73"/>
    </row>
    <row r="933" spans="2:2" ht="13.2" customHeight="1">
      <c r="B933" s="73"/>
    </row>
    <row r="934" spans="2:2" ht="13.2" customHeight="1">
      <c r="B934" s="73"/>
    </row>
    <row r="935" spans="2:2" ht="13.2" customHeight="1">
      <c r="B935" s="73"/>
    </row>
    <row r="936" spans="2:2" ht="13.2" customHeight="1">
      <c r="B936" s="73"/>
    </row>
    <row r="937" spans="2:2" ht="13.2" customHeight="1">
      <c r="B937" s="73"/>
    </row>
    <row r="938" spans="2:2" ht="13.2" customHeight="1">
      <c r="B938" s="73"/>
    </row>
    <row r="939" spans="2:2" ht="13.2" customHeight="1">
      <c r="B939" s="73"/>
    </row>
    <row r="940" spans="2:2" ht="13.2" customHeight="1">
      <c r="B940" s="73"/>
    </row>
    <row r="941" spans="2:2" ht="13.2" customHeight="1">
      <c r="B941" s="73"/>
    </row>
    <row r="942" spans="2:2" ht="13.2" customHeight="1">
      <c r="B942" s="73"/>
    </row>
    <row r="943" spans="2:2" ht="13.2" customHeight="1">
      <c r="B943" s="73"/>
    </row>
    <row r="944" spans="2:2" ht="13.2" customHeight="1">
      <c r="B944" s="73"/>
    </row>
    <row r="945" spans="2:2" ht="13.2" customHeight="1">
      <c r="B945" s="73"/>
    </row>
    <row r="946" spans="2:2" ht="13.2" customHeight="1">
      <c r="B946" s="73"/>
    </row>
    <row r="947" spans="2:2" ht="13.2" customHeight="1">
      <c r="B947" s="73"/>
    </row>
    <row r="948" spans="2:2" ht="13.2" customHeight="1">
      <c r="B948" s="73"/>
    </row>
    <row r="949" spans="2:2" ht="13.2" customHeight="1">
      <c r="B949" s="73"/>
    </row>
    <row r="950" spans="2:2" ht="13.2" customHeight="1">
      <c r="B950" s="73"/>
    </row>
    <row r="951" spans="2:2" ht="13.2" customHeight="1">
      <c r="B951" s="73"/>
    </row>
    <row r="952" spans="2:2" ht="13.2" customHeight="1">
      <c r="B952" s="73"/>
    </row>
    <row r="953" spans="2:2" ht="13.2" customHeight="1">
      <c r="B953" s="73"/>
    </row>
    <row r="954" spans="2:2" ht="13.2" customHeight="1">
      <c r="B954" s="73"/>
    </row>
    <row r="955" spans="2:2" ht="13.2" customHeight="1">
      <c r="B955" s="73"/>
    </row>
    <row r="956" spans="2:2" ht="13.2" customHeight="1">
      <c r="B956" s="73"/>
    </row>
    <row r="957" spans="2:2" ht="13.2" customHeight="1">
      <c r="B957" s="73"/>
    </row>
    <row r="958" spans="2:2" ht="13.2" customHeight="1">
      <c r="B958" s="73"/>
    </row>
    <row r="959" spans="2:2" ht="13.2" customHeight="1">
      <c r="B959" s="73"/>
    </row>
    <row r="960" spans="2:2" ht="13.2" customHeight="1">
      <c r="B960" s="73"/>
    </row>
    <row r="961" spans="2:2" ht="13.2" customHeight="1">
      <c r="B961" s="73"/>
    </row>
    <row r="962" spans="2:2" ht="13.2" customHeight="1">
      <c r="B962" s="73"/>
    </row>
    <row r="963" spans="2:2" ht="13.2" customHeight="1">
      <c r="B963" s="73"/>
    </row>
    <row r="964" spans="2:2" ht="13.2" customHeight="1">
      <c r="B964" s="73"/>
    </row>
    <row r="965" spans="2:2" ht="13.2" customHeight="1">
      <c r="B965" s="73"/>
    </row>
    <row r="966" spans="2:2" ht="13.2" customHeight="1">
      <c r="B966" s="73"/>
    </row>
    <row r="967" spans="2:2" ht="13.2" customHeight="1">
      <c r="B967" s="73"/>
    </row>
    <row r="968" spans="2:2" ht="13.2" customHeight="1">
      <c r="B968" s="73"/>
    </row>
    <row r="969" spans="2:2" ht="13.2" customHeight="1">
      <c r="B969" s="73"/>
    </row>
    <row r="970" spans="2:2" ht="13.2" customHeight="1">
      <c r="B970" s="73"/>
    </row>
    <row r="971" spans="2:2" ht="13.2" customHeight="1">
      <c r="B971" s="73"/>
    </row>
    <row r="972" spans="2:2" ht="13.2" customHeight="1">
      <c r="B972" s="73"/>
    </row>
    <row r="973" spans="2:2" ht="13.2" customHeight="1">
      <c r="B973" s="73"/>
    </row>
    <row r="974" spans="2:2" ht="13.2" customHeight="1">
      <c r="B974" s="73"/>
    </row>
    <row r="975" spans="2:2" ht="13.2" customHeight="1">
      <c r="B975" s="73"/>
    </row>
    <row r="976" spans="2:2" ht="13.2" customHeight="1">
      <c r="B976" s="73"/>
    </row>
    <row r="977" spans="2:2" ht="13.2" customHeight="1">
      <c r="B977" s="73"/>
    </row>
    <row r="978" spans="2:2" ht="13.2" customHeight="1">
      <c r="B978" s="73"/>
    </row>
    <row r="979" spans="2:2" ht="13.2" customHeight="1">
      <c r="B979" s="73"/>
    </row>
    <row r="980" spans="2:2" ht="13.2" customHeight="1">
      <c r="B980" s="73"/>
    </row>
    <row r="981" spans="2:2" ht="13.2" customHeight="1">
      <c r="B981" s="73"/>
    </row>
    <row r="982" spans="2:2" ht="13.2" customHeight="1">
      <c r="B982" s="73"/>
    </row>
    <row r="983" spans="2:2" ht="13.2" customHeight="1">
      <c r="B983" s="73"/>
    </row>
    <row r="984" spans="2:2" ht="13.2" customHeight="1">
      <c r="B984" s="73"/>
    </row>
    <row r="985" spans="2:2" ht="13.2" customHeight="1">
      <c r="B985" s="73"/>
    </row>
    <row r="986" spans="2:2" ht="13.2" customHeight="1">
      <c r="B986" s="73"/>
    </row>
    <row r="987" spans="2:2" ht="13.2" customHeight="1">
      <c r="B987" s="73"/>
    </row>
    <row r="988" spans="2:2" ht="13.2" customHeight="1">
      <c r="B988" s="73"/>
    </row>
    <row r="989" spans="2:2" ht="13.2" customHeight="1">
      <c r="B989" s="73"/>
    </row>
    <row r="990" spans="2:2" ht="13.2" customHeight="1">
      <c r="B990" s="73"/>
    </row>
    <row r="991" spans="2:2" ht="13.2" customHeight="1">
      <c r="B991" s="73"/>
    </row>
    <row r="992" spans="2:2" ht="13.2" customHeight="1">
      <c r="B992" s="73"/>
    </row>
    <row r="993" spans="2:2" ht="13.2" customHeight="1">
      <c r="B993" s="73"/>
    </row>
    <row r="994" spans="2:2" ht="13.2" customHeight="1">
      <c r="B994" s="73"/>
    </row>
    <row r="995" spans="2:2" ht="13.2" customHeight="1">
      <c r="B995" s="73"/>
    </row>
    <row r="996" spans="2:2" ht="13.2" customHeight="1">
      <c r="B996" s="73"/>
    </row>
    <row r="997" spans="2:2" ht="13.2" customHeight="1">
      <c r="B997" s="73"/>
    </row>
    <row r="998" spans="2:2" ht="13.2" customHeight="1">
      <c r="B998" s="73"/>
    </row>
    <row r="999" spans="2:2" ht="13.2" customHeight="1">
      <c r="B999" s="73"/>
    </row>
  </sheetData>
  <mergeCells count="3">
    <mergeCell ref="A1:D1"/>
    <mergeCell ref="A2:A3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32"/>
  <sheetViews>
    <sheetView workbookViewId="0"/>
  </sheetViews>
  <sheetFormatPr defaultColWidth="12.6640625" defaultRowHeight="15.75" customHeight="1"/>
  <cols>
    <col min="1" max="1" width="5.33203125" style="323" customWidth="1"/>
    <col min="2" max="2" width="20.109375" style="323" customWidth="1"/>
  </cols>
  <sheetData>
    <row r="1" spans="1:35" ht="15.75" customHeight="1">
      <c r="A1" s="279"/>
      <c r="B1" s="279"/>
      <c r="C1" s="279"/>
      <c r="D1" s="6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ht="15.75" customHeight="1">
      <c r="A2" s="365" t="s">
        <v>0</v>
      </c>
      <c r="B2" s="366" t="s">
        <v>7</v>
      </c>
      <c r="C2" s="364" t="s">
        <v>8</v>
      </c>
      <c r="D2" s="11" t="s">
        <v>9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27"/>
      <c r="AI2" s="7"/>
    </row>
    <row r="3" spans="1:35" ht="15.75" customHeight="1">
      <c r="A3" s="362"/>
      <c r="B3" s="362"/>
      <c r="C3" s="362"/>
      <c r="D3" s="30">
        <v>46204</v>
      </c>
      <c r="E3" s="30">
        <v>46205</v>
      </c>
      <c r="F3" s="30">
        <v>46206</v>
      </c>
      <c r="G3" s="30">
        <v>46207</v>
      </c>
      <c r="H3" s="30">
        <v>46208</v>
      </c>
      <c r="I3" s="30">
        <v>46209</v>
      </c>
      <c r="J3" s="30">
        <v>46210</v>
      </c>
      <c r="K3" s="30">
        <v>46211</v>
      </c>
      <c r="L3" s="30">
        <v>46212</v>
      </c>
      <c r="M3" s="30">
        <v>46213</v>
      </c>
      <c r="N3" s="30">
        <v>46214</v>
      </c>
      <c r="O3" s="30">
        <v>46215</v>
      </c>
      <c r="P3" s="30">
        <v>46216</v>
      </c>
      <c r="Q3" s="30">
        <v>46217</v>
      </c>
      <c r="R3" s="30">
        <v>46218</v>
      </c>
      <c r="S3" s="30">
        <v>46219</v>
      </c>
      <c r="T3" s="30">
        <v>46220</v>
      </c>
      <c r="U3" s="30">
        <v>46221</v>
      </c>
      <c r="V3" s="30">
        <v>46222</v>
      </c>
      <c r="W3" s="30">
        <v>46223</v>
      </c>
      <c r="X3" s="30">
        <v>46224</v>
      </c>
      <c r="Y3" s="30">
        <v>46225</v>
      </c>
      <c r="Z3" s="30">
        <v>46226</v>
      </c>
      <c r="AA3" s="30">
        <v>46227</v>
      </c>
      <c r="AB3" s="30">
        <v>46228</v>
      </c>
      <c r="AC3" s="30">
        <v>46229</v>
      </c>
      <c r="AD3" s="30">
        <v>46230</v>
      </c>
      <c r="AE3" s="30">
        <v>46231</v>
      </c>
      <c r="AF3" s="30">
        <v>46232</v>
      </c>
      <c r="AG3" s="30">
        <v>46233</v>
      </c>
      <c r="AH3" s="30">
        <v>46234</v>
      </c>
      <c r="AI3" s="7"/>
    </row>
    <row r="4" spans="1:35" ht="15.75" customHeight="1">
      <c r="A4" s="281">
        <v>1</v>
      </c>
      <c r="B4" s="259"/>
      <c r="C4" s="259"/>
      <c r="D4" s="192"/>
      <c r="E4" s="193"/>
      <c r="F4" s="192"/>
      <c r="G4" s="193"/>
      <c r="H4" s="194"/>
      <c r="I4" s="195"/>
      <c r="J4" s="193"/>
      <c r="K4" s="193"/>
      <c r="L4" s="192"/>
      <c r="M4" s="193"/>
      <c r="N4" s="192"/>
      <c r="O4" s="192"/>
      <c r="P4" s="193"/>
      <c r="Q4" s="193"/>
      <c r="R4" s="192"/>
      <c r="S4" s="193"/>
      <c r="T4" s="196"/>
      <c r="U4" s="192"/>
      <c r="V4" s="193"/>
      <c r="W4" s="193"/>
      <c r="X4" s="197"/>
      <c r="Y4" s="197"/>
      <c r="Z4" s="193"/>
      <c r="AA4" s="198"/>
      <c r="AB4" s="199"/>
      <c r="AC4" s="198"/>
      <c r="AD4" s="198"/>
      <c r="AE4" s="201"/>
      <c r="AF4" s="198"/>
      <c r="AG4" s="199"/>
      <c r="AH4" s="198"/>
      <c r="AI4" s="42"/>
    </row>
    <row r="5" spans="1:35" ht="15.75" customHeight="1">
      <c r="A5" s="281">
        <v>2</v>
      </c>
      <c r="B5" s="259"/>
      <c r="C5" s="259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259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8"/>
      <c r="AA5" s="198"/>
      <c r="AB5" s="199"/>
      <c r="AC5" s="199"/>
      <c r="AD5" s="198"/>
      <c r="AE5" s="198"/>
      <c r="AF5" s="198"/>
      <c r="AG5" s="199"/>
      <c r="AH5" s="198"/>
      <c r="AI5" s="42"/>
    </row>
    <row r="6" spans="1:35" ht="15.75" customHeight="1">
      <c r="A6" s="281">
        <v>3</v>
      </c>
      <c r="B6" s="259"/>
      <c r="C6" s="259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42"/>
      <c r="Z6" s="201"/>
      <c r="AA6" s="198"/>
      <c r="AB6" s="201"/>
      <c r="AC6" s="203"/>
      <c r="AD6" s="203"/>
      <c r="AE6" s="198"/>
      <c r="AF6" s="201"/>
      <c r="AG6" s="42"/>
      <c r="AH6" s="201"/>
      <c r="AI6" s="42"/>
    </row>
    <row r="7" spans="1:35" ht="15.75" customHeight="1">
      <c r="A7" s="281">
        <v>4</v>
      </c>
      <c r="B7" s="259"/>
      <c r="C7" s="259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203"/>
      <c r="P7" s="193"/>
      <c r="Q7" s="193"/>
      <c r="R7" s="193"/>
      <c r="S7" s="193"/>
      <c r="T7" s="193"/>
      <c r="U7" s="193"/>
      <c r="V7" s="193"/>
      <c r="W7" s="193"/>
      <c r="X7" s="193"/>
      <c r="Y7" s="201"/>
      <c r="Z7" s="201"/>
      <c r="AA7" s="201"/>
      <c r="AB7" s="198"/>
      <c r="AC7" s="201"/>
      <c r="AD7" s="203"/>
      <c r="AE7" s="199"/>
      <c r="AF7" s="201"/>
      <c r="AG7" s="204"/>
      <c r="AH7" s="201"/>
      <c r="AI7" s="42"/>
    </row>
    <row r="8" spans="1:35" ht="15.75" customHeight="1">
      <c r="A8" s="46" t="s">
        <v>10</v>
      </c>
      <c r="B8" s="47"/>
      <c r="C8" s="47">
        <f>+D8+E8+F8+G8+H8+I8+J8+K8+L8+M8+N8+O8++P8+Q8+R8+S8+T8+U8+V8+W8+X8+Y8+Z8+AA8+AB8+AC8+AD8+AE8+AF8+AG8+AH8</f>
        <v>0</v>
      </c>
      <c r="D8" s="47">
        <f>SUM(D4:D7) /1.1</f>
        <v>0</v>
      </c>
      <c r="E8" s="47">
        <f>SUM(E4:E7) /1.1</f>
        <v>0</v>
      </c>
      <c r="F8" s="47">
        <f>SUM(F4:F7) /1.1</f>
        <v>0</v>
      </c>
      <c r="G8" s="47">
        <f>SUM(G4:G7) /1.1</f>
        <v>0</v>
      </c>
      <c r="H8" s="47">
        <f>SUM(H4:H7) /1.1</f>
        <v>0</v>
      </c>
      <c r="I8" s="47">
        <f>SUM(I5:I7) /1.1</f>
        <v>0</v>
      </c>
      <c r="J8" s="47">
        <f t="shared" ref="J8:AD8" si="0">SUM(J4:J7) /1.1</f>
        <v>0</v>
      </c>
      <c r="K8" s="47">
        <f t="shared" si="0"/>
        <v>0</v>
      </c>
      <c r="L8" s="47">
        <f t="shared" si="0"/>
        <v>0</v>
      </c>
      <c r="M8" s="47">
        <f t="shared" si="0"/>
        <v>0</v>
      </c>
      <c r="N8" s="47">
        <f t="shared" si="0"/>
        <v>0</v>
      </c>
      <c r="O8" s="47">
        <f t="shared" si="0"/>
        <v>0</v>
      </c>
      <c r="P8" s="47">
        <f t="shared" si="0"/>
        <v>0</v>
      </c>
      <c r="Q8" s="47">
        <f t="shared" si="0"/>
        <v>0</v>
      </c>
      <c r="R8" s="47">
        <f t="shared" si="0"/>
        <v>0</v>
      </c>
      <c r="S8" s="47">
        <f t="shared" si="0"/>
        <v>0</v>
      </c>
      <c r="T8" s="47">
        <f t="shared" si="0"/>
        <v>0</v>
      </c>
      <c r="U8" s="47">
        <f t="shared" si="0"/>
        <v>0</v>
      </c>
      <c r="V8" s="47">
        <f t="shared" si="0"/>
        <v>0</v>
      </c>
      <c r="W8" s="47">
        <f t="shared" si="0"/>
        <v>0</v>
      </c>
      <c r="X8" s="47">
        <f t="shared" si="0"/>
        <v>0</v>
      </c>
      <c r="Y8" s="47">
        <f t="shared" si="0"/>
        <v>0</v>
      </c>
      <c r="Z8" s="47">
        <f t="shared" si="0"/>
        <v>0</v>
      </c>
      <c r="AA8" s="47">
        <f t="shared" si="0"/>
        <v>0</v>
      </c>
      <c r="AB8" s="47">
        <f t="shared" si="0"/>
        <v>0</v>
      </c>
      <c r="AC8" s="47">
        <f t="shared" si="0"/>
        <v>0</v>
      </c>
      <c r="AD8" s="47">
        <f t="shared" si="0"/>
        <v>0</v>
      </c>
      <c r="AE8" s="47">
        <f>SUM(AE5:AE7) /1.1</f>
        <v>0</v>
      </c>
      <c r="AF8" s="47">
        <f>SUM(AF4:AF7) /1.1</f>
        <v>0</v>
      </c>
      <c r="AG8" s="47">
        <f>SUM(AG4:AG7) /1.1</f>
        <v>0</v>
      </c>
      <c r="AH8" s="47">
        <f>SUM(AH4:AH7) /1.1</f>
        <v>0</v>
      </c>
      <c r="AI8" s="42"/>
    </row>
    <row r="9" spans="1:35" ht="15.75" customHeight="1">
      <c r="A9" s="279" t="s">
        <v>11</v>
      </c>
      <c r="B9" s="279"/>
      <c r="C9" s="279"/>
      <c r="D9" s="6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1:35" ht="15.75" customHeight="1">
      <c r="A10" s="67" t="s">
        <v>12</v>
      </c>
      <c r="B10" s="279"/>
      <c r="C10" s="279"/>
      <c r="D10" s="70">
        <f t="shared" ref="D10:AH10" si="1">D8-D9</f>
        <v>0</v>
      </c>
      <c r="E10" s="70">
        <f t="shared" si="1"/>
        <v>0</v>
      </c>
      <c r="F10" s="70">
        <f t="shared" si="1"/>
        <v>0</v>
      </c>
      <c r="G10" s="70">
        <f t="shared" si="1"/>
        <v>0</v>
      </c>
      <c r="H10" s="70">
        <f t="shared" si="1"/>
        <v>0</v>
      </c>
      <c r="I10" s="70">
        <f t="shared" si="1"/>
        <v>0</v>
      </c>
      <c r="J10" s="70">
        <f t="shared" si="1"/>
        <v>0</v>
      </c>
      <c r="K10" s="70">
        <f t="shared" si="1"/>
        <v>0</v>
      </c>
      <c r="L10" s="70">
        <f t="shared" si="1"/>
        <v>0</v>
      </c>
      <c r="M10" s="70">
        <f t="shared" si="1"/>
        <v>0</v>
      </c>
      <c r="N10" s="70">
        <f t="shared" si="1"/>
        <v>0</v>
      </c>
      <c r="O10" s="70">
        <f t="shared" si="1"/>
        <v>0</v>
      </c>
      <c r="P10" s="70">
        <f t="shared" si="1"/>
        <v>0</v>
      </c>
      <c r="Q10" s="70">
        <f t="shared" si="1"/>
        <v>0</v>
      </c>
      <c r="R10" s="70">
        <f t="shared" si="1"/>
        <v>0</v>
      </c>
      <c r="S10" s="70">
        <f t="shared" si="1"/>
        <v>0</v>
      </c>
      <c r="T10" s="70">
        <f t="shared" si="1"/>
        <v>0</v>
      </c>
      <c r="U10" s="70">
        <f t="shared" si="1"/>
        <v>0</v>
      </c>
      <c r="V10" s="70">
        <f t="shared" si="1"/>
        <v>0</v>
      </c>
      <c r="W10" s="70">
        <f t="shared" si="1"/>
        <v>0</v>
      </c>
      <c r="X10" s="70">
        <f t="shared" si="1"/>
        <v>0</v>
      </c>
      <c r="Y10" s="70">
        <f t="shared" si="1"/>
        <v>0</v>
      </c>
      <c r="Z10" s="70">
        <f t="shared" si="1"/>
        <v>0</v>
      </c>
      <c r="AA10" s="70">
        <f t="shared" si="1"/>
        <v>0</v>
      </c>
      <c r="AB10" s="70">
        <f t="shared" si="1"/>
        <v>0</v>
      </c>
      <c r="AC10" s="70">
        <f t="shared" si="1"/>
        <v>0</v>
      </c>
      <c r="AD10" s="70">
        <f t="shared" si="1"/>
        <v>0</v>
      </c>
      <c r="AE10" s="70">
        <f t="shared" si="1"/>
        <v>0</v>
      </c>
      <c r="AF10" s="70">
        <f t="shared" si="1"/>
        <v>0</v>
      </c>
      <c r="AG10" s="70">
        <f t="shared" si="1"/>
        <v>0</v>
      </c>
      <c r="AH10" s="70">
        <f t="shared" si="1"/>
        <v>0</v>
      </c>
      <c r="AI10" s="7"/>
    </row>
    <row r="13" spans="1:35" ht="13.8">
      <c r="B13" s="74" t="s">
        <v>13</v>
      </c>
      <c r="D13" s="74"/>
    </row>
    <row r="14" spans="1:35" ht="15.75" customHeight="1">
      <c r="B14" s="75" t="s">
        <v>14</v>
      </c>
      <c r="C14" s="75" t="s">
        <v>15</v>
      </c>
      <c r="D14" s="75" t="s">
        <v>16</v>
      </c>
      <c r="E14" s="76" t="s">
        <v>17</v>
      </c>
      <c r="G14" s="325" t="s">
        <v>18</v>
      </c>
    </row>
    <row r="15" spans="1:35" ht="13.2">
      <c r="B15" s="54"/>
      <c r="C15" s="54"/>
      <c r="D15" s="54"/>
      <c r="E15" s="54"/>
    </row>
    <row r="16" spans="1:35" ht="13.2" customHeight="1">
      <c r="B16" s="54"/>
      <c r="C16" s="54"/>
      <c r="D16" s="54"/>
      <c r="E16" s="54"/>
    </row>
    <row r="17" spans="2:5" ht="13.2" customHeight="1">
      <c r="B17" s="54"/>
      <c r="C17" s="54"/>
      <c r="D17" s="54"/>
      <c r="E17" s="54"/>
    </row>
    <row r="18" spans="2:5" ht="13.2" customHeight="1">
      <c r="B18" s="54"/>
      <c r="C18" s="54"/>
      <c r="D18" s="54"/>
      <c r="E18" s="54"/>
    </row>
    <row r="19" spans="2:5" ht="13.2" customHeight="1">
      <c r="B19" s="54"/>
      <c r="C19" s="54"/>
      <c r="D19" s="54"/>
      <c r="E19" s="54"/>
    </row>
    <row r="20" spans="2:5" ht="13.2" customHeight="1">
      <c r="B20" s="54"/>
      <c r="C20" s="54"/>
      <c r="D20" s="54"/>
      <c r="E20" s="54"/>
    </row>
    <row r="21" spans="2:5" ht="13.2" customHeight="1">
      <c r="B21" s="54"/>
      <c r="C21" s="54"/>
      <c r="D21" s="54"/>
      <c r="E21" s="54"/>
    </row>
    <row r="22" spans="2:5" ht="13.2" customHeight="1">
      <c r="B22" s="54"/>
      <c r="C22" s="54"/>
      <c r="D22" s="54"/>
      <c r="E22" s="54"/>
    </row>
    <row r="23" spans="2:5" ht="13.2" customHeight="1">
      <c r="B23" s="54"/>
      <c r="C23" s="54"/>
      <c r="D23" s="54"/>
      <c r="E23" s="54"/>
    </row>
    <row r="24" spans="2:5" ht="13.2" customHeight="1">
      <c r="B24" s="54"/>
      <c r="C24" s="54"/>
      <c r="D24" s="54"/>
      <c r="E24" s="54"/>
    </row>
    <row r="25" spans="2:5" ht="13.2" customHeight="1">
      <c r="B25" s="54"/>
      <c r="C25" s="54"/>
      <c r="D25" s="54"/>
      <c r="E25" s="54"/>
    </row>
    <row r="26" spans="2:5" ht="13.2" customHeight="1">
      <c r="B26" s="54"/>
      <c r="C26" s="54"/>
      <c r="D26" s="54"/>
      <c r="E26" s="54"/>
    </row>
    <row r="27" spans="2:5" ht="13.2" customHeight="1">
      <c r="B27" s="54"/>
      <c r="C27" s="54"/>
      <c r="D27" s="54"/>
      <c r="E27" s="54"/>
    </row>
    <row r="28" spans="2:5" ht="13.2" customHeight="1">
      <c r="B28" s="54"/>
      <c r="C28" s="54"/>
      <c r="D28" s="54"/>
      <c r="E28" s="54"/>
    </row>
    <row r="29" spans="2:5" ht="13.2" customHeight="1">
      <c r="B29" s="54"/>
      <c r="C29" s="54"/>
      <c r="D29" s="54"/>
      <c r="E29" s="54"/>
    </row>
    <row r="30" spans="2:5" ht="13.2" customHeight="1">
      <c r="B30" s="54"/>
      <c r="C30" s="54"/>
      <c r="D30" s="54"/>
      <c r="E30" s="54"/>
    </row>
    <row r="31" spans="2:5" ht="13.2" customHeight="1">
      <c r="B31" s="54"/>
      <c r="C31" s="54"/>
      <c r="D31" s="54"/>
      <c r="E31" s="54"/>
    </row>
    <row r="32" spans="2:5" ht="13.2" customHeight="1">
      <c r="B32" s="54"/>
      <c r="C32" s="54"/>
      <c r="D32" s="54"/>
      <c r="E32" s="54"/>
    </row>
  </sheetData>
  <mergeCells count="3">
    <mergeCell ref="C2:C3"/>
    <mergeCell ref="A2:A3"/>
    <mergeCell ref="B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/>
  <cols>
    <col min="1" max="1" width="5.6640625" style="323" customWidth="1"/>
    <col min="2" max="2" width="20.6640625" style="323" customWidth="1"/>
    <col min="3" max="3" width="26.77734375" style="323" customWidth="1"/>
    <col min="4" max="4" width="14.109375" style="323" customWidth="1"/>
    <col min="5" max="5" width="16.6640625" style="323" customWidth="1"/>
    <col min="6" max="6" width="31.33203125" style="323" customWidth="1"/>
    <col min="7" max="7" width="34.109375" style="323" customWidth="1"/>
    <col min="8" max="8" width="29.6640625" style="323" customWidth="1"/>
    <col min="9" max="9" width="31" style="323" customWidth="1"/>
    <col min="10" max="10" width="22.33203125" style="323" customWidth="1"/>
  </cols>
  <sheetData>
    <row r="1" spans="1:27" ht="40.200000000000003" customHeight="1">
      <c r="A1" s="1" t="s">
        <v>0</v>
      </c>
      <c r="B1" s="1" t="s">
        <v>19</v>
      </c>
      <c r="C1" s="2" t="s">
        <v>20</v>
      </c>
      <c r="D1" s="1" t="s">
        <v>21</v>
      </c>
      <c r="E1" s="1" t="s">
        <v>22</v>
      </c>
      <c r="F1" s="3" t="s">
        <v>23</v>
      </c>
      <c r="G1" s="3" t="s">
        <v>24</v>
      </c>
      <c r="H1" s="5" t="s">
        <v>25</v>
      </c>
      <c r="I1" s="5" t="s">
        <v>26</v>
      </c>
      <c r="J1" s="2" t="s">
        <v>27</v>
      </c>
      <c r="K1" s="379" t="s">
        <v>28</v>
      </c>
      <c r="L1" s="380"/>
      <c r="M1" s="380"/>
      <c r="N1" s="380"/>
    </row>
    <row r="2" spans="1:27" ht="16.5" customHeight="1">
      <c r="A2" s="374">
        <v>1</v>
      </c>
      <c r="B2" s="374" t="s">
        <v>29</v>
      </c>
      <c r="C2" s="9" t="s">
        <v>30</v>
      </c>
      <c r="D2" s="9"/>
      <c r="E2" s="9"/>
      <c r="F2" s="44" t="s">
        <v>31</v>
      </c>
      <c r="G2" s="12" t="s">
        <v>32</v>
      </c>
      <c r="H2" s="16" t="s">
        <v>33</v>
      </c>
      <c r="I2" s="26" t="s">
        <v>34</v>
      </c>
      <c r="J2" s="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 spans="1:27" ht="16.5" customHeight="1">
      <c r="A3" s="368"/>
      <c r="B3" s="368"/>
      <c r="C3" s="9"/>
      <c r="D3" s="9"/>
      <c r="E3" s="9"/>
      <c r="F3" s="44" t="s">
        <v>31</v>
      </c>
      <c r="G3" s="37" t="s">
        <v>35</v>
      </c>
      <c r="H3" s="370" t="s">
        <v>36</v>
      </c>
      <c r="I3" s="26" t="s">
        <v>37</v>
      </c>
      <c r="J3" s="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 spans="1:27" ht="16.5" customHeight="1">
      <c r="A4" s="368"/>
      <c r="B4" s="368"/>
      <c r="C4" s="9"/>
      <c r="D4" s="9"/>
      <c r="E4" s="9"/>
      <c r="F4" s="44" t="s">
        <v>38</v>
      </c>
      <c r="G4" s="12" t="s">
        <v>39</v>
      </c>
      <c r="H4" s="368"/>
      <c r="I4" s="26" t="s">
        <v>40</v>
      </c>
      <c r="J4" s="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spans="1:27" ht="16.5" customHeight="1">
      <c r="A5" s="368"/>
      <c r="B5" s="368"/>
      <c r="C5" s="9"/>
      <c r="D5" s="9"/>
      <c r="E5" s="9"/>
      <c r="F5" s="44" t="s">
        <v>41</v>
      </c>
      <c r="G5" s="37" t="s">
        <v>42</v>
      </c>
      <c r="H5" s="368"/>
      <c r="I5" s="26" t="s">
        <v>43</v>
      </c>
      <c r="J5" s="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spans="1:27" ht="16.5" customHeight="1">
      <c r="A6" s="368"/>
      <c r="B6" s="368"/>
      <c r="C6" s="9"/>
      <c r="D6" s="9"/>
      <c r="E6" s="9"/>
      <c r="F6" s="44"/>
      <c r="G6" s="44"/>
      <c r="H6" s="368"/>
      <c r="I6" s="26" t="s">
        <v>44</v>
      </c>
      <c r="J6" s="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spans="1:27" ht="16.5" customHeight="1">
      <c r="A7" s="362"/>
      <c r="B7" s="362"/>
      <c r="C7" s="9"/>
      <c r="D7" s="9"/>
      <c r="E7" s="9"/>
      <c r="F7" s="44"/>
      <c r="G7" s="44"/>
      <c r="H7" s="362"/>
      <c r="I7" s="26" t="s">
        <v>45</v>
      </c>
      <c r="J7" s="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spans="1:27" ht="16.5" customHeight="1">
      <c r="A8" s="373">
        <v>2</v>
      </c>
      <c r="B8" s="373" t="s">
        <v>46</v>
      </c>
      <c r="C8" s="51" t="s">
        <v>47</v>
      </c>
      <c r="D8" s="51"/>
      <c r="E8" s="51"/>
      <c r="F8" s="57" t="s">
        <v>48</v>
      </c>
      <c r="G8" s="52" t="s">
        <v>49</v>
      </c>
      <c r="H8" s="53"/>
      <c r="I8" s="58" t="s">
        <v>50</v>
      </c>
      <c r="J8" s="51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spans="1:27" ht="16.5" customHeight="1">
      <c r="A9" s="368"/>
      <c r="B9" s="368"/>
      <c r="C9" s="51"/>
      <c r="D9" s="51"/>
      <c r="E9" s="51"/>
      <c r="F9" s="57" t="s">
        <v>51</v>
      </c>
      <c r="G9" s="52" t="s">
        <v>52</v>
      </c>
      <c r="H9" s="53"/>
      <c r="I9" s="58" t="s">
        <v>53</v>
      </c>
      <c r="J9" s="51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27" ht="16.5" customHeight="1">
      <c r="A10" s="368"/>
      <c r="B10" s="368"/>
      <c r="C10" s="51"/>
      <c r="D10" s="51"/>
      <c r="E10" s="51"/>
      <c r="F10" s="57"/>
      <c r="G10" s="57"/>
      <c r="H10" s="53"/>
      <c r="I10" s="58"/>
      <c r="J10" s="51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spans="1:27" ht="16.5" customHeight="1">
      <c r="A11" s="362"/>
      <c r="B11" s="362"/>
      <c r="C11" s="51"/>
      <c r="D11" s="51"/>
      <c r="E11" s="51"/>
      <c r="F11" s="57"/>
      <c r="G11" s="57"/>
      <c r="H11" s="53"/>
      <c r="I11" s="58"/>
      <c r="J11" s="51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spans="1:27" ht="16.5" customHeight="1">
      <c r="A12" s="369">
        <v>3</v>
      </c>
      <c r="B12" s="369" t="s">
        <v>54</v>
      </c>
      <c r="C12" s="62" t="s">
        <v>55</v>
      </c>
      <c r="D12" s="62"/>
      <c r="E12" s="62"/>
      <c r="F12" s="78" t="s">
        <v>56</v>
      </c>
      <c r="G12" s="68" t="s">
        <v>57</v>
      </c>
      <c r="H12" s="372" t="s">
        <v>33</v>
      </c>
      <c r="I12" s="71" t="s">
        <v>58</v>
      </c>
      <c r="J12" s="62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spans="1:27" ht="16.5" customHeight="1">
      <c r="A13" s="368"/>
      <c r="B13" s="368"/>
      <c r="C13" s="62"/>
      <c r="D13" s="62"/>
      <c r="E13" s="62"/>
      <c r="F13" s="78" t="s">
        <v>59</v>
      </c>
      <c r="G13" s="68" t="s">
        <v>60</v>
      </c>
      <c r="H13" s="368"/>
      <c r="I13" s="71" t="s">
        <v>61</v>
      </c>
      <c r="J13" s="62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1:27" ht="16.5" customHeight="1">
      <c r="A14" s="368"/>
      <c r="B14" s="368"/>
      <c r="C14" s="62"/>
      <c r="D14" s="62"/>
      <c r="E14" s="62"/>
      <c r="F14" s="77" t="s">
        <v>62</v>
      </c>
      <c r="G14" s="68" t="s">
        <v>63</v>
      </c>
      <c r="H14" s="362"/>
      <c r="I14" s="71" t="s">
        <v>64</v>
      </c>
      <c r="J14" s="62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spans="1:27" ht="16.5" customHeight="1">
      <c r="A15" s="362"/>
      <c r="B15" s="362"/>
      <c r="C15" s="62"/>
      <c r="D15" s="62"/>
      <c r="E15" s="62"/>
      <c r="F15" s="78"/>
      <c r="G15" s="78"/>
      <c r="H15" s="79" t="s">
        <v>65</v>
      </c>
      <c r="I15" s="71" t="s">
        <v>66</v>
      </c>
      <c r="J15" s="62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spans="1:27" ht="16.5" customHeight="1">
      <c r="A16" s="371">
        <v>4</v>
      </c>
      <c r="B16" s="371" t="s">
        <v>67</v>
      </c>
      <c r="C16" s="81" t="s">
        <v>68</v>
      </c>
      <c r="D16" s="81"/>
      <c r="E16" s="81"/>
      <c r="F16" s="106" t="s">
        <v>69</v>
      </c>
      <c r="G16" s="83" t="s">
        <v>70</v>
      </c>
      <c r="H16" s="85" t="s">
        <v>33</v>
      </c>
      <c r="I16" s="86" t="s">
        <v>71</v>
      </c>
      <c r="J16" s="81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spans="1:27" ht="16.5" customHeight="1">
      <c r="A17" s="368"/>
      <c r="B17" s="368"/>
      <c r="C17" s="81"/>
      <c r="D17" s="81"/>
      <c r="E17" s="81"/>
      <c r="F17" s="106" t="s">
        <v>72</v>
      </c>
      <c r="G17" s="83" t="s">
        <v>73</v>
      </c>
      <c r="H17" s="85" t="s">
        <v>33</v>
      </c>
      <c r="I17" s="86" t="s">
        <v>74</v>
      </c>
      <c r="J17" s="81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spans="1:27" ht="16.5" customHeight="1">
      <c r="A18" s="368"/>
      <c r="B18" s="368"/>
      <c r="C18" s="81"/>
      <c r="D18" s="81"/>
      <c r="E18" s="81"/>
      <c r="F18" s="106" t="s">
        <v>75</v>
      </c>
      <c r="G18" s="83" t="s">
        <v>76</v>
      </c>
      <c r="H18" s="85" t="s">
        <v>33</v>
      </c>
      <c r="I18" s="86" t="s">
        <v>77</v>
      </c>
      <c r="J18" s="81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spans="1:27" ht="16.5" customHeight="1">
      <c r="A19" s="362"/>
      <c r="B19" s="362"/>
      <c r="C19" s="81"/>
      <c r="D19" s="81"/>
      <c r="E19" s="81"/>
      <c r="F19" s="106"/>
      <c r="G19" s="106"/>
      <c r="H19" s="85" t="s">
        <v>78</v>
      </c>
      <c r="I19" s="86">
        <v>632315609796394</v>
      </c>
      <c r="J19" s="81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spans="1:27" ht="16.5" customHeight="1">
      <c r="A20" s="378">
        <v>5</v>
      </c>
      <c r="B20" s="378" t="s">
        <v>79</v>
      </c>
      <c r="C20" s="110" t="s">
        <v>80</v>
      </c>
      <c r="D20" s="110"/>
      <c r="E20" s="110"/>
      <c r="F20" s="111" t="s">
        <v>81</v>
      </c>
      <c r="G20" s="113" t="s">
        <v>82</v>
      </c>
      <c r="H20" s="382" t="s">
        <v>83</v>
      </c>
      <c r="I20" s="114" t="s">
        <v>84</v>
      </c>
      <c r="J20" s="110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spans="1:27" ht="16.5" customHeight="1">
      <c r="A21" s="368"/>
      <c r="B21" s="368"/>
      <c r="C21" s="110"/>
      <c r="D21" s="110"/>
      <c r="E21" s="110"/>
      <c r="F21" s="111" t="s">
        <v>85</v>
      </c>
      <c r="G21" s="113" t="s">
        <v>86</v>
      </c>
      <c r="H21" s="368"/>
      <c r="I21" s="114" t="s">
        <v>87</v>
      </c>
      <c r="J21" s="110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spans="1:27" ht="16.5" customHeight="1">
      <c r="A22" s="368"/>
      <c r="B22" s="368"/>
      <c r="C22" s="110"/>
      <c r="D22" s="110"/>
      <c r="E22" s="110"/>
      <c r="F22" s="111" t="s">
        <v>88</v>
      </c>
      <c r="G22" s="113" t="s">
        <v>89</v>
      </c>
      <c r="H22" s="368"/>
      <c r="I22" s="114" t="s">
        <v>90</v>
      </c>
      <c r="J22" s="110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spans="1:27" ht="16.5" customHeight="1">
      <c r="A23" s="362"/>
      <c r="B23" s="362"/>
      <c r="C23" s="110"/>
      <c r="D23" s="110"/>
      <c r="E23" s="110"/>
      <c r="F23" s="111" t="s">
        <v>91</v>
      </c>
      <c r="G23" s="113" t="s">
        <v>92</v>
      </c>
      <c r="H23" s="362"/>
      <c r="I23" s="114" t="s">
        <v>93</v>
      </c>
      <c r="J23" s="110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ht="16.5" customHeight="1">
      <c r="A24" s="381">
        <v>6</v>
      </c>
      <c r="B24" s="381" t="s">
        <v>94</v>
      </c>
      <c r="C24" s="116" t="s">
        <v>95</v>
      </c>
      <c r="D24" s="116"/>
      <c r="E24" s="116"/>
      <c r="F24" s="123" t="s">
        <v>96</v>
      </c>
      <c r="G24" s="119" t="s">
        <v>97</v>
      </c>
      <c r="H24" s="120" t="s">
        <v>98</v>
      </c>
      <c r="I24" s="122" t="s">
        <v>99</v>
      </c>
      <c r="J24" s="116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27" ht="16.5" customHeight="1">
      <c r="A25" s="368"/>
      <c r="B25" s="368"/>
      <c r="C25" s="116"/>
      <c r="D25" s="116"/>
      <c r="E25" s="116"/>
      <c r="F25" s="123" t="s">
        <v>100</v>
      </c>
      <c r="G25" s="124" t="s">
        <v>101</v>
      </c>
      <c r="H25" s="377" t="s">
        <v>102</v>
      </c>
      <c r="I25" s="122" t="s">
        <v>103</v>
      </c>
      <c r="J25" s="116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27" ht="16.5" customHeight="1">
      <c r="A26" s="368"/>
      <c r="B26" s="368"/>
      <c r="C26" s="116"/>
      <c r="D26" s="116"/>
      <c r="E26" s="116"/>
      <c r="F26" s="123"/>
      <c r="G26" s="123"/>
      <c r="H26" s="368"/>
      <c r="I26" s="122" t="s">
        <v>104</v>
      </c>
      <c r="J26" s="116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1:27" ht="16.5" customHeight="1">
      <c r="A27" s="362"/>
      <c r="B27" s="362"/>
      <c r="C27" s="116"/>
      <c r="D27" s="116"/>
      <c r="E27" s="116"/>
      <c r="F27" s="123"/>
      <c r="G27" s="123"/>
      <c r="H27" s="362"/>
      <c r="I27" s="122" t="s">
        <v>105</v>
      </c>
      <c r="J27" s="116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27" ht="16.5" customHeight="1">
      <c r="A28" s="375">
        <v>7</v>
      </c>
      <c r="B28" s="375" t="s">
        <v>106</v>
      </c>
      <c r="C28" s="132" t="s">
        <v>107</v>
      </c>
      <c r="D28" s="132"/>
      <c r="E28" s="132"/>
      <c r="F28" s="137" t="s">
        <v>108</v>
      </c>
      <c r="G28" s="134" t="s">
        <v>109</v>
      </c>
      <c r="H28" s="135" t="s">
        <v>33</v>
      </c>
      <c r="I28" s="136" t="s">
        <v>110</v>
      </c>
      <c r="J28" s="132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spans="1:27" ht="16.5" customHeight="1">
      <c r="A29" s="368"/>
      <c r="B29" s="368"/>
      <c r="C29" s="132"/>
      <c r="D29" s="132"/>
      <c r="E29" s="132"/>
      <c r="F29" s="137"/>
      <c r="G29" s="137"/>
      <c r="H29" s="376" t="s">
        <v>111</v>
      </c>
      <c r="I29" s="136" t="s">
        <v>112</v>
      </c>
      <c r="J29" s="132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spans="1:27" ht="16.5" customHeight="1">
      <c r="A30" s="368"/>
      <c r="B30" s="368"/>
      <c r="C30" s="132"/>
      <c r="D30" s="132"/>
      <c r="E30" s="132"/>
      <c r="F30" s="137"/>
      <c r="G30" s="137"/>
      <c r="H30" s="368"/>
      <c r="I30" s="136" t="s">
        <v>113</v>
      </c>
      <c r="J30" s="132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spans="1:27" ht="16.5" customHeight="1">
      <c r="A31" s="362"/>
      <c r="B31" s="362"/>
      <c r="C31" s="132"/>
      <c r="D31" s="132"/>
      <c r="E31" s="132"/>
      <c r="F31" s="137"/>
      <c r="G31" s="137"/>
      <c r="H31" s="362"/>
      <c r="I31" s="136" t="s">
        <v>114</v>
      </c>
      <c r="J31" s="132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spans="1:27" ht="16.5" customHeight="1">
      <c r="A32" s="367">
        <v>8</v>
      </c>
      <c r="B32" s="367"/>
      <c r="C32" s="139"/>
      <c r="D32" s="139"/>
      <c r="E32" s="139"/>
      <c r="F32" s="140"/>
      <c r="G32" s="140"/>
      <c r="H32" s="142"/>
      <c r="I32" s="143"/>
      <c r="J32" s="139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  <c r="AA32" s="144"/>
    </row>
    <row r="33" spans="1:27" ht="16.5" customHeight="1">
      <c r="A33" s="368"/>
      <c r="B33" s="368"/>
      <c r="C33" s="139"/>
      <c r="D33" s="139"/>
      <c r="E33" s="139"/>
      <c r="F33" s="140"/>
      <c r="G33" s="140"/>
      <c r="H33" s="142"/>
      <c r="I33" s="143"/>
      <c r="J33" s="139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</row>
    <row r="34" spans="1:27" ht="16.5" customHeight="1">
      <c r="A34" s="368"/>
      <c r="B34" s="368"/>
      <c r="C34" s="139"/>
      <c r="D34" s="139"/>
      <c r="E34" s="139"/>
      <c r="F34" s="140"/>
      <c r="G34" s="140"/>
      <c r="H34" s="142"/>
      <c r="I34" s="143"/>
      <c r="J34" s="139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</row>
    <row r="35" spans="1:27" ht="16.5" customHeight="1">
      <c r="A35" s="362"/>
      <c r="B35" s="362"/>
      <c r="C35" s="139"/>
      <c r="D35" s="139"/>
      <c r="E35" s="139"/>
      <c r="F35" s="140"/>
      <c r="G35" s="140"/>
      <c r="H35" s="142"/>
      <c r="I35" s="143"/>
      <c r="J35" s="139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</row>
    <row r="36" spans="1:27" ht="16.5" customHeight="1">
      <c r="A36" s="367">
        <v>9</v>
      </c>
      <c r="B36" s="367"/>
      <c r="C36" s="139"/>
      <c r="D36" s="139"/>
      <c r="E36" s="139"/>
      <c r="F36" s="140"/>
      <c r="G36" s="140"/>
      <c r="H36" s="142"/>
      <c r="I36" s="143"/>
      <c r="J36" s="139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</row>
    <row r="37" spans="1:27" ht="16.5" customHeight="1">
      <c r="A37" s="368"/>
      <c r="B37" s="368"/>
      <c r="C37" s="139"/>
      <c r="D37" s="139"/>
      <c r="E37" s="139"/>
      <c r="F37" s="140"/>
      <c r="G37" s="140"/>
      <c r="H37" s="142"/>
      <c r="I37" s="139"/>
      <c r="J37" s="139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</row>
    <row r="38" spans="1:27" ht="16.5" customHeight="1">
      <c r="A38" s="368"/>
      <c r="B38" s="368"/>
      <c r="C38" s="139"/>
      <c r="D38" s="139"/>
      <c r="E38" s="139"/>
      <c r="F38" s="140"/>
      <c r="G38" s="140"/>
      <c r="H38" s="142"/>
      <c r="I38" s="139"/>
      <c r="J38" s="139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</row>
    <row r="39" spans="1:27" ht="16.5" customHeight="1">
      <c r="A39" s="362"/>
      <c r="B39" s="362"/>
      <c r="C39" s="139"/>
      <c r="D39" s="139"/>
      <c r="E39" s="139"/>
      <c r="F39" s="140"/>
      <c r="G39" s="140"/>
      <c r="H39" s="142"/>
      <c r="I39" s="139"/>
      <c r="J39" s="139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</row>
    <row r="40" spans="1:27" ht="16.5" customHeight="1">
      <c r="A40" s="367">
        <v>10</v>
      </c>
      <c r="B40" s="367"/>
      <c r="C40" s="139"/>
      <c r="D40" s="139"/>
      <c r="E40" s="139"/>
      <c r="F40" s="140"/>
      <c r="G40" s="140"/>
      <c r="H40" s="149"/>
      <c r="I40" s="139"/>
      <c r="J40" s="139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</row>
    <row r="41" spans="1:27" ht="16.5" customHeight="1">
      <c r="A41" s="368"/>
      <c r="B41" s="368"/>
      <c r="C41" s="139"/>
      <c r="D41" s="139"/>
      <c r="E41" s="139"/>
      <c r="F41" s="140"/>
      <c r="G41" s="140"/>
      <c r="H41" s="149"/>
      <c r="I41" s="139"/>
      <c r="J41" s="139"/>
      <c r="K41" s="144"/>
      <c r="L41" s="144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</row>
    <row r="42" spans="1:27" ht="16.5" customHeight="1">
      <c r="A42" s="368"/>
      <c r="B42" s="368"/>
      <c r="C42" s="139"/>
      <c r="D42" s="139"/>
      <c r="E42" s="139"/>
      <c r="F42" s="140"/>
      <c r="G42" s="140"/>
      <c r="H42" s="149"/>
      <c r="I42" s="139"/>
      <c r="J42" s="139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</row>
    <row r="43" spans="1:27" ht="16.5" customHeight="1">
      <c r="A43" s="362"/>
      <c r="B43" s="362"/>
      <c r="C43" s="139"/>
      <c r="D43" s="139"/>
      <c r="E43" s="139"/>
      <c r="F43" s="140"/>
      <c r="G43" s="140"/>
      <c r="H43" s="149"/>
      <c r="I43" s="139"/>
      <c r="J43" s="139"/>
      <c r="K43" s="144"/>
      <c r="L43" s="144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</row>
    <row r="44" spans="1:27" ht="16.5" customHeight="1">
      <c r="A44" s="367">
        <v>11</v>
      </c>
      <c r="B44" s="367"/>
      <c r="C44" s="139"/>
      <c r="D44" s="139"/>
      <c r="E44" s="139"/>
      <c r="F44" s="140"/>
      <c r="G44" s="140"/>
      <c r="H44" s="149"/>
      <c r="I44" s="139"/>
      <c r="J44" s="139"/>
      <c r="K44" s="144"/>
      <c r="L44" s="144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</row>
    <row r="45" spans="1:27" ht="16.5" customHeight="1">
      <c r="A45" s="368"/>
      <c r="B45" s="368"/>
      <c r="C45" s="139"/>
      <c r="D45" s="139"/>
      <c r="E45" s="139"/>
      <c r="F45" s="140"/>
      <c r="G45" s="140"/>
      <c r="H45" s="149"/>
      <c r="I45" s="139"/>
      <c r="J45" s="139"/>
      <c r="K45" s="144"/>
      <c r="L45" s="144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</row>
    <row r="46" spans="1:27" ht="16.5" customHeight="1">
      <c r="A46" s="368"/>
      <c r="B46" s="368"/>
      <c r="C46" s="139"/>
      <c r="D46" s="139"/>
      <c r="E46" s="139"/>
      <c r="F46" s="140"/>
      <c r="G46" s="140"/>
      <c r="H46" s="149"/>
      <c r="I46" s="139"/>
      <c r="J46" s="139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</row>
    <row r="47" spans="1:27" ht="16.5" customHeight="1">
      <c r="A47" s="362"/>
      <c r="B47" s="362"/>
      <c r="C47" s="139"/>
      <c r="D47" s="139"/>
      <c r="E47" s="139"/>
      <c r="F47" s="140"/>
      <c r="G47" s="140"/>
      <c r="H47" s="149"/>
      <c r="I47" s="139"/>
      <c r="J47" s="139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</row>
    <row r="48" spans="1:27" ht="16.5" customHeight="1">
      <c r="A48" s="139"/>
      <c r="B48" s="139"/>
      <c r="C48" s="139"/>
      <c r="D48" s="139"/>
      <c r="E48" s="139"/>
      <c r="F48" s="140"/>
      <c r="G48" s="140"/>
      <c r="H48" s="149"/>
      <c r="I48" s="139"/>
      <c r="J48" s="139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</row>
    <row r="49" spans="1:27" ht="16.5" customHeight="1">
      <c r="A49" s="139"/>
      <c r="B49" s="139"/>
      <c r="C49" s="139"/>
      <c r="D49" s="139"/>
      <c r="E49" s="139"/>
      <c r="F49" s="140"/>
      <c r="G49" s="140"/>
      <c r="H49" s="149"/>
      <c r="I49" s="139"/>
      <c r="J49" s="139"/>
      <c r="K49" s="144"/>
      <c r="L49" s="144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</row>
    <row r="50" spans="1:27" ht="16.5" customHeight="1">
      <c r="A50" s="139"/>
      <c r="B50" s="139"/>
      <c r="C50" s="139"/>
      <c r="D50" s="139"/>
      <c r="E50" s="139"/>
      <c r="F50" s="140"/>
      <c r="G50" s="140"/>
      <c r="H50" s="149"/>
      <c r="I50" s="139"/>
      <c r="J50" s="139"/>
      <c r="K50" s="144"/>
      <c r="L50" s="144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</row>
    <row r="51" spans="1:27" ht="16.5" customHeight="1">
      <c r="A51" s="139"/>
      <c r="B51" s="139"/>
      <c r="C51" s="139"/>
      <c r="D51" s="139"/>
      <c r="E51" s="139"/>
      <c r="F51" s="140"/>
      <c r="G51" s="140"/>
      <c r="H51" s="149"/>
      <c r="I51" s="139"/>
      <c r="J51" s="139"/>
      <c r="K51" s="144"/>
      <c r="L51" s="144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</row>
    <row r="52" spans="1:27" ht="16.5" customHeight="1">
      <c r="A52" s="139"/>
      <c r="B52" s="139"/>
      <c r="C52" s="139"/>
      <c r="D52" s="139"/>
      <c r="E52" s="139"/>
      <c r="F52" s="140"/>
      <c r="G52" s="140"/>
      <c r="H52" s="149"/>
      <c r="I52" s="139"/>
      <c r="J52" s="139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</row>
    <row r="53" spans="1:27" ht="13.8" customHeight="1">
      <c r="A53" s="139"/>
      <c r="B53" s="139"/>
      <c r="C53" s="139"/>
      <c r="D53" s="139"/>
      <c r="E53" s="139"/>
      <c r="F53" s="140"/>
      <c r="G53" s="140"/>
      <c r="H53" s="149"/>
      <c r="I53" s="139"/>
      <c r="J53" s="139"/>
      <c r="K53" s="144"/>
      <c r="L53" s="144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</row>
    <row r="54" spans="1:27" ht="13.8" customHeight="1">
      <c r="A54" s="139"/>
      <c r="B54" s="139"/>
      <c r="C54" s="139"/>
      <c r="D54" s="139"/>
      <c r="E54" s="139"/>
      <c r="F54" s="140"/>
      <c r="G54" s="140"/>
      <c r="H54" s="149"/>
      <c r="I54" s="139"/>
      <c r="J54" s="139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</row>
    <row r="55" spans="1:27" ht="13.8" customHeight="1">
      <c r="A55" s="139"/>
      <c r="B55" s="139"/>
      <c r="C55" s="139"/>
      <c r="D55" s="139"/>
      <c r="E55" s="139"/>
      <c r="F55" s="140"/>
      <c r="G55" s="140"/>
      <c r="H55" s="149"/>
      <c r="I55" s="139"/>
      <c r="J55" s="139"/>
      <c r="K55" s="144"/>
      <c r="L55" s="144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</row>
    <row r="56" spans="1:27" ht="13.8" customHeight="1">
      <c r="A56" s="139"/>
      <c r="B56" s="139"/>
      <c r="C56" s="139"/>
      <c r="D56" s="139"/>
      <c r="E56" s="139"/>
      <c r="F56" s="140"/>
      <c r="G56" s="140"/>
      <c r="H56" s="149"/>
      <c r="I56" s="139"/>
      <c r="J56" s="139"/>
      <c r="K56" s="144"/>
      <c r="L56" s="144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</row>
    <row r="57" spans="1:27" ht="13.8" customHeight="1">
      <c r="A57" s="139"/>
      <c r="B57" s="139"/>
      <c r="C57" s="139"/>
      <c r="D57" s="139"/>
      <c r="E57" s="139"/>
      <c r="F57" s="140"/>
      <c r="G57" s="140"/>
      <c r="H57" s="149"/>
      <c r="I57" s="139"/>
      <c r="J57" s="139"/>
      <c r="K57" s="144"/>
      <c r="L57" s="144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</row>
    <row r="58" spans="1:27" ht="13.8" customHeight="1">
      <c r="A58" s="139"/>
      <c r="B58" s="139"/>
      <c r="C58" s="139"/>
      <c r="D58" s="139"/>
      <c r="E58" s="139"/>
      <c r="F58" s="140"/>
      <c r="G58" s="140"/>
      <c r="H58" s="149"/>
      <c r="I58" s="139"/>
      <c r="J58" s="139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</row>
    <row r="59" spans="1:27" ht="13.8" customHeight="1">
      <c r="A59" s="139"/>
      <c r="B59" s="139"/>
      <c r="C59" s="139"/>
      <c r="D59" s="139"/>
      <c r="E59" s="139"/>
      <c r="F59" s="140"/>
      <c r="G59" s="140"/>
      <c r="H59" s="149"/>
      <c r="I59" s="139"/>
      <c r="J59" s="139"/>
      <c r="K59" s="144"/>
      <c r="L59" s="144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</row>
    <row r="60" spans="1:27" ht="13.8" customHeight="1">
      <c r="A60" s="139"/>
      <c r="B60" s="139"/>
      <c r="C60" s="139"/>
      <c r="D60" s="139"/>
      <c r="E60" s="139"/>
      <c r="F60" s="140"/>
      <c r="G60" s="140"/>
      <c r="H60" s="149"/>
      <c r="I60" s="139"/>
      <c r="J60" s="139"/>
      <c r="K60" s="144"/>
      <c r="L60" s="144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</row>
    <row r="61" spans="1:27" ht="13.8" customHeight="1">
      <c r="A61" s="139"/>
      <c r="B61" s="139"/>
      <c r="C61" s="139"/>
      <c r="D61" s="139"/>
      <c r="E61" s="139"/>
      <c r="F61" s="140"/>
      <c r="G61" s="140"/>
      <c r="H61" s="149"/>
      <c r="I61" s="139"/>
      <c r="J61" s="139"/>
      <c r="K61" s="144"/>
      <c r="L61" s="144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</row>
    <row r="62" spans="1:27" ht="13.8" customHeight="1">
      <c r="A62" s="139"/>
      <c r="B62" s="139"/>
      <c r="C62" s="139"/>
      <c r="D62" s="139"/>
      <c r="E62" s="139"/>
      <c r="F62" s="140"/>
      <c r="G62" s="140"/>
      <c r="H62" s="149"/>
      <c r="I62" s="139"/>
      <c r="J62" s="139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</row>
    <row r="63" spans="1:27" ht="13.8" customHeight="1">
      <c r="A63" s="139"/>
      <c r="B63" s="139"/>
      <c r="C63" s="139"/>
      <c r="D63" s="139"/>
      <c r="E63" s="139"/>
      <c r="F63" s="140"/>
      <c r="G63" s="140"/>
      <c r="H63" s="149"/>
      <c r="I63" s="139"/>
      <c r="J63" s="139"/>
      <c r="K63" s="144"/>
      <c r="L63" s="144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</row>
    <row r="64" spans="1:27" ht="13.8" customHeight="1">
      <c r="A64" s="139"/>
      <c r="B64" s="139"/>
      <c r="C64" s="139"/>
      <c r="D64" s="139"/>
      <c r="E64" s="139"/>
      <c r="F64" s="140"/>
      <c r="G64" s="140"/>
      <c r="H64" s="149"/>
      <c r="I64" s="139"/>
      <c r="J64" s="139"/>
      <c r="K64" s="144"/>
      <c r="L64" s="144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</row>
    <row r="65" spans="1:27" ht="13.8" customHeight="1">
      <c r="A65" s="139"/>
      <c r="B65" s="139"/>
      <c r="C65" s="139"/>
      <c r="D65" s="139"/>
      <c r="E65" s="139"/>
      <c r="F65" s="140"/>
      <c r="G65" s="140"/>
      <c r="H65" s="149"/>
      <c r="I65" s="139"/>
      <c r="J65" s="139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</row>
    <row r="66" spans="1:27" ht="13.8" customHeight="1">
      <c r="A66" s="139"/>
      <c r="B66" s="139"/>
      <c r="C66" s="139"/>
      <c r="D66" s="139"/>
      <c r="E66" s="139"/>
      <c r="F66" s="140"/>
      <c r="G66" s="140"/>
      <c r="H66" s="149"/>
      <c r="I66" s="139"/>
      <c r="J66" s="139"/>
      <c r="K66" s="144"/>
      <c r="L66" s="144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</row>
    <row r="67" spans="1:27" ht="13.8" customHeight="1">
      <c r="A67" s="139"/>
      <c r="B67" s="139"/>
      <c r="C67" s="139"/>
      <c r="D67" s="139"/>
      <c r="E67" s="139"/>
      <c r="F67" s="140"/>
      <c r="G67" s="140"/>
      <c r="H67" s="149"/>
      <c r="I67" s="139"/>
      <c r="J67" s="139"/>
      <c r="K67" s="144"/>
      <c r="L67" s="144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</row>
    <row r="68" spans="1:27" ht="13.8" customHeight="1">
      <c r="A68" s="139"/>
      <c r="B68" s="139"/>
      <c r="C68" s="139"/>
      <c r="D68" s="139"/>
      <c r="E68" s="139"/>
      <c r="F68" s="140"/>
      <c r="G68" s="140"/>
      <c r="H68" s="149"/>
      <c r="I68" s="139"/>
      <c r="J68" s="139"/>
      <c r="K68" s="144"/>
      <c r="L68" s="144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</row>
    <row r="69" spans="1:27" ht="13.8" customHeight="1">
      <c r="A69" s="139"/>
      <c r="B69" s="139"/>
      <c r="C69" s="139"/>
      <c r="D69" s="139"/>
      <c r="E69" s="139"/>
      <c r="F69" s="140"/>
      <c r="G69" s="140"/>
      <c r="H69" s="149"/>
      <c r="I69" s="139"/>
      <c r="J69" s="139"/>
      <c r="K69" s="144"/>
      <c r="L69" s="144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</row>
    <row r="70" spans="1:27" ht="13.2" customHeight="1">
      <c r="A70" s="139"/>
      <c r="B70" s="139"/>
      <c r="C70" s="139"/>
      <c r="D70" s="139"/>
      <c r="E70" s="139"/>
      <c r="F70" s="140"/>
      <c r="G70" s="140"/>
      <c r="H70" s="139"/>
      <c r="I70" s="139"/>
      <c r="J70" s="139"/>
      <c r="K70" s="144"/>
      <c r="L70" s="144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</row>
    <row r="71" spans="1:27" ht="13.2" customHeight="1">
      <c r="A71" s="139"/>
      <c r="B71" s="139"/>
      <c r="C71" s="139"/>
      <c r="D71" s="139"/>
      <c r="E71" s="139"/>
      <c r="F71" s="140"/>
      <c r="G71" s="140"/>
      <c r="H71" s="139"/>
      <c r="I71" s="139"/>
      <c r="J71" s="139"/>
      <c r="K71" s="144"/>
      <c r="L71" s="144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</row>
    <row r="72" spans="1:27" ht="13.2" customHeight="1">
      <c r="A72" s="139"/>
      <c r="B72" s="139"/>
      <c r="C72" s="139"/>
      <c r="D72" s="139"/>
      <c r="E72" s="139"/>
      <c r="F72" s="140"/>
      <c r="G72" s="140"/>
      <c r="H72" s="139"/>
      <c r="I72" s="139"/>
      <c r="J72" s="139"/>
      <c r="K72" s="144"/>
      <c r="L72" s="144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</row>
    <row r="73" spans="1:27" ht="13.2" customHeight="1">
      <c r="A73" s="139"/>
      <c r="B73" s="139"/>
      <c r="C73" s="139"/>
      <c r="D73" s="139"/>
      <c r="E73" s="139"/>
      <c r="F73" s="140"/>
      <c r="G73" s="140"/>
      <c r="H73" s="139"/>
      <c r="I73" s="139"/>
      <c r="J73" s="139"/>
      <c r="K73" s="144"/>
      <c r="L73" s="144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</row>
    <row r="74" spans="1:27" ht="13.2" customHeight="1">
      <c r="A74" s="139"/>
      <c r="B74" s="139"/>
      <c r="C74" s="139"/>
      <c r="D74" s="139"/>
      <c r="E74" s="139"/>
      <c r="F74" s="140"/>
      <c r="G74" s="140"/>
      <c r="H74" s="139"/>
      <c r="I74" s="139"/>
      <c r="J74" s="139"/>
      <c r="K74" s="144"/>
      <c r="L74" s="144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</row>
    <row r="75" spans="1:27" ht="13.2" customHeight="1">
      <c r="A75" s="139"/>
      <c r="B75" s="139"/>
      <c r="C75" s="139"/>
      <c r="D75" s="139"/>
      <c r="E75" s="139"/>
      <c r="F75" s="140"/>
      <c r="G75" s="140"/>
      <c r="H75" s="139"/>
      <c r="I75" s="139"/>
      <c r="J75" s="139"/>
      <c r="K75" s="144"/>
      <c r="L75" s="144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</row>
    <row r="76" spans="1:27" ht="13.2" customHeight="1">
      <c r="A76" s="139"/>
      <c r="B76" s="139"/>
      <c r="C76" s="139"/>
      <c r="D76" s="139"/>
      <c r="E76" s="139"/>
      <c r="F76" s="140"/>
      <c r="G76" s="140"/>
      <c r="H76" s="139"/>
      <c r="I76" s="139"/>
      <c r="J76" s="139"/>
      <c r="K76" s="144"/>
      <c r="L76" s="144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</row>
    <row r="77" spans="1:27" ht="13.2" customHeight="1">
      <c r="A77" s="139"/>
      <c r="B77" s="139"/>
      <c r="C77" s="139"/>
      <c r="D77" s="139"/>
      <c r="E77" s="139"/>
      <c r="F77" s="140"/>
      <c r="G77" s="140"/>
      <c r="H77" s="139"/>
      <c r="I77" s="139"/>
      <c r="J77" s="139"/>
      <c r="K77" s="144"/>
      <c r="L77" s="144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</row>
    <row r="78" spans="1:27" ht="13.2" customHeight="1">
      <c r="A78" s="139"/>
      <c r="B78" s="139"/>
      <c r="C78" s="139"/>
      <c r="D78" s="139"/>
      <c r="E78" s="139"/>
      <c r="F78" s="140"/>
      <c r="G78" s="140"/>
      <c r="H78" s="139"/>
      <c r="I78" s="139"/>
      <c r="J78" s="139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</row>
    <row r="79" spans="1:27" ht="13.2" customHeight="1">
      <c r="A79" s="139"/>
      <c r="B79" s="139"/>
      <c r="C79" s="139"/>
      <c r="D79" s="139"/>
      <c r="E79" s="139"/>
      <c r="F79" s="140"/>
      <c r="G79" s="140"/>
      <c r="H79" s="139"/>
      <c r="I79" s="139"/>
      <c r="J79" s="139"/>
      <c r="K79" s="144"/>
      <c r="L79" s="144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</row>
    <row r="80" spans="1:27" ht="13.2" customHeight="1">
      <c r="A80" s="139"/>
      <c r="B80" s="139"/>
      <c r="C80" s="139"/>
      <c r="D80" s="139"/>
      <c r="E80" s="139"/>
      <c r="F80" s="140"/>
      <c r="G80" s="140"/>
      <c r="H80" s="139"/>
      <c r="I80" s="139"/>
      <c r="J80" s="139"/>
      <c r="K80" s="144"/>
      <c r="L80" s="144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</row>
    <row r="81" spans="1:27" ht="13.2" customHeight="1">
      <c r="A81" s="139"/>
      <c r="B81" s="139"/>
      <c r="C81" s="139"/>
      <c r="D81" s="139"/>
      <c r="E81" s="139"/>
      <c r="F81" s="140"/>
      <c r="G81" s="140"/>
      <c r="H81" s="139"/>
      <c r="I81" s="139"/>
      <c r="J81" s="139"/>
      <c r="K81" s="144"/>
      <c r="L81" s="144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</row>
    <row r="82" spans="1:27" ht="13.2" customHeight="1">
      <c r="A82" s="139"/>
      <c r="B82" s="139"/>
      <c r="C82" s="139"/>
      <c r="D82" s="139"/>
      <c r="E82" s="139"/>
      <c r="F82" s="140"/>
      <c r="G82" s="140"/>
      <c r="H82" s="139"/>
      <c r="I82" s="139"/>
      <c r="J82" s="139"/>
      <c r="K82" s="144"/>
      <c r="L82" s="144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</row>
    <row r="83" spans="1:27" ht="13.2" customHeight="1">
      <c r="A83" s="139"/>
      <c r="B83" s="139"/>
      <c r="C83" s="139"/>
      <c r="D83" s="139"/>
      <c r="E83" s="139"/>
      <c r="F83" s="140"/>
      <c r="G83" s="140"/>
      <c r="H83" s="139"/>
      <c r="I83" s="139"/>
      <c r="J83" s="139"/>
      <c r="K83" s="144"/>
      <c r="L83" s="144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</row>
    <row r="84" spans="1:27" ht="13.2" customHeight="1">
      <c r="A84" s="139"/>
      <c r="B84" s="139"/>
      <c r="C84" s="139"/>
      <c r="D84" s="139"/>
      <c r="E84" s="139"/>
      <c r="F84" s="140"/>
      <c r="G84" s="140"/>
      <c r="H84" s="139"/>
      <c r="I84" s="139"/>
      <c r="J84" s="139"/>
      <c r="K84" s="144"/>
      <c r="L84" s="144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</row>
    <row r="85" spans="1:27" ht="13.2" customHeight="1">
      <c r="A85" s="139"/>
      <c r="B85" s="139"/>
      <c r="C85" s="139"/>
      <c r="D85" s="139"/>
      <c r="E85" s="139"/>
      <c r="F85" s="140"/>
      <c r="G85" s="140"/>
      <c r="H85" s="139"/>
      <c r="I85" s="139"/>
      <c r="J85" s="139"/>
      <c r="K85" s="144"/>
      <c r="L85" s="144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</row>
    <row r="86" spans="1:27" ht="13.2" customHeight="1">
      <c r="A86" s="139"/>
      <c r="B86" s="139"/>
      <c r="C86" s="139"/>
      <c r="D86" s="139"/>
      <c r="E86" s="139"/>
      <c r="F86" s="140"/>
      <c r="G86" s="140"/>
      <c r="H86" s="139"/>
      <c r="I86" s="139"/>
      <c r="J86" s="139"/>
      <c r="K86" s="144"/>
      <c r="L86" s="144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</row>
    <row r="87" spans="1:27" ht="13.2" customHeight="1">
      <c r="A87" s="139"/>
      <c r="B87" s="139"/>
      <c r="C87" s="139"/>
      <c r="D87" s="139"/>
      <c r="E87" s="139"/>
      <c r="F87" s="140"/>
      <c r="G87" s="140"/>
      <c r="H87" s="139"/>
      <c r="I87" s="139"/>
      <c r="J87" s="139"/>
      <c r="K87" s="144"/>
      <c r="L87" s="144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</row>
    <row r="88" spans="1:27" ht="13.2" customHeight="1">
      <c r="A88" s="139"/>
      <c r="B88" s="139"/>
      <c r="C88" s="139"/>
      <c r="D88" s="139"/>
      <c r="E88" s="139"/>
      <c r="F88" s="140"/>
      <c r="G88" s="140"/>
      <c r="H88" s="139"/>
      <c r="I88" s="139"/>
      <c r="J88" s="139"/>
      <c r="K88" s="144"/>
      <c r="L88" s="144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</row>
    <row r="89" spans="1:27" ht="13.2" customHeight="1">
      <c r="A89" s="139"/>
      <c r="B89" s="139"/>
      <c r="C89" s="139"/>
      <c r="D89" s="139"/>
      <c r="E89" s="139"/>
      <c r="F89" s="140"/>
      <c r="G89" s="140"/>
      <c r="H89" s="139"/>
      <c r="I89" s="139"/>
      <c r="J89" s="139"/>
      <c r="K89" s="144"/>
      <c r="L89" s="144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</row>
    <row r="90" spans="1:27" ht="13.2" customHeight="1">
      <c r="A90" s="139"/>
      <c r="B90" s="139"/>
      <c r="C90" s="139"/>
      <c r="D90" s="139"/>
      <c r="E90" s="139"/>
      <c r="F90" s="140"/>
      <c r="G90" s="140"/>
      <c r="H90" s="139"/>
      <c r="I90" s="139"/>
      <c r="J90" s="139"/>
      <c r="K90" s="144"/>
      <c r="L90" s="144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</row>
    <row r="91" spans="1:27" ht="13.2" customHeight="1">
      <c r="A91" s="139"/>
      <c r="B91" s="139"/>
      <c r="C91" s="139"/>
      <c r="D91" s="139"/>
      <c r="E91" s="139"/>
      <c r="F91" s="140"/>
      <c r="G91" s="140"/>
      <c r="H91" s="139"/>
      <c r="I91" s="139"/>
      <c r="J91" s="139"/>
      <c r="K91" s="144"/>
      <c r="L91" s="144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</row>
    <row r="92" spans="1:27" ht="13.2" customHeight="1">
      <c r="A92" s="139"/>
      <c r="B92" s="139"/>
      <c r="C92" s="139"/>
      <c r="D92" s="139"/>
      <c r="E92" s="139"/>
      <c r="F92" s="140"/>
      <c r="G92" s="140"/>
      <c r="H92" s="139"/>
      <c r="I92" s="139"/>
      <c r="J92" s="139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</row>
    <row r="93" spans="1:27" ht="13.2" customHeight="1">
      <c r="A93" s="139"/>
      <c r="B93" s="139"/>
      <c r="C93" s="139"/>
      <c r="D93" s="139"/>
      <c r="E93" s="139"/>
      <c r="F93" s="140"/>
      <c r="G93" s="140"/>
      <c r="H93" s="139"/>
      <c r="I93" s="139"/>
      <c r="J93" s="139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</row>
    <row r="94" spans="1:27" ht="13.2" customHeight="1">
      <c r="A94" s="139"/>
      <c r="B94" s="139"/>
      <c r="C94" s="139"/>
      <c r="D94" s="139"/>
      <c r="E94" s="139"/>
      <c r="F94" s="140"/>
      <c r="G94" s="140"/>
      <c r="H94" s="139"/>
      <c r="I94" s="139"/>
      <c r="J94" s="139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</row>
    <row r="95" spans="1:27" ht="13.2" customHeight="1">
      <c r="A95" s="139"/>
      <c r="B95" s="139"/>
      <c r="C95" s="139"/>
      <c r="D95" s="139"/>
      <c r="E95" s="139"/>
      <c r="F95" s="140"/>
      <c r="G95" s="140"/>
      <c r="H95" s="139"/>
      <c r="I95" s="139"/>
      <c r="J95" s="139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</row>
    <row r="96" spans="1:27" ht="13.2" customHeight="1">
      <c r="A96" s="139"/>
      <c r="B96" s="139"/>
      <c r="C96" s="139"/>
      <c r="D96" s="139"/>
      <c r="E96" s="139"/>
      <c r="F96" s="140"/>
      <c r="G96" s="140"/>
      <c r="H96" s="139"/>
      <c r="I96" s="139"/>
      <c r="J96" s="139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</row>
    <row r="97" spans="1:27" ht="13.2" customHeight="1">
      <c r="A97" s="139"/>
      <c r="B97" s="139"/>
      <c r="C97" s="139"/>
      <c r="D97" s="139"/>
      <c r="E97" s="139"/>
      <c r="F97" s="140"/>
      <c r="G97" s="140"/>
      <c r="H97" s="139"/>
      <c r="I97" s="139"/>
      <c r="J97" s="139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</row>
    <row r="98" spans="1:27" ht="13.2" customHeight="1">
      <c r="A98" s="139"/>
      <c r="B98" s="139"/>
      <c r="C98" s="139"/>
      <c r="D98" s="139"/>
      <c r="E98" s="139"/>
      <c r="F98" s="140"/>
      <c r="G98" s="140"/>
      <c r="H98" s="139"/>
      <c r="I98" s="139"/>
      <c r="J98" s="139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</row>
    <row r="99" spans="1:27" ht="13.2" customHeight="1">
      <c r="A99" s="139"/>
      <c r="B99" s="139"/>
      <c r="C99" s="139"/>
      <c r="D99" s="139"/>
      <c r="E99" s="139"/>
      <c r="F99" s="140"/>
      <c r="G99" s="140"/>
      <c r="H99" s="139"/>
      <c r="I99" s="139"/>
      <c r="J99" s="139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</row>
    <row r="100" spans="1:27" ht="13.2" customHeight="1">
      <c r="A100" s="139"/>
      <c r="B100" s="139"/>
      <c r="C100" s="139"/>
      <c r="D100" s="139"/>
      <c r="E100" s="139"/>
      <c r="F100" s="140"/>
      <c r="G100" s="140"/>
      <c r="H100" s="139"/>
      <c r="I100" s="139"/>
      <c r="J100" s="139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</row>
    <row r="101" spans="1:27" ht="13.2" customHeight="1">
      <c r="A101" s="139"/>
      <c r="B101" s="139"/>
      <c r="C101" s="139"/>
      <c r="D101" s="139"/>
      <c r="E101" s="139"/>
      <c r="F101" s="140"/>
      <c r="G101" s="140"/>
      <c r="H101" s="139"/>
      <c r="I101" s="139"/>
      <c r="J101" s="139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</row>
    <row r="102" spans="1:27" ht="13.2" customHeight="1">
      <c r="A102" s="139"/>
      <c r="B102" s="139"/>
      <c r="C102" s="139"/>
      <c r="D102" s="139"/>
      <c r="E102" s="139"/>
      <c r="F102" s="140"/>
      <c r="G102" s="140"/>
      <c r="H102" s="139"/>
      <c r="I102" s="139"/>
      <c r="J102" s="139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</row>
    <row r="103" spans="1:27" ht="13.2" customHeight="1">
      <c r="A103" s="139"/>
      <c r="B103" s="139"/>
      <c r="C103" s="139"/>
      <c r="D103" s="139"/>
      <c r="E103" s="139"/>
      <c r="F103" s="140"/>
      <c r="G103" s="140"/>
      <c r="H103" s="139"/>
      <c r="I103" s="139"/>
      <c r="J103" s="139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</row>
    <row r="104" spans="1:27" ht="13.2" customHeight="1">
      <c r="A104" s="139"/>
      <c r="B104" s="139"/>
      <c r="C104" s="139"/>
      <c r="D104" s="139"/>
      <c r="E104" s="139"/>
      <c r="F104" s="140"/>
      <c r="G104" s="140"/>
      <c r="H104" s="139"/>
      <c r="I104" s="139"/>
      <c r="J104" s="139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</row>
    <row r="105" spans="1:27" ht="13.2" customHeight="1">
      <c r="A105" s="139"/>
      <c r="B105" s="139"/>
      <c r="C105" s="139"/>
      <c r="D105" s="139"/>
      <c r="E105" s="139"/>
      <c r="F105" s="140"/>
      <c r="G105" s="140"/>
      <c r="H105" s="139"/>
      <c r="I105" s="139"/>
      <c r="J105" s="139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</row>
    <row r="106" spans="1:27" ht="13.2" customHeight="1">
      <c r="A106" s="139"/>
      <c r="B106" s="139"/>
      <c r="C106" s="139"/>
      <c r="D106" s="139"/>
      <c r="E106" s="139"/>
      <c r="F106" s="140"/>
      <c r="G106" s="140"/>
      <c r="H106" s="139"/>
      <c r="I106" s="139"/>
      <c r="J106" s="139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</row>
    <row r="107" spans="1:27" ht="13.2" customHeight="1">
      <c r="A107" s="139"/>
      <c r="B107" s="139"/>
      <c r="C107" s="139"/>
      <c r="D107" s="139"/>
      <c r="E107" s="139"/>
      <c r="F107" s="140"/>
      <c r="G107" s="140"/>
      <c r="H107" s="139"/>
      <c r="I107" s="139"/>
      <c r="J107" s="139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</row>
    <row r="108" spans="1:27" ht="13.2" customHeight="1">
      <c r="A108" s="139"/>
      <c r="B108" s="139"/>
      <c r="C108" s="139"/>
      <c r="D108" s="139"/>
      <c r="E108" s="139"/>
      <c r="F108" s="140"/>
      <c r="G108" s="140"/>
      <c r="H108" s="139"/>
      <c r="I108" s="139"/>
      <c r="J108" s="139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</row>
    <row r="109" spans="1:27" ht="13.2" customHeight="1">
      <c r="A109" s="139"/>
      <c r="B109" s="139"/>
      <c r="C109" s="139"/>
      <c r="D109" s="139"/>
      <c r="E109" s="139"/>
      <c r="F109" s="140"/>
      <c r="G109" s="140"/>
      <c r="H109" s="139"/>
      <c r="I109" s="139"/>
      <c r="J109" s="139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</row>
    <row r="110" spans="1:27" ht="13.2" customHeight="1">
      <c r="A110" s="139"/>
      <c r="B110" s="139"/>
      <c r="C110" s="139"/>
      <c r="D110" s="139"/>
      <c r="E110" s="139"/>
      <c r="F110" s="140"/>
      <c r="G110" s="140"/>
      <c r="H110" s="139"/>
      <c r="I110" s="139"/>
      <c r="J110" s="139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</row>
    <row r="111" spans="1:27" ht="13.2" customHeight="1">
      <c r="A111" s="139"/>
      <c r="B111" s="139"/>
      <c r="C111" s="139"/>
      <c r="D111" s="139"/>
      <c r="E111" s="139"/>
      <c r="F111" s="140"/>
      <c r="G111" s="140"/>
      <c r="H111" s="139"/>
      <c r="I111" s="139"/>
      <c r="J111" s="139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</row>
    <row r="112" spans="1:27" ht="13.2" customHeight="1">
      <c r="A112" s="139"/>
      <c r="B112" s="139"/>
      <c r="C112" s="139"/>
      <c r="D112" s="139"/>
      <c r="E112" s="139"/>
      <c r="F112" s="140"/>
      <c r="G112" s="140"/>
      <c r="H112" s="139"/>
      <c r="I112" s="139"/>
      <c r="J112" s="139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</row>
    <row r="113" spans="1:27" ht="13.2" customHeight="1">
      <c r="A113" s="139"/>
      <c r="B113" s="139"/>
      <c r="C113" s="139"/>
      <c r="D113" s="139"/>
      <c r="E113" s="139"/>
      <c r="F113" s="140"/>
      <c r="G113" s="140"/>
      <c r="H113" s="139"/>
      <c r="I113" s="139"/>
      <c r="J113" s="139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</row>
    <row r="114" spans="1:27" ht="13.2" customHeight="1">
      <c r="A114" s="54"/>
      <c r="B114" s="54"/>
      <c r="C114" s="54"/>
      <c r="D114" s="54"/>
      <c r="E114" s="54"/>
      <c r="F114" s="301"/>
      <c r="G114" s="301"/>
      <c r="H114" s="54"/>
      <c r="I114" s="54"/>
      <c r="J114" s="54"/>
    </row>
    <row r="115" spans="1:27" ht="13.2" customHeight="1">
      <c r="A115" s="54"/>
      <c r="B115" s="54"/>
      <c r="C115" s="54"/>
      <c r="D115" s="54"/>
      <c r="E115" s="54"/>
      <c r="F115" s="301"/>
      <c r="G115" s="301"/>
      <c r="H115" s="54"/>
      <c r="I115" s="54"/>
      <c r="J115" s="54"/>
    </row>
    <row r="116" spans="1:27" ht="13.2" customHeight="1">
      <c r="A116" s="54"/>
      <c r="B116" s="54"/>
      <c r="C116" s="54"/>
      <c r="D116" s="54"/>
      <c r="E116" s="54"/>
      <c r="F116" s="301"/>
      <c r="G116" s="301"/>
      <c r="H116" s="54"/>
      <c r="I116" s="54"/>
      <c r="J116" s="54"/>
    </row>
    <row r="117" spans="1:27" ht="13.2" customHeight="1">
      <c r="A117" s="54"/>
      <c r="B117" s="54"/>
      <c r="C117" s="54"/>
      <c r="D117" s="54"/>
      <c r="E117" s="54"/>
      <c r="F117" s="301"/>
      <c r="G117" s="301"/>
      <c r="H117" s="54"/>
      <c r="I117" s="54"/>
      <c r="J117" s="54"/>
    </row>
    <row r="118" spans="1:27" ht="13.2" customHeight="1">
      <c r="A118" s="54"/>
      <c r="B118" s="54"/>
      <c r="C118" s="54"/>
      <c r="D118" s="54"/>
      <c r="E118" s="54"/>
      <c r="F118" s="301"/>
      <c r="G118" s="301"/>
      <c r="H118" s="54"/>
      <c r="I118" s="54"/>
      <c r="J118" s="54"/>
    </row>
    <row r="119" spans="1:27" ht="13.2" customHeight="1">
      <c r="A119" s="54"/>
      <c r="B119" s="54"/>
      <c r="C119" s="54"/>
      <c r="D119" s="54"/>
      <c r="E119" s="54"/>
      <c r="F119" s="301"/>
      <c r="G119" s="301"/>
      <c r="H119" s="54"/>
      <c r="I119" s="54"/>
      <c r="J119" s="54"/>
    </row>
    <row r="120" spans="1:27" ht="13.2" customHeight="1">
      <c r="A120" s="54"/>
      <c r="B120" s="54"/>
      <c r="C120" s="54"/>
      <c r="D120" s="54"/>
      <c r="E120" s="54"/>
      <c r="F120" s="301"/>
      <c r="G120" s="301"/>
      <c r="H120" s="54"/>
      <c r="I120" s="54"/>
      <c r="J120" s="54"/>
    </row>
    <row r="121" spans="1:27" ht="13.2" customHeight="1">
      <c r="A121" s="54"/>
      <c r="B121" s="54"/>
      <c r="C121" s="54"/>
      <c r="D121" s="54"/>
      <c r="E121" s="54"/>
      <c r="F121" s="301"/>
      <c r="G121" s="301"/>
      <c r="H121" s="54"/>
      <c r="I121" s="54"/>
      <c r="J121" s="54"/>
    </row>
    <row r="122" spans="1:27" ht="13.2" customHeight="1">
      <c r="A122" s="54"/>
      <c r="B122" s="54"/>
      <c r="C122" s="54"/>
      <c r="D122" s="54"/>
      <c r="E122" s="54"/>
      <c r="F122" s="301"/>
      <c r="G122" s="301"/>
      <c r="H122" s="54"/>
      <c r="I122" s="54"/>
      <c r="J122" s="54"/>
    </row>
    <row r="123" spans="1:27" ht="13.2" customHeight="1">
      <c r="A123" s="54"/>
      <c r="B123" s="54"/>
      <c r="C123" s="54"/>
      <c r="D123" s="54"/>
      <c r="E123" s="54"/>
      <c r="F123" s="301"/>
      <c r="G123" s="301"/>
      <c r="H123" s="54"/>
      <c r="I123" s="54"/>
      <c r="J123" s="54"/>
    </row>
    <row r="124" spans="1:27" ht="13.2" customHeight="1">
      <c r="A124" s="54"/>
      <c r="B124" s="54"/>
      <c r="C124" s="54"/>
      <c r="D124" s="54"/>
      <c r="E124" s="54"/>
      <c r="F124" s="301"/>
      <c r="G124" s="301"/>
      <c r="H124" s="54"/>
      <c r="I124" s="54"/>
      <c r="J124" s="54"/>
    </row>
    <row r="125" spans="1:27" ht="13.2" customHeight="1">
      <c r="A125" s="54"/>
      <c r="B125" s="54"/>
      <c r="C125" s="54"/>
      <c r="D125" s="54"/>
      <c r="E125" s="54"/>
      <c r="F125" s="301"/>
      <c r="G125" s="301"/>
      <c r="H125" s="54"/>
      <c r="I125" s="54"/>
      <c r="J125" s="54"/>
    </row>
    <row r="126" spans="1:27" ht="13.2" customHeight="1">
      <c r="A126" s="54"/>
      <c r="B126" s="54"/>
      <c r="C126" s="54"/>
      <c r="D126" s="54"/>
      <c r="E126" s="54"/>
      <c r="F126" s="301"/>
      <c r="G126" s="301"/>
      <c r="H126" s="54"/>
      <c r="I126" s="54"/>
      <c r="J126" s="54"/>
    </row>
    <row r="127" spans="1:27" ht="13.2" customHeight="1">
      <c r="A127" s="54"/>
      <c r="B127" s="54"/>
      <c r="C127" s="54"/>
      <c r="D127" s="54"/>
      <c r="E127" s="54"/>
      <c r="F127" s="301"/>
      <c r="G127" s="301"/>
      <c r="H127" s="54"/>
      <c r="I127" s="54"/>
      <c r="J127" s="54"/>
    </row>
    <row r="128" spans="1:27" ht="13.2" customHeight="1">
      <c r="A128" s="54"/>
      <c r="B128" s="54"/>
      <c r="C128" s="54"/>
      <c r="D128" s="54"/>
      <c r="E128" s="54"/>
      <c r="F128" s="301"/>
      <c r="G128" s="301"/>
      <c r="H128" s="54"/>
      <c r="I128" s="54"/>
      <c r="J128" s="54"/>
    </row>
    <row r="129" spans="1:10" ht="13.2" customHeight="1">
      <c r="A129" s="54"/>
      <c r="B129" s="54"/>
      <c r="C129" s="54"/>
      <c r="D129" s="54"/>
      <c r="E129" s="54"/>
      <c r="F129" s="301"/>
      <c r="G129" s="301"/>
      <c r="H129" s="54"/>
      <c r="I129" s="54"/>
      <c r="J129" s="54"/>
    </row>
    <row r="130" spans="1:10" ht="13.2" customHeight="1">
      <c r="A130" s="54"/>
      <c r="B130" s="54"/>
      <c r="C130" s="54"/>
      <c r="D130" s="54"/>
      <c r="E130" s="54"/>
      <c r="F130" s="301"/>
      <c r="G130" s="301"/>
      <c r="H130" s="54"/>
      <c r="I130" s="54"/>
      <c r="J130" s="54"/>
    </row>
    <row r="131" spans="1:10" ht="13.2" customHeight="1">
      <c r="A131" s="54"/>
      <c r="B131" s="54"/>
      <c r="C131" s="54"/>
      <c r="D131" s="54"/>
      <c r="E131" s="54"/>
      <c r="F131" s="301"/>
      <c r="G131" s="301"/>
      <c r="H131" s="54"/>
      <c r="I131" s="54"/>
      <c r="J131" s="54"/>
    </row>
    <row r="132" spans="1:10" ht="13.2" customHeight="1">
      <c r="A132" s="54"/>
      <c r="B132" s="54"/>
      <c r="C132" s="54"/>
      <c r="D132" s="54"/>
      <c r="E132" s="54"/>
      <c r="F132" s="301"/>
      <c r="G132" s="301"/>
      <c r="H132" s="54"/>
      <c r="I132" s="54"/>
      <c r="J132" s="54"/>
    </row>
    <row r="133" spans="1:10" ht="13.2" customHeight="1">
      <c r="A133" s="54"/>
      <c r="B133" s="54"/>
      <c r="C133" s="54"/>
      <c r="D133" s="54"/>
      <c r="E133" s="54"/>
      <c r="F133" s="301"/>
      <c r="G133" s="301"/>
      <c r="H133" s="54"/>
      <c r="I133" s="54"/>
      <c r="J133" s="54"/>
    </row>
    <row r="134" spans="1:10" ht="13.2" customHeight="1">
      <c r="A134" s="54"/>
      <c r="B134" s="54"/>
      <c r="C134" s="54"/>
      <c r="D134" s="54"/>
      <c r="E134" s="54"/>
      <c r="F134" s="301"/>
      <c r="G134" s="301"/>
      <c r="H134" s="54"/>
      <c r="I134" s="54"/>
      <c r="J134" s="54"/>
    </row>
    <row r="135" spans="1:10" ht="13.2" customHeight="1">
      <c r="A135" s="54"/>
      <c r="B135" s="54"/>
      <c r="C135" s="54"/>
      <c r="D135" s="54"/>
      <c r="E135" s="54"/>
      <c r="F135" s="301"/>
      <c r="G135" s="301"/>
      <c r="H135" s="54"/>
      <c r="I135" s="54"/>
      <c r="J135" s="54"/>
    </row>
    <row r="136" spans="1:10" ht="13.2" customHeight="1">
      <c r="A136" s="54"/>
      <c r="B136" s="54"/>
      <c r="C136" s="54"/>
      <c r="D136" s="54"/>
      <c r="E136" s="54"/>
      <c r="F136" s="301"/>
      <c r="G136" s="301"/>
      <c r="H136" s="54"/>
      <c r="I136" s="54"/>
      <c r="J136" s="54"/>
    </row>
    <row r="137" spans="1:10" ht="13.2" customHeight="1">
      <c r="A137" s="54"/>
      <c r="B137" s="54"/>
      <c r="C137" s="54"/>
      <c r="D137" s="54"/>
      <c r="E137" s="54"/>
      <c r="F137" s="301"/>
      <c r="G137" s="301"/>
      <c r="H137" s="54"/>
      <c r="I137" s="54"/>
      <c r="J137" s="54"/>
    </row>
    <row r="138" spans="1:10" ht="13.2" customHeight="1">
      <c r="A138" s="54"/>
      <c r="B138" s="54"/>
      <c r="C138" s="54"/>
      <c r="D138" s="54"/>
      <c r="E138" s="54"/>
      <c r="F138" s="301"/>
      <c r="G138" s="301"/>
      <c r="H138" s="54"/>
      <c r="I138" s="54"/>
      <c r="J138" s="54"/>
    </row>
    <row r="139" spans="1:10" ht="13.2" customHeight="1">
      <c r="A139" s="54"/>
      <c r="B139" s="54"/>
      <c r="C139" s="54"/>
      <c r="D139" s="54"/>
      <c r="E139" s="54"/>
      <c r="F139" s="301"/>
      <c r="G139" s="301"/>
      <c r="H139" s="54"/>
      <c r="I139" s="54"/>
      <c r="J139" s="54"/>
    </row>
    <row r="140" spans="1:10" ht="13.2" customHeight="1">
      <c r="A140" s="54"/>
      <c r="B140" s="54"/>
      <c r="C140" s="54"/>
      <c r="D140" s="54"/>
      <c r="E140" s="54"/>
      <c r="F140" s="301"/>
      <c r="G140" s="301"/>
      <c r="H140" s="54"/>
      <c r="I140" s="54"/>
      <c r="J140" s="54"/>
    </row>
    <row r="141" spans="1:10" ht="13.2" customHeight="1">
      <c r="A141" s="54"/>
      <c r="B141" s="54"/>
      <c r="C141" s="54"/>
      <c r="D141" s="54"/>
      <c r="E141" s="54"/>
      <c r="F141" s="301"/>
      <c r="G141" s="301"/>
      <c r="H141" s="54"/>
      <c r="I141" s="54"/>
      <c r="J141" s="54"/>
    </row>
    <row r="142" spans="1:10" ht="13.2" customHeight="1">
      <c r="A142" s="54"/>
      <c r="B142" s="54"/>
      <c r="C142" s="54"/>
      <c r="D142" s="54"/>
      <c r="E142" s="54"/>
      <c r="F142" s="301"/>
      <c r="G142" s="301"/>
      <c r="H142" s="54"/>
      <c r="I142" s="54"/>
      <c r="J142" s="54"/>
    </row>
    <row r="143" spans="1:10" ht="13.2" customHeight="1">
      <c r="A143" s="54"/>
      <c r="B143" s="54"/>
      <c r="C143" s="54"/>
      <c r="D143" s="54"/>
      <c r="E143" s="54"/>
      <c r="F143" s="301"/>
      <c r="G143" s="301"/>
      <c r="H143" s="54"/>
      <c r="I143" s="54"/>
      <c r="J143" s="54"/>
    </row>
    <row r="144" spans="1:10" ht="13.2" customHeight="1">
      <c r="A144" s="54"/>
      <c r="B144" s="54"/>
      <c r="C144" s="54"/>
      <c r="D144" s="54"/>
      <c r="E144" s="54"/>
      <c r="F144" s="301"/>
      <c r="G144" s="301"/>
      <c r="H144" s="54"/>
      <c r="I144" s="54"/>
      <c r="J144" s="54"/>
    </row>
    <row r="145" spans="1:10" ht="13.2" customHeight="1">
      <c r="A145" s="54"/>
      <c r="B145" s="54"/>
      <c r="C145" s="54"/>
      <c r="D145" s="54"/>
      <c r="E145" s="54"/>
      <c r="F145" s="301"/>
      <c r="G145" s="301"/>
      <c r="H145" s="54"/>
      <c r="I145" s="54"/>
      <c r="J145" s="54"/>
    </row>
    <row r="146" spans="1:10" ht="13.2" customHeight="1">
      <c r="A146" s="54"/>
      <c r="B146" s="54"/>
      <c r="C146" s="54"/>
      <c r="D146" s="54"/>
      <c r="E146" s="54"/>
      <c r="F146" s="301"/>
      <c r="G146" s="301"/>
      <c r="H146" s="54"/>
      <c r="I146" s="54"/>
      <c r="J146" s="54"/>
    </row>
    <row r="147" spans="1:10" ht="13.2" customHeight="1">
      <c r="A147" s="54"/>
      <c r="B147" s="54"/>
      <c r="C147" s="54"/>
      <c r="D147" s="54"/>
      <c r="E147" s="54"/>
      <c r="F147" s="301"/>
      <c r="G147" s="301"/>
      <c r="H147" s="54"/>
      <c r="I147" s="54"/>
      <c r="J147" s="54"/>
    </row>
    <row r="148" spans="1:10" ht="13.2" customHeight="1">
      <c r="A148" s="54"/>
      <c r="B148" s="54"/>
      <c r="C148" s="54"/>
      <c r="D148" s="54"/>
      <c r="E148" s="54"/>
      <c r="F148" s="301"/>
      <c r="G148" s="301"/>
      <c r="H148" s="54"/>
      <c r="I148" s="54"/>
      <c r="J148" s="54"/>
    </row>
    <row r="149" spans="1:10" ht="13.2" customHeight="1">
      <c r="A149" s="54"/>
      <c r="B149" s="54"/>
      <c r="C149" s="54"/>
      <c r="D149" s="54"/>
      <c r="E149" s="54"/>
      <c r="F149" s="301"/>
      <c r="G149" s="301"/>
      <c r="H149" s="54"/>
      <c r="I149" s="54"/>
      <c r="J149" s="54"/>
    </row>
    <row r="150" spans="1:10" ht="13.2" customHeight="1">
      <c r="A150" s="54"/>
      <c r="B150" s="54"/>
      <c r="C150" s="54"/>
      <c r="D150" s="54"/>
      <c r="E150" s="54"/>
      <c r="F150" s="301"/>
      <c r="G150" s="301"/>
      <c r="H150" s="54"/>
      <c r="I150" s="54"/>
      <c r="J150" s="54"/>
    </row>
    <row r="151" spans="1:10" ht="13.2" customHeight="1">
      <c r="A151" s="54"/>
      <c r="B151" s="54"/>
      <c r="C151" s="54"/>
      <c r="D151" s="54"/>
      <c r="E151" s="54"/>
      <c r="F151" s="301"/>
      <c r="G151" s="301"/>
      <c r="H151" s="54"/>
      <c r="I151" s="54"/>
      <c r="J151" s="54"/>
    </row>
    <row r="152" spans="1:10" ht="13.2" customHeight="1">
      <c r="A152" s="54"/>
      <c r="B152" s="54"/>
      <c r="C152" s="54"/>
      <c r="D152" s="54"/>
      <c r="E152" s="54"/>
      <c r="F152" s="301"/>
      <c r="G152" s="301"/>
      <c r="H152" s="54"/>
      <c r="I152" s="54"/>
      <c r="J152" s="54"/>
    </row>
    <row r="153" spans="1:10" ht="13.2" customHeight="1">
      <c r="A153" s="54"/>
      <c r="B153" s="54"/>
      <c r="C153" s="54"/>
      <c r="D153" s="54"/>
      <c r="E153" s="54"/>
      <c r="F153" s="301"/>
      <c r="G153" s="301"/>
      <c r="H153" s="54"/>
      <c r="I153" s="54"/>
      <c r="J153" s="54"/>
    </row>
    <row r="154" spans="1:10" ht="13.2" customHeight="1">
      <c r="A154" s="54"/>
      <c r="B154" s="54"/>
      <c r="C154" s="54"/>
      <c r="D154" s="54"/>
      <c r="E154" s="54"/>
      <c r="F154" s="301"/>
      <c r="G154" s="301"/>
      <c r="H154" s="54"/>
      <c r="I154" s="54"/>
      <c r="J154" s="54"/>
    </row>
    <row r="155" spans="1:10" ht="13.2" customHeight="1">
      <c r="A155" s="54"/>
      <c r="B155" s="54"/>
      <c r="C155" s="54"/>
      <c r="D155" s="54"/>
      <c r="E155" s="54"/>
      <c r="F155" s="301"/>
      <c r="G155" s="301"/>
      <c r="H155" s="54"/>
      <c r="I155" s="54"/>
      <c r="J155" s="54"/>
    </row>
    <row r="156" spans="1:10" ht="13.2" customHeight="1">
      <c r="A156" s="54"/>
      <c r="B156" s="54"/>
      <c r="C156" s="54"/>
      <c r="D156" s="54"/>
      <c r="E156" s="54"/>
      <c r="F156" s="301"/>
      <c r="G156" s="301"/>
      <c r="H156" s="54"/>
      <c r="I156" s="54"/>
      <c r="J156" s="54"/>
    </row>
    <row r="157" spans="1:10" ht="13.2" customHeight="1">
      <c r="A157" s="54"/>
      <c r="B157" s="54"/>
      <c r="C157" s="54"/>
      <c r="D157" s="54"/>
      <c r="E157" s="54"/>
      <c r="F157" s="301"/>
      <c r="G157" s="301"/>
      <c r="H157" s="54"/>
      <c r="I157" s="54"/>
      <c r="J157" s="54"/>
    </row>
    <row r="158" spans="1:10" ht="13.2" customHeight="1">
      <c r="A158" s="54"/>
      <c r="B158" s="54"/>
      <c r="C158" s="54"/>
      <c r="D158" s="54"/>
      <c r="E158" s="54"/>
      <c r="F158" s="301"/>
      <c r="G158" s="301"/>
      <c r="H158" s="54"/>
      <c r="I158" s="54"/>
      <c r="J158" s="54"/>
    </row>
    <row r="159" spans="1:10" ht="13.2" customHeight="1">
      <c r="A159" s="54"/>
      <c r="B159" s="54"/>
      <c r="C159" s="54"/>
      <c r="D159" s="54"/>
      <c r="E159" s="54"/>
      <c r="F159" s="301"/>
      <c r="G159" s="301"/>
      <c r="H159" s="54"/>
      <c r="I159" s="54"/>
      <c r="J159" s="54"/>
    </row>
    <row r="160" spans="1:10" ht="13.2" customHeight="1">
      <c r="A160" s="54"/>
      <c r="B160" s="54"/>
      <c r="C160" s="54"/>
      <c r="D160" s="54"/>
      <c r="E160" s="54"/>
      <c r="F160" s="301"/>
      <c r="G160" s="301"/>
      <c r="H160" s="54"/>
      <c r="I160" s="54"/>
      <c r="J160" s="54"/>
    </row>
    <row r="161" spans="1:10" ht="13.2" customHeight="1">
      <c r="A161" s="54"/>
      <c r="B161" s="54"/>
      <c r="C161" s="54"/>
      <c r="D161" s="54"/>
      <c r="E161" s="54"/>
      <c r="F161" s="301"/>
      <c r="G161" s="301"/>
      <c r="H161" s="54"/>
      <c r="I161" s="54"/>
      <c r="J161" s="54"/>
    </row>
    <row r="162" spans="1:10" ht="13.2" customHeight="1">
      <c r="A162" s="54"/>
      <c r="B162" s="54"/>
      <c r="C162" s="54"/>
      <c r="D162" s="54"/>
      <c r="E162" s="54"/>
      <c r="F162" s="301"/>
      <c r="G162" s="301"/>
      <c r="H162" s="54"/>
      <c r="I162" s="54"/>
      <c r="J162" s="54"/>
    </row>
    <row r="163" spans="1:10" ht="13.2" customHeight="1">
      <c r="A163" s="54"/>
      <c r="B163" s="54"/>
      <c r="C163" s="54"/>
      <c r="D163" s="54"/>
      <c r="E163" s="54"/>
      <c r="F163" s="301"/>
      <c r="G163" s="301"/>
      <c r="H163" s="54"/>
      <c r="I163" s="54"/>
      <c r="J163" s="54"/>
    </row>
    <row r="164" spans="1:10" ht="13.2" customHeight="1">
      <c r="A164" s="54"/>
      <c r="B164" s="54"/>
      <c r="C164" s="54"/>
      <c r="D164" s="54"/>
      <c r="E164" s="54"/>
      <c r="F164" s="301"/>
      <c r="G164" s="301"/>
      <c r="H164" s="54"/>
      <c r="I164" s="54"/>
      <c r="J164" s="54"/>
    </row>
    <row r="165" spans="1:10" ht="13.2" customHeight="1">
      <c r="A165" s="54"/>
      <c r="B165" s="54"/>
      <c r="C165" s="54"/>
      <c r="D165" s="54"/>
      <c r="E165" s="54"/>
      <c r="F165" s="301"/>
      <c r="G165" s="301"/>
      <c r="H165" s="54"/>
      <c r="I165" s="54"/>
      <c r="J165" s="54"/>
    </row>
    <row r="166" spans="1:10" ht="13.2" customHeight="1">
      <c r="A166" s="54"/>
      <c r="B166" s="54"/>
      <c r="C166" s="54"/>
      <c r="D166" s="54"/>
      <c r="E166" s="54"/>
      <c r="F166" s="301"/>
      <c r="G166" s="301"/>
      <c r="H166" s="54"/>
      <c r="I166" s="54"/>
      <c r="J166" s="54"/>
    </row>
    <row r="167" spans="1:10" ht="13.2" customHeight="1">
      <c r="A167" s="54"/>
      <c r="B167" s="54"/>
      <c r="C167" s="54"/>
      <c r="D167" s="54"/>
      <c r="E167" s="54"/>
      <c r="F167" s="301"/>
      <c r="G167" s="301"/>
      <c r="H167" s="54"/>
      <c r="I167" s="54"/>
      <c r="J167" s="54"/>
    </row>
    <row r="168" spans="1:10" ht="13.2" customHeight="1">
      <c r="A168" s="54"/>
      <c r="B168" s="54"/>
      <c r="C168" s="54"/>
      <c r="D168" s="54"/>
      <c r="E168" s="54"/>
      <c r="F168" s="301"/>
      <c r="G168" s="301"/>
      <c r="H168" s="54"/>
      <c r="I168" s="54"/>
      <c r="J168" s="54"/>
    </row>
    <row r="169" spans="1:10" ht="13.2" customHeight="1">
      <c r="A169" s="54"/>
      <c r="B169" s="54"/>
      <c r="C169" s="54"/>
      <c r="D169" s="54"/>
      <c r="E169" s="54"/>
      <c r="F169" s="301"/>
      <c r="G169" s="301"/>
      <c r="H169" s="54"/>
      <c r="I169" s="54"/>
      <c r="J169" s="54"/>
    </row>
    <row r="170" spans="1:10" ht="13.2" customHeight="1">
      <c r="A170" s="54"/>
      <c r="B170" s="54"/>
      <c r="C170" s="54"/>
      <c r="D170" s="54"/>
      <c r="E170" s="54"/>
      <c r="F170" s="301"/>
      <c r="G170" s="301"/>
      <c r="H170" s="54"/>
      <c r="I170" s="54"/>
      <c r="J170" s="54"/>
    </row>
    <row r="171" spans="1:10" ht="13.2" customHeight="1">
      <c r="A171" s="54"/>
      <c r="B171" s="54"/>
      <c r="C171" s="54"/>
      <c r="D171" s="54"/>
      <c r="E171" s="54"/>
      <c r="F171" s="301"/>
      <c r="G171" s="301"/>
      <c r="H171" s="54"/>
      <c r="I171" s="54"/>
      <c r="J171" s="54"/>
    </row>
    <row r="172" spans="1:10" ht="13.2" customHeight="1">
      <c r="A172" s="54"/>
      <c r="B172" s="54"/>
      <c r="C172" s="54"/>
      <c r="D172" s="54"/>
      <c r="E172" s="54"/>
      <c r="F172" s="301"/>
      <c r="G172" s="301"/>
      <c r="H172" s="54"/>
      <c r="I172" s="54"/>
      <c r="J172" s="54"/>
    </row>
    <row r="173" spans="1:10" ht="13.2" customHeight="1">
      <c r="A173" s="54"/>
      <c r="B173" s="54"/>
      <c r="C173" s="54"/>
      <c r="D173" s="54"/>
      <c r="E173" s="54"/>
      <c r="F173" s="301"/>
      <c r="G173" s="301"/>
      <c r="H173" s="54"/>
      <c r="I173" s="54"/>
      <c r="J173" s="54"/>
    </row>
    <row r="174" spans="1:10" ht="13.2" customHeight="1">
      <c r="A174" s="54"/>
      <c r="B174" s="54"/>
      <c r="C174" s="54"/>
      <c r="D174" s="54"/>
      <c r="E174" s="54"/>
      <c r="F174" s="301"/>
      <c r="G174" s="301"/>
      <c r="H174" s="54"/>
      <c r="I174" s="54"/>
      <c r="J174" s="54"/>
    </row>
    <row r="175" spans="1:10" ht="13.2" customHeight="1">
      <c r="A175" s="54"/>
      <c r="B175" s="54"/>
      <c r="C175" s="54"/>
      <c r="D175" s="54"/>
      <c r="E175" s="54"/>
      <c r="F175" s="301"/>
      <c r="G175" s="301"/>
      <c r="H175" s="54"/>
      <c r="I175" s="54"/>
      <c r="J175" s="54"/>
    </row>
    <row r="176" spans="1:10" ht="13.2" customHeight="1">
      <c r="A176" s="54"/>
      <c r="B176" s="54"/>
      <c r="C176" s="54"/>
      <c r="D176" s="54"/>
      <c r="E176" s="54"/>
      <c r="F176" s="301"/>
      <c r="G176" s="301"/>
      <c r="H176" s="54"/>
      <c r="I176" s="54"/>
      <c r="J176" s="54"/>
    </row>
    <row r="177" spans="1:10" ht="13.2" customHeight="1">
      <c r="A177" s="54"/>
      <c r="B177" s="54"/>
      <c r="C177" s="54"/>
      <c r="D177" s="54"/>
      <c r="E177" s="54"/>
      <c r="F177" s="301"/>
      <c r="G177" s="301"/>
      <c r="H177" s="54"/>
      <c r="I177" s="54"/>
      <c r="J177" s="54"/>
    </row>
    <row r="178" spans="1:10" ht="13.2" customHeight="1">
      <c r="A178" s="54"/>
      <c r="B178" s="54"/>
      <c r="C178" s="54"/>
      <c r="D178" s="54"/>
      <c r="E178" s="54"/>
      <c r="F178" s="301"/>
      <c r="G178" s="301"/>
      <c r="H178" s="54"/>
      <c r="I178" s="54"/>
      <c r="J178" s="54"/>
    </row>
    <row r="179" spans="1:10" ht="13.2" customHeight="1">
      <c r="A179" s="54"/>
      <c r="B179" s="54"/>
      <c r="C179" s="54"/>
      <c r="D179" s="54"/>
      <c r="E179" s="54"/>
      <c r="F179" s="301"/>
      <c r="G179" s="301"/>
      <c r="H179" s="54"/>
      <c r="I179" s="54"/>
      <c r="J179" s="54"/>
    </row>
    <row r="180" spans="1:10" ht="13.2" customHeight="1">
      <c r="A180" s="54"/>
      <c r="B180" s="54"/>
      <c r="C180" s="54"/>
      <c r="D180" s="54"/>
      <c r="E180" s="54"/>
      <c r="F180" s="301"/>
      <c r="G180" s="301"/>
      <c r="H180" s="54"/>
      <c r="I180" s="54"/>
      <c r="J180" s="54"/>
    </row>
    <row r="181" spans="1:10" ht="13.2" customHeight="1">
      <c r="A181" s="54"/>
      <c r="B181" s="54"/>
      <c r="C181" s="54"/>
      <c r="D181" s="54"/>
      <c r="E181" s="54"/>
      <c r="F181" s="301"/>
      <c r="G181" s="301"/>
      <c r="H181" s="54"/>
      <c r="I181" s="54"/>
      <c r="J181" s="54"/>
    </row>
    <row r="182" spans="1:10" ht="13.2" customHeight="1">
      <c r="A182" s="54"/>
      <c r="B182" s="54"/>
      <c r="C182" s="54"/>
      <c r="D182" s="54"/>
      <c r="E182" s="54"/>
      <c r="F182" s="301"/>
      <c r="G182" s="301"/>
      <c r="H182" s="54"/>
      <c r="I182" s="54"/>
      <c r="J182" s="54"/>
    </row>
    <row r="183" spans="1:10" ht="13.2" customHeight="1">
      <c r="A183" s="54"/>
      <c r="B183" s="54"/>
      <c r="C183" s="54"/>
      <c r="D183" s="54"/>
      <c r="E183" s="54"/>
      <c r="F183" s="301"/>
      <c r="G183" s="301"/>
      <c r="H183" s="54"/>
      <c r="I183" s="54"/>
      <c r="J183" s="54"/>
    </row>
    <row r="184" spans="1:10" ht="13.2" customHeight="1">
      <c r="A184" s="54"/>
      <c r="B184" s="54"/>
      <c r="C184" s="54"/>
      <c r="D184" s="54"/>
      <c r="E184" s="54"/>
      <c r="F184" s="301"/>
      <c r="G184" s="301"/>
      <c r="H184" s="54"/>
      <c r="I184" s="54"/>
      <c r="J184" s="54"/>
    </row>
    <row r="185" spans="1:10" ht="13.2" customHeight="1">
      <c r="A185" s="54"/>
      <c r="B185" s="54"/>
      <c r="C185" s="54"/>
      <c r="D185" s="54"/>
      <c r="E185" s="54"/>
      <c r="F185" s="301"/>
      <c r="G185" s="301"/>
      <c r="H185" s="54"/>
      <c r="I185" s="54"/>
      <c r="J185" s="54"/>
    </row>
    <row r="186" spans="1:10" ht="13.2" customHeight="1">
      <c r="A186" s="54"/>
      <c r="B186" s="54"/>
      <c r="C186" s="54"/>
      <c r="D186" s="54"/>
      <c r="E186" s="54"/>
      <c r="F186" s="301"/>
      <c r="G186" s="301"/>
      <c r="H186" s="54"/>
      <c r="I186" s="54"/>
      <c r="J186" s="54"/>
    </row>
    <row r="187" spans="1:10" ht="13.2" customHeight="1">
      <c r="A187" s="54"/>
      <c r="B187" s="54"/>
      <c r="C187" s="54"/>
      <c r="D187" s="54"/>
      <c r="E187" s="54"/>
      <c r="F187" s="301"/>
      <c r="G187" s="301"/>
      <c r="H187" s="54"/>
      <c r="I187" s="54"/>
      <c r="J187" s="54"/>
    </row>
    <row r="188" spans="1:10" ht="13.2" customHeight="1">
      <c r="A188" s="54"/>
      <c r="B188" s="54"/>
      <c r="C188" s="54"/>
      <c r="D188" s="54"/>
      <c r="E188" s="54"/>
      <c r="F188" s="301"/>
      <c r="G188" s="301"/>
      <c r="H188" s="54"/>
      <c r="I188" s="54"/>
      <c r="J188" s="54"/>
    </row>
    <row r="189" spans="1:10" ht="13.2" customHeight="1">
      <c r="A189" s="54"/>
      <c r="B189" s="54"/>
      <c r="C189" s="54"/>
      <c r="D189" s="54"/>
      <c r="E189" s="54"/>
      <c r="F189" s="301"/>
      <c r="G189" s="301"/>
      <c r="H189" s="54"/>
      <c r="I189" s="54"/>
      <c r="J189" s="54"/>
    </row>
    <row r="190" spans="1:10" ht="13.2" customHeight="1">
      <c r="A190" s="54"/>
      <c r="B190" s="54"/>
      <c r="C190" s="54"/>
      <c r="D190" s="54"/>
      <c r="E190" s="54"/>
      <c r="F190" s="301"/>
      <c r="G190" s="301"/>
      <c r="H190" s="54"/>
      <c r="I190" s="54"/>
      <c r="J190" s="54"/>
    </row>
    <row r="191" spans="1:10" ht="13.2" customHeight="1">
      <c r="A191" s="54"/>
      <c r="B191" s="54"/>
      <c r="C191" s="54"/>
      <c r="D191" s="54"/>
      <c r="E191" s="54"/>
      <c r="F191" s="301"/>
      <c r="G191" s="301"/>
      <c r="H191" s="54"/>
      <c r="I191" s="54"/>
      <c r="J191" s="54"/>
    </row>
    <row r="192" spans="1:10" ht="13.2" customHeight="1">
      <c r="A192" s="54"/>
      <c r="B192" s="54"/>
      <c r="C192" s="54"/>
      <c r="D192" s="54"/>
      <c r="E192" s="54"/>
      <c r="F192" s="301"/>
      <c r="G192" s="301"/>
      <c r="H192" s="54"/>
      <c r="I192" s="54"/>
      <c r="J192" s="54"/>
    </row>
    <row r="193" spans="1:10" ht="13.2" customHeight="1">
      <c r="A193" s="54"/>
      <c r="B193" s="54"/>
      <c r="C193" s="54"/>
      <c r="D193" s="54"/>
      <c r="E193" s="54"/>
      <c r="F193" s="301"/>
      <c r="G193" s="301"/>
      <c r="H193" s="54"/>
      <c r="I193" s="54"/>
      <c r="J193" s="54"/>
    </row>
    <row r="194" spans="1:10" ht="13.2" customHeight="1">
      <c r="A194" s="54"/>
      <c r="B194" s="54"/>
      <c r="C194" s="54"/>
      <c r="D194" s="54"/>
      <c r="E194" s="54"/>
      <c r="F194" s="301"/>
      <c r="G194" s="301"/>
      <c r="H194" s="54"/>
      <c r="I194" s="54"/>
      <c r="J194" s="54"/>
    </row>
    <row r="195" spans="1:10" ht="13.2" customHeight="1">
      <c r="A195" s="54"/>
      <c r="B195" s="54"/>
      <c r="C195" s="54"/>
      <c r="D195" s="54"/>
      <c r="E195" s="54"/>
      <c r="F195" s="301"/>
      <c r="G195" s="301"/>
      <c r="H195" s="54"/>
      <c r="I195" s="54"/>
      <c r="J195" s="54"/>
    </row>
    <row r="196" spans="1:10" ht="13.2" customHeight="1">
      <c r="A196" s="54"/>
      <c r="B196" s="54"/>
      <c r="C196" s="54"/>
      <c r="D196" s="54"/>
      <c r="E196" s="54"/>
      <c r="F196" s="301"/>
      <c r="G196" s="301"/>
      <c r="H196" s="54"/>
      <c r="I196" s="54"/>
      <c r="J196" s="54"/>
    </row>
    <row r="197" spans="1:10" ht="13.2" customHeight="1">
      <c r="A197" s="54"/>
      <c r="B197" s="54"/>
      <c r="C197" s="54"/>
      <c r="D197" s="54"/>
      <c r="E197" s="54"/>
      <c r="F197" s="301"/>
      <c r="G197" s="301"/>
      <c r="H197" s="54"/>
      <c r="I197" s="54"/>
      <c r="J197" s="54"/>
    </row>
    <row r="198" spans="1:10" ht="13.2" customHeight="1">
      <c r="A198" s="54"/>
      <c r="B198" s="54"/>
      <c r="C198" s="54"/>
      <c r="D198" s="54"/>
      <c r="E198" s="54"/>
      <c r="F198" s="301"/>
      <c r="G198" s="301"/>
      <c r="H198" s="54"/>
      <c r="I198" s="54"/>
      <c r="J198" s="54"/>
    </row>
    <row r="199" spans="1:10" ht="13.2" customHeight="1">
      <c r="A199" s="54"/>
      <c r="B199" s="54"/>
      <c r="C199" s="54"/>
      <c r="D199" s="54"/>
      <c r="E199" s="54"/>
      <c r="F199" s="301"/>
      <c r="G199" s="301"/>
      <c r="H199" s="54"/>
      <c r="I199" s="54"/>
      <c r="J199" s="54"/>
    </row>
    <row r="200" spans="1:10" ht="13.2" customHeight="1">
      <c r="A200" s="54"/>
      <c r="B200" s="54"/>
      <c r="C200" s="54"/>
      <c r="D200" s="54"/>
      <c r="E200" s="54"/>
      <c r="F200" s="301"/>
      <c r="G200" s="301"/>
      <c r="H200" s="54"/>
      <c r="I200" s="54"/>
      <c r="J200" s="54"/>
    </row>
    <row r="201" spans="1:10" ht="13.2" customHeight="1">
      <c r="A201" s="54"/>
      <c r="B201" s="54"/>
      <c r="C201" s="54"/>
      <c r="D201" s="54"/>
      <c r="E201" s="54"/>
      <c r="F201" s="301"/>
      <c r="G201" s="301"/>
      <c r="H201" s="54"/>
      <c r="I201" s="54"/>
      <c r="J201" s="54"/>
    </row>
    <row r="202" spans="1:10" ht="13.2" customHeight="1">
      <c r="A202" s="54"/>
      <c r="B202" s="54"/>
      <c r="C202" s="54"/>
      <c r="D202" s="54"/>
      <c r="E202" s="54"/>
      <c r="F202" s="301"/>
      <c r="G202" s="301"/>
      <c r="H202" s="54"/>
      <c r="I202" s="54"/>
      <c r="J202" s="54"/>
    </row>
    <row r="203" spans="1:10" ht="13.2" customHeight="1">
      <c r="A203" s="54"/>
      <c r="B203" s="54"/>
      <c r="C203" s="54"/>
      <c r="D203" s="54"/>
      <c r="E203" s="54"/>
      <c r="F203" s="301"/>
      <c r="G203" s="301"/>
      <c r="H203" s="54"/>
      <c r="I203" s="54"/>
      <c r="J203" s="54"/>
    </row>
    <row r="204" spans="1:10" ht="13.2" customHeight="1">
      <c r="A204" s="54"/>
      <c r="B204" s="54"/>
      <c r="C204" s="54"/>
      <c r="D204" s="54"/>
      <c r="E204" s="54"/>
      <c r="F204" s="301"/>
      <c r="G204" s="301"/>
      <c r="H204" s="54"/>
      <c r="I204" s="54"/>
      <c r="J204" s="54"/>
    </row>
    <row r="205" spans="1:10" ht="13.2" customHeight="1">
      <c r="A205" s="54"/>
      <c r="B205" s="54"/>
      <c r="C205" s="54"/>
      <c r="D205" s="54"/>
      <c r="E205" s="54"/>
      <c r="F205" s="301"/>
      <c r="G205" s="301"/>
      <c r="H205" s="54"/>
      <c r="I205" s="54"/>
      <c r="J205" s="54"/>
    </row>
    <row r="206" spans="1:10" ht="13.2" customHeight="1">
      <c r="A206" s="54"/>
      <c r="B206" s="54"/>
      <c r="C206" s="54"/>
      <c r="D206" s="54"/>
      <c r="E206" s="54"/>
      <c r="F206" s="301"/>
      <c r="G206" s="301"/>
      <c r="H206" s="54"/>
      <c r="I206" s="54"/>
      <c r="J206" s="54"/>
    </row>
    <row r="207" spans="1:10" ht="13.2" customHeight="1">
      <c r="A207" s="54"/>
      <c r="B207" s="54"/>
      <c r="C207" s="54"/>
      <c r="D207" s="54"/>
      <c r="E207" s="54"/>
      <c r="F207" s="301"/>
      <c r="G207" s="301"/>
      <c r="H207" s="54"/>
      <c r="I207" s="54"/>
      <c r="J207" s="54"/>
    </row>
    <row r="208" spans="1:10" ht="13.2" customHeight="1">
      <c r="A208" s="54"/>
      <c r="B208" s="54"/>
      <c r="C208" s="54"/>
      <c r="D208" s="54"/>
      <c r="E208" s="54"/>
      <c r="F208" s="301"/>
      <c r="G208" s="301"/>
      <c r="H208" s="54"/>
      <c r="I208" s="54"/>
      <c r="J208" s="54"/>
    </row>
    <row r="209" spans="1:10" ht="13.2" customHeight="1">
      <c r="A209" s="54"/>
      <c r="B209" s="54"/>
      <c r="C209" s="54"/>
      <c r="D209" s="54"/>
      <c r="E209" s="54"/>
      <c r="F209" s="301"/>
      <c r="G209" s="301"/>
      <c r="H209" s="54"/>
      <c r="I209" s="54"/>
      <c r="J209" s="54"/>
    </row>
    <row r="210" spans="1:10" ht="13.2" customHeight="1">
      <c r="A210" s="54"/>
      <c r="B210" s="54"/>
      <c r="C210" s="54"/>
      <c r="D210" s="54"/>
      <c r="E210" s="54"/>
      <c r="F210" s="301"/>
      <c r="G210" s="301"/>
      <c r="H210" s="54"/>
      <c r="I210" s="54"/>
      <c r="J210" s="54"/>
    </row>
    <row r="211" spans="1:10" ht="13.2" customHeight="1">
      <c r="A211" s="54"/>
      <c r="B211" s="54"/>
      <c r="C211" s="54"/>
      <c r="D211" s="54"/>
      <c r="E211" s="54"/>
      <c r="F211" s="301"/>
      <c r="G211" s="301"/>
      <c r="H211" s="54"/>
      <c r="I211" s="54"/>
      <c r="J211" s="54"/>
    </row>
    <row r="212" spans="1:10" ht="13.2" customHeight="1">
      <c r="A212" s="54"/>
      <c r="B212" s="54"/>
      <c r="C212" s="54"/>
      <c r="D212" s="54"/>
      <c r="E212" s="54"/>
      <c r="F212" s="301"/>
      <c r="G212" s="301"/>
      <c r="H212" s="54"/>
      <c r="I212" s="54"/>
      <c r="J212" s="54"/>
    </row>
    <row r="213" spans="1:10" ht="13.2" customHeight="1">
      <c r="A213" s="54"/>
      <c r="B213" s="54"/>
      <c r="C213" s="54"/>
      <c r="D213" s="54"/>
      <c r="E213" s="54"/>
      <c r="F213" s="301"/>
      <c r="G213" s="301"/>
      <c r="H213" s="54"/>
      <c r="I213" s="54"/>
      <c r="J213" s="54"/>
    </row>
    <row r="214" spans="1:10" ht="13.2" customHeight="1">
      <c r="A214" s="54"/>
      <c r="B214" s="54"/>
      <c r="C214" s="54"/>
      <c r="D214" s="54"/>
      <c r="E214" s="54"/>
      <c r="F214" s="301"/>
      <c r="G214" s="301"/>
      <c r="H214" s="54"/>
      <c r="I214" s="54"/>
      <c r="J214" s="54"/>
    </row>
    <row r="215" spans="1:10" ht="13.2" customHeight="1">
      <c r="A215" s="54"/>
      <c r="B215" s="54"/>
      <c r="C215" s="54"/>
      <c r="D215" s="54"/>
      <c r="E215" s="54"/>
      <c r="F215" s="301"/>
      <c r="G215" s="301"/>
      <c r="H215" s="54"/>
      <c r="I215" s="54"/>
      <c r="J215" s="54"/>
    </row>
    <row r="216" spans="1:10" ht="13.2" customHeight="1">
      <c r="A216" s="54"/>
      <c r="B216" s="54"/>
      <c r="C216" s="54"/>
      <c r="D216" s="54"/>
      <c r="E216" s="54"/>
      <c r="F216" s="301"/>
      <c r="G216" s="301"/>
      <c r="H216" s="54"/>
      <c r="I216" s="54"/>
      <c r="J216" s="54"/>
    </row>
    <row r="217" spans="1:10" ht="13.2" customHeight="1">
      <c r="A217" s="54"/>
      <c r="B217" s="54"/>
      <c r="C217" s="54"/>
      <c r="D217" s="54"/>
      <c r="E217" s="54"/>
      <c r="F217" s="301"/>
      <c r="G217" s="301"/>
      <c r="H217" s="54"/>
      <c r="I217" s="54"/>
      <c r="J217" s="54"/>
    </row>
    <row r="218" spans="1:10" ht="13.2" customHeight="1">
      <c r="A218" s="54"/>
      <c r="B218" s="54"/>
      <c r="C218" s="54"/>
      <c r="D218" s="54"/>
      <c r="E218" s="54"/>
      <c r="F218" s="301"/>
      <c r="G218" s="301"/>
      <c r="H218" s="54"/>
      <c r="I218" s="54"/>
      <c r="J218" s="54"/>
    </row>
    <row r="219" spans="1:10" ht="13.2" customHeight="1">
      <c r="A219" s="54"/>
      <c r="B219" s="54"/>
      <c r="C219" s="54"/>
      <c r="D219" s="54"/>
      <c r="E219" s="54"/>
      <c r="F219" s="301"/>
      <c r="G219" s="301"/>
      <c r="H219" s="54"/>
      <c r="I219" s="54"/>
      <c r="J219" s="54"/>
    </row>
    <row r="220" spans="1:10" ht="13.2" customHeight="1">
      <c r="A220" s="54"/>
      <c r="B220" s="54"/>
      <c r="C220" s="54"/>
      <c r="D220" s="54"/>
      <c r="E220" s="54"/>
      <c r="F220" s="301"/>
      <c r="G220" s="301"/>
      <c r="H220" s="54"/>
      <c r="I220" s="54"/>
      <c r="J220" s="54"/>
    </row>
    <row r="221" spans="1:10" ht="13.2" customHeight="1">
      <c r="A221" s="54"/>
      <c r="B221" s="54"/>
      <c r="C221" s="54"/>
      <c r="D221" s="54"/>
      <c r="E221" s="54"/>
      <c r="F221" s="301"/>
      <c r="G221" s="301"/>
      <c r="H221" s="54"/>
      <c r="I221" s="54"/>
      <c r="J221" s="54"/>
    </row>
    <row r="222" spans="1:10" ht="13.2" customHeight="1">
      <c r="A222" s="54"/>
      <c r="B222" s="54"/>
      <c r="C222" s="54"/>
      <c r="D222" s="54"/>
      <c r="E222" s="54"/>
      <c r="F222" s="301"/>
      <c r="G222" s="301"/>
      <c r="H222" s="54"/>
      <c r="I222" s="54"/>
      <c r="J222" s="54"/>
    </row>
    <row r="223" spans="1:10" ht="13.2" customHeight="1">
      <c r="A223" s="54"/>
      <c r="B223" s="54"/>
      <c r="C223" s="54"/>
      <c r="D223" s="54"/>
      <c r="E223" s="54"/>
      <c r="F223" s="301"/>
      <c r="G223" s="301"/>
      <c r="H223" s="54"/>
      <c r="I223" s="54"/>
      <c r="J223" s="54"/>
    </row>
    <row r="224" spans="1:10" ht="13.2" customHeight="1">
      <c r="A224" s="54"/>
      <c r="B224" s="54"/>
      <c r="C224" s="54"/>
      <c r="D224" s="54"/>
      <c r="E224" s="54"/>
      <c r="F224" s="301"/>
      <c r="G224" s="301"/>
      <c r="H224" s="54"/>
      <c r="I224" s="54"/>
      <c r="J224" s="54"/>
    </row>
    <row r="225" spans="1:10" ht="13.2" customHeight="1">
      <c r="A225" s="54"/>
      <c r="B225" s="54"/>
      <c r="C225" s="54"/>
      <c r="D225" s="54"/>
      <c r="E225" s="54"/>
      <c r="F225" s="301"/>
      <c r="G225" s="301"/>
      <c r="H225" s="54"/>
      <c r="I225" s="54"/>
      <c r="J225" s="54"/>
    </row>
    <row r="226" spans="1:10" ht="13.2" customHeight="1">
      <c r="A226" s="54"/>
      <c r="B226" s="54"/>
      <c r="C226" s="54"/>
      <c r="D226" s="54"/>
      <c r="E226" s="54"/>
      <c r="F226" s="301"/>
      <c r="G226" s="301"/>
      <c r="H226" s="54"/>
      <c r="I226" s="54"/>
      <c r="J226" s="54"/>
    </row>
    <row r="227" spans="1:10" ht="13.2" customHeight="1">
      <c r="A227" s="54"/>
      <c r="B227" s="54"/>
      <c r="C227" s="54"/>
      <c r="D227" s="54"/>
      <c r="E227" s="54"/>
      <c r="F227" s="301"/>
      <c r="G227" s="301"/>
      <c r="H227" s="54"/>
      <c r="I227" s="54"/>
      <c r="J227" s="54"/>
    </row>
    <row r="228" spans="1:10" ht="13.2" customHeight="1">
      <c r="A228" s="54"/>
      <c r="B228" s="54"/>
      <c r="C228" s="54"/>
      <c r="D228" s="54"/>
      <c r="E228" s="54"/>
      <c r="F228" s="301"/>
      <c r="G228" s="301"/>
      <c r="H228" s="54"/>
      <c r="I228" s="54"/>
      <c r="J228" s="54"/>
    </row>
    <row r="229" spans="1:10" ht="13.2" customHeight="1">
      <c r="A229" s="54"/>
      <c r="B229" s="54"/>
      <c r="C229" s="54"/>
      <c r="D229" s="54"/>
      <c r="E229" s="54"/>
      <c r="F229" s="301"/>
      <c r="G229" s="301"/>
      <c r="H229" s="54"/>
      <c r="I229" s="54"/>
      <c r="J229" s="54"/>
    </row>
    <row r="230" spans="1:10" ht="13.2" customHeight="1">
      <c r="A230" s="54"/>
      <c r="B230" s="54"/>
      <c r="C230" s="54"/>
      <c r="D230" s="54"/>
      <c r="E230" s="54"/>
      <c r="F230" s="301"/>
      <c r="G230" s="301"/>
      <c r="H230" s="54"/>
      <c r="I230" s="54"/>
      <c r="J230" s="54"/>
    </row>
    <row r="231" spans="1:10" ht="13.2" customHeight="1">
      <c r="A231" s="54"/>
      <c r="B231" s="54"/>
      <c r="C231" s="54"/>
      <c r="D231" s="54"/>
      <c r="E231" s="54"/>
      <c r="F231" s="301"/>
      <c r="G231" s="301"/>
      <c r="H231" s="54"/>
      <c r="I231" s="54"/>
      <c r="J231" s="54"/>
    </row>
    <row r="232" spans="1:10" ht="13.2" customHeight="1">
      <c r="A232" s="54"/>
      <c r="B232" s="54"/>
      <c r="C232" s="54"/>
      <c r="D232" s="54"/>
      <c r="E232" s="54"/>
      <c r="F232" s="301"/>
      <c r="G232" s="301"/>
      <c r="H232" s="54"/>
      <c r="I232" s="54"/>
      <c r="J232" s="54"/>
    </row>
    <row r="233" spans="1:10" ht="13.2" customHeight="1">
      <c r="A233" s="54"/>
      <c r="B233" s="54"/>
      <c r="C233" s="54"/>
      <c r="D233" s="54"/>
      <c r="E233" s="54"/>
      <c r="F233" s="301"/>
      <c r="G233" s="301"/>
      <c r="H233" s="54"/>
      <c r="I233" s="54"/>
      <c r="J233" s="54"/>
    </row>
    <row r="234" spans="1:10" ht="13.2" customHeight="1">
      <c r="A234" s="54"/>
      <c r="B234" s="54"/>
      <c r="C234" s="54"/>
      <c r="D234" s="54"/>
      <c r="E234" s="54"/>
      <c r="F234" s="301"/>
      <c r="G234" s="301"/>
      <c r="H234" s="54"/>
      <c r="I234" s="54"/>
      <c r="J234" s="54"/>
    </row>
    <row r="235" spans="1:10" ht="13.2" customHeight="1">
      <c r="A235" s="54"/>
      <c r="B235" s="54"/>
      <c r="C235" s="54"/>
      <c r="D235" s="54"/>
      <c r="E235" s="54"/>
      <c r="F235" s="301"/>
      <c r="G235" s="301"/>
      <c r="H235" s="54"/>
      <c r="I235" s="54"/>
      <c r="J235" s="54"/>
    </row>
    <row r="236" spans="1:10" ht="13.2" customHeight="1">
      <c r="A236" s="54"/>
      <c r="B236" s="54"/>
      <c r="C236" s="54"/>
      <c r="D236" s="54"/>
      <c r="E236" s="54"/>
      <c r="F236" s="301"/>
      <c r="G236" s="301"/>
      <c r="H236" s="54"/>
      <c r="I236" s="54"/>
      <c r="J236" s="54"/>
    </row>
    <row r="237" spans="1:10" ht="13.2" customHeight="1">
      <c r="A237" s="54"/>
      <c r="B237" s="54"/>
      <c r="C237" s="54"/>
      <c r="D237" s="54"/>
      <c r="E237" s="54"/>
      <c r="F237" s="301"/>
      <c r="G237" s="301"/>
      <c r="H237" s="54"/>
      <c r="I237" s="54"/>
      <c r="J237" s="54"/>
    </row>
    <row r="238" spans="1:10" ht="13.2" customHeight="1">
      <c r="A238" s="54"/>
      <c r="B238" s="54"/>
      <c r="C238" s="54"/>
      <c r="D238" s="54"/>
      <c r="E238" s="54"/>
      <c r="F238" s="301"/>
      <c r="G238" s="301"/>
      <c r="H238" s="54"/>
      <c r="I238" s="54"/>
      <c r="J238" s="54"/>
    </row>
    <row r="239" spans="1:10" ht="13.2" customHeight="1">
      <c r="A239" s="54"/>
      <c r="B239" s="54"/>
      <c r="C239" s="54"/>
      <c r="D239" s="54"/>
      <c r="E239" s="54"/>
      <c r="F239" s="301"/>
      <c r="G239" s="301"/>
      <c r="H239" s="54"/>
      <c r="I239" s="54"/>
      <c r="J239" s="54"/>
    </row>
    <row r="240" spans="1:10" ht="13.2" customHeight="1">
      <c r="A240" s="54"/>
      <c r="B240" s="54"/>
      <c r="C240" s="54"/>
      <c r="D240" s="54"/>
      <c r="E240" s="54"/>
      <c r="F240" s="301"/>
      <c r="G240" s="301"/>
      <c r="H240" s="54"/>
      <c r="I240" s="54"/>
      <c r="J240" s="54"/>
    </row>
    <row r="241" spans="1:10" ht="13.2" customHeight="1">
      <c r="A241" s="54"/>
      <c r="B241" s="54"/>
      <c r="C241" s="54"/>
      <c r="D241" s="54"/>
      <c r="E241" s="54"/>
      <c r="F241" s="301"/>
      <c r="G241" s="301"/>
      <c r="H241" s="54"/>
      <c r="I241" s="54"/>
      <c r="J241" s="54"/>
    </row>
    <row r="242" spans="1:10" ht="13.2" customHeight="1">
      <c r="A242" s="54"/>
      <c r="B242" s="54"/>
      <c r="C242" s="54"/>
      <c r="D242" s="54"/>
      <c r="E242" s="54"/>
      <c r="F242" s="301"/>
      <c r="G242" s="301"/>
      <c r="H242" s="54"/>
      <c r="I242" s="54"/>
      <c r="J242" s="54"/>
    </row>
    <row r="243" spans="1:10" ht="13.2" customHeight="1">
      <c r="A243" s="54"/>
      <c r="B243" s="54"/>
      <c r="C243" s="54"/>
      <c r="D243" s="54"/>
      <c r="E243" s="54"/>
      <c r="F243" s="301"/>
      <c r="G243" s="301"/>
      <c r="H243" s="54"/>
      <c r="I243" s="54"/>
      <c r="J243" s="54"/>
    </row>
    <row r="244" spans="1:10" ht="13.2" customHeight="1">
      <c r="A244" s="54"/>
      <c r="B244" s="54"/>
      <c r="C244" s="54"/>
      <c r="D244" s="54"/>
      <c r="E244" s="54"/>
      <c r="F244" s="301"/>
      <c r="G244" s="301"/>
      <c r="H244" s="54"/>
      <c r="I244" s="54"/>
      <c r="J244" s="54"/>
    </row>
    <row r="245" spans="1:10" ht="13.2" customHeight="1">
      <c r="A245" s="54"/>
      <c r="B245" s="54"/>
      <c r="C245" s="54"/>
      <c r="D245" s="54"/>
      <c r="E245" s="54"/>
      <c r="F245" s="301"/>
      <c r="G245" s="301"/>
      <c r="H245" s="54"/>
      <c r="I245" s="54"/>
      <c r="J245" s="54"/>
    </row>
    <row r="246" spans="1:10" ht="13.2" customHeight="1">
      <c r="A246" s="54"/>
      <c r="B246" s="54"/>
      <c r="C246" s="54"/>
      <c r="D246" s="54"/>
      <c r="E246" s="54"/>
      <c r="F246" s="301"/>
      <c r="G246" s="301"/>
      <c r="H246" s="54"/>
      <c r="I246" s="54"/>
      <c r="J246" s="54"/>
    </row>
    <row r="247" spans="1:10" ht="13.2" customHeight="1">
      <c r="A247" s="54"/>
      <c r="B247" s="54"/>
      <c r="C247" s="54"/>
      <c r="D247" s="54"/>
      <c r="E247" s="54"/>
      <c r="F247" s="301"/>
      <c r="G247" s="301"/>
      <c r="H247" s="54"/>
      <c r="I247" s="54"/>
      <c r="J247" s="54"/>
    </row>
    <row r="248" spans="1:10" ht="13.2" customHeight="1">
      <c r="A248" s="54"/>
      <c r="B248" s="54"/>
      <c r="C248" s="54"/>
      <c r="D248" s="54"/>
      <c r="E248" s="54"/>
      <c r="F248" s="301"/>
      <c r="G248" s="301"/>
      <c r="H248" s="54"/>
      <c r="I248" s="54"/>
      <c r="J248" s="54"/>
    </row>
    <row r="249" spans="1:10" ht="13.2" customHeight="1">
      <c r="A249" s="54"/>
      <c r="B249" s="54"/>
      <c r="C249" s="54"/>
      <c r="D249" s="54"/>
      <c r="E249" s="54"/>
      <c r="F249" s="301"/>
      <c r="G249" s="301"/>
      <c r="H249" s="54"/>
      <c r="I249" s="54"/>
      <c r="J249" s="54"/>
    </row>
    <row r="250" spans="1:10" ht="13.2" customHeight="1">
      <c r="A250" s="54"/>
      <c r="B250" s="54"/>
      <c r="C250" s="54"/>
      <c r="D250" s="54"/>
      <c r="E250" s="54"/>
      <c r="F250" s="301"/>
      <c r="G250" s="301"/>
      <c r="H250" s="54"/>
      <c r="I250" s="54"/>
      <c r="J250" s="54"/>
    </row>
    <row r="251" spans="1:10" ht="13.2" customHeight="1">
      <c r="A251" s="54"/>
      <c r="B251" s="54"/>
      <c r="C251" s="54"/>
      <c r="D251" s="54"/>
      <c r="E251" s="54"/>
      <c r="F251" s="301"/>
      <c r="G251" s="301"/>
      <c r="H251" s="54"/>
      <c r="I251" s="54"/>
      <c r="J251" s="54"/>
    </row>
    <row r="252" spans="1:10" ht="13.2" customHeight="1">
      <c r="A252" s="54"/>
      <c r="B252" s="54"/>
      <c r="C252" s="54"/>
      <c r="D252" s="54"/>
      <c r="E252" s="54"/>
      <c r="F252" s="301"/>
      <c r="G252" s="301"/>
      <c r="H252" s="54"/>
      <c r="I252" s="54"/>
      <c r="J252" s="54"/>
    </row>
    <row r="253" spans="1:10" ht="13.2" customHeight="1">
      <c r="A253" s="54"/>
      <c r="B253" s="54"/>
      <c r="C253" s="54"/>
      <c r="D253" s="54"/>
      <c r="E253" s="54"/>
      <c r="F253" s="301"/>
      <c r="G253" s="301"/>
      <c r="H253" s="54"/>
      <c r="I253" s="54"/>
      <c r="J253" s="54"/>
    </row>
    <row r="254" spans="1:10" ht="13.2" customHeight="1">
      <c r="A254" s="54"/>
      <c r="B254" s="54"/>
      <c r="C254" s="54"/>
      <c r="D254" s="54"/>
      <c r="E254" s="54"/>
      <c r="F254" s="301"/>
      <c r="G254" s="301"/>
      <c r="H254" s="54"/>
      <c r="I254" s="54"/>
      <c r="J254" s="54"/>
    </row>
    <row r="255" spans="1:10" ht="13.2" customHeight="1">
      <c r="A255" s="54"/>
      <c r="B255" s="54"/>
      <c r="C255" s="54"/>
      <c r="D255" s="54"/>
      <c r="E255" s="54"/>
      <c r="F255" s="301"/>
      <c r="G255" s="301"/>
      <c r="H255" s="54"/>
      <c r="I255" s="54"/>
      <c r="J255" s="54"/>
    </row>
    <row r="256" spans="1:10" ht="13.2" customHeight="1">
      <c r="A256" s="54"/>
      <c r="B256" s="54"/>
      <c r="C256" s="54"/>
      <c r="D256" s="54"/>
      <c r="E256" s="54"/>
      <c r="F256" s="301"/>
      <c r="G256" s="301"/>
      <c r="H256" s="54"/>
      <c r="I256" s="54"/>
      <c r="J256" s="54"/>
    </row>
    <row r="257" spans="1:10" ht="13.2" customHeight="1">
      <c r="A257" s="54"/>
      <c r="B257" s="54"/>
      <c r="C257" s="54"/>
      <c r="D257" s="54"/>
      <c r="E257" s="54"/>
      <c r="F257" s="301"/>
      <c r="G257" s="301"/>
      <c r="H257" s="54"/>
      <c r="I257" s="54"/>
      <c r="J257" s="54"/>
    </row>
    <row r="258" spans="1:10" ht="13.2" customHeight="1">
      <c r="A258" s="54"/>
      <c r="B258" s="54"/>
      <c r="C258" s="54"/>
      <c r="D258" s="54"/>
      <c r="E258" s="54"/>
      <c r="F258" s="301"/>
      <c r="G258" s="301"/>
      <c r="H258" s="54"/>
      <c r="I258" s="54"/>
      <c r="J258" s="54"/>
    </row>
    <row r="259" spans="1:10" ht="13.2" customHeight="1">
      <c r="A259" s="54"/>
      <c r="B259" s="54"/>
      <c r="C259" s="54"/>
      <c r="D259" s="54"/>
      <c r="E259" s="54"/>
      <c r="F259" s="301"/>
      <c r="G259" s="301"/>
      <c r="H259" s="54"/>
      <c r="I259" s="54"/>
      <c r="J259" s="54"/>
    </row>
    <row r="260" spans="1:10" ht="13.2" customHeight="1">
      <c r="A260" s="54"/>
      <c r="B260" s="54"/>
      <c r="C260" s="54"/>
      <c r="D260" s="54"/>
      <c r="E260" s="54"/>
      <c r="F260" s="301"/>
      <c r="G260" s="301"/>
      <c r="H260" s="54"/>
      <c r="I260" s="54"/>
      <c r="J260" s="54"/>
    </row>
    <row r="261" spans="1:10" ht="13.2" customHeight="1">
      <c r="A261" s="54"/>
      <c r="B261" s="54"/>
      <c r="C261" s="54"/>
      <c r="D261" s="54"/>
      <c r="E261" s="54"/>
      <c r="F261" s="301"/>
      <c r="G261" s="301"/>
      <c r="H261" s="54"/>
      <c r="I261" s="54"/>
      <c r="J261" s="54"/>
    </row>
    <row r="262" spans="1:10" ht="13.2" customHeight="1">
      <c r="A262" s="54"/>
      <c r="B262" s="54"/>
      <c r="C262" s="54"/>
      <c r="D262" s="54"/>
      <c r="E262" s="54"/>
      <c r="F262" s="301"/>
      <c r="G262" s="301"/>
      <c r="H262" s="54"/>
      <c r="I262" s="54"/>
      <c r="J262" s="54"/>
    </row>
    <row r="263" spans="1:10" ht="13.2" customHeight="1">
      <c r="A263" s="54"/>
      <c r="B263" s="54"/>
      <c r="C263" s="54"/>
      <c r="D263" s="54"/>
      <c r="E263" s="54"/>
      <c r="F263" s="301"/>
      <c r="G263" s="301"/>
      <c r="H263" s="54"/>
      <c r="I263" s="54"/>
      <c r="J263" s="54"/>
    </row>
    <row r="264" spans="1:10" ht="13.2" customHeight="1">
      <c r="A264" s="54"/>
      <c r="B264" s="54"/>
      <c r="C264" s="54"/>
      <c r="D264" s="54"/>
      <c r="E264" s="54"/>
      <c r="F264" s="301"/>
      <c r="G264" s="301"/>
      <c r="H264" s="54"/>
      <c r="I264" s="54"/>
      <c r="J264" s="54"/>
    </row>
    <row r="265" spans="1:10" ht="13.2" customHeight="1">
      <c r="A265" s="54"/>
      <c r="B265" s="54"/>
      <c r="C265" s="54"/>
      <c r="D265" s="54"/>
      <c r="E265" s="54"/>
      <c r="F265" s="301"/>
      <c r="G265" s="301"/>
      <c r="H265" s="54"/>
      <c r="I265" s="54"/>
      <c r="J265" s="54"/>
    </row>
    <row r="266" spans="1:10" ht="13.2" customHeight="1">
      <c r="A266" s="54"/>
      <c r="B266" s="54"/>
      <c r="C266" s="54"/>
      <c r="D266" s="54"/>
      <c r="E266" s="54"/>
      <c r="F266" s="301"/>
      <c r="G266" s="301"/>
      <c r="H266" s="54"/>
      <c r="I266" s="54"/>
      <c r="J266" s="54"/>
    </row>
    <row r="267" spans="1:10" ht="13.2" customHeight="1">
      <c r="A267" s="54"/>
      <c r="B267" s="54"/>
      <c r="C267" s="54"/>
      <c r="D267" s="54"/>
      <c r="E267" s="54"/>
      <c r="F267" s="301"/>
      <c r="G267" s="301"/>
      <c r="H267" s="54"/>
      <c r="I267" s="54"/>
      <c r="J267" s="54"/>
    </row>
    <row r="268" spans="1:10" ht="13.2" customHeight="1">
      <c r="A268" s="54"/>
      <c r="B268" s="54"/>
      <c r="C268" s="54"/>
      <c r="D268" s="54"/>
      <c r="E268" s="54"/>
      <c r="F268" s="301"/>
      <c r="G268" s="301"/>
      <c r="H268" s="54"/>
      <c r="I268" s="54"/>
      <c r="J268" s="54"/>
    </row>
    <row r="269" spans="1:10" ht="13.2" customHeight="1">
      <c r="A269" s="54"/>
      <c r="B269" s="54"/>
      <c r="C269" s="54"/>
      <c r="D269" s="54"/>
      <c r="E269" s="54"/>
      <c r="F269" s="301"/>
      <c r="G269" s="301"/>
      <c r="H269" s="54"/>
      <c r="I269" s="54"/>
      <c r="J269" s="54"/>
    </row>
    <row r="270" spans="1:10" ht="13.2" customHeight="1">
      <c r="A270" s="54"/>
      <c r="B270" s="54"/>
      <c r="C270" s="54"/>
      <c r="D270" s="54"/>
      <c r="E270" s="54"/>
      <c r="F270" s="301"/>
      <c r="G270" s="301"/>
      <c r="H270" s="54"/>
      <c r="I270" s="54"/>
      <c r="J270" s="54"/>
    </row>
    <row r="271" spans="1:10" ht="13.2" customHeight="1">
      <c r="A271" s="54"/>
      <c r="B271" s="54"/>
      <c r="C271" s="54"/>
      <c r="D271" s="54"/>
      <c r="E271" s="54"/>
      <c r="F271" s="301"/>
      <c r="G271" s="301"/>
      <c r="H271" s="54"/>
      <c r="I271" s="54"/>
      <c r="J271" s="54"/>
    </row>
    <row r="272" spans="1:10" ht="13.2" customHeight="1">
      <c r="A272" s="54"/>
      <c r="B272" s="54"/>
      <c r="C272" s="54"/>
      <c r="D272" s="54"/>
      <c r="E272" s="54"/>
      <c r="F272" s="301"/>
      <c r="G272" s="301"/>
      <c r="H272" s="54"/>
      <c r="I272" s="54"/>
      <c r="J272" s="54"/>
    </row>
    <row r="273" spans="1:10" ht="13.2" customHeight="1">
      <c r="A273" s="54"/>
      <c r="B273" s="54"/>
      <c r="C273" s="54"/>
      <c r="D273" s="54"/>
      <c r="E273" s="54"/>
      <c r="F273" s="301"/>
      <c r="G273" s="301"/>
      <c r="H273" s="54"/>
      <c r="I273" s="54"/>
      <c r="J273" s="54"/>
    </row>
    <row r="274" spans="1:10" ht="13.2" customHeight="1">
      <c r="A274" s="54"/>
      <c r="B274" s="54"/>
      <c r="C274" s="54"/>
      <c r="D274" s="54"/>
      <c r="E274" s="54"/>
      <c r="F274" s="301"/>
      <c r="G274" s="301"/>
      <c r="H274" s="54"/>
      <c r="I274" s="54"/>
      <c r="J274" s="54"/>
    </row>
    <row r="275" spans="1:10" ht="13.2" customHeight="1">
      <c r="A275" s="54"/>
      <c r="B275" s="54"/>
      <c r="C275" s="54"/>
      <c r="D275" s="54"/>
      <c r="E275" s="54"/>
      <c r="F275" s="301"/>
      <c r="G275" s="301"/>
      <c r="H275" s="54"/>
      <c r="I275" s="54"/>
      <c r="J275" s="54"/>
    </row>
    <row r="276" spans="1:10" ht="13.2" customHeight="1">
      <c r="A276" s="54"/>
      <c r="B276" s="54"/>
      <c r="C276" s="54"/>
      <c r="D276" s="54"/>
      <c r="E276" s="54"/>
      <c r="F276" s="301"/>
      <c r="G276" s="301"/>
      <c r="H276" s="54"/>
      <c r="I276" s="54"/>
      <c r="J276" s="54"/>
    </row>
    <row r="277" spans="1:10" ht="13.2" customHeight="1">
      <c r="A277" s="54"/>
      <c r="B277" s="54"/>
      <c r="C277" s="54"/>
      <c r="D277" s="54"/>
      <c r="E277" s="54"/>
      <c r="F277" s="301"/>
      <c r="G277" s="301"/>
      <c r="H277" s="54"/>
      <c r="I277" s="54"/>
      <c r="J277" s="54"/>
    </row>
    <row r="278" spans="1:10" ht="13.2" customHeight="1">
      <c r="A278" s="54"/>
      <c r="B278" s="54"/>
      <c r="C278" s="54"/>
      <c r="D278" s="54"/>
      <c r="E278" s="54"/>
      <c r="F278" s="301"/>
      <c r="G278" s="301"/>
      <c r="H278" s="54"/>
      <c r="I278" s="54"/>
      <c r="J278" s="54"/>
    </row>
    <row r="279" spans="1:10" ht="13.2" customHeight="1">
      <c r="A279" s="54"/>
      <c r="B279" s="54"/>
      <c r="C279" s="54"/>
      <c r="D279" s="54"/>
      <c r="E279" s="54"/>
      <c r="F279" s="301"/>
      <c r="G279" s="301"/>
      <c r="H279" s="54"/>
      <c r="I279" s="54"/>
      <c r="J279" s="54"/>
    </row>
    <row r="280" spans="1:10" ht="13.2" customHeight="1">
      <c r="A280" s="54"/>
      <c r="B280" s="54"/>
      <c r="C280" s="54"/>
      <c r="D280" s="54"/>
      <c r="E280" s="54"/>
      <c r="F280" s="301"/>
      <c r="G280" s="301"/>
      <c r="H280" s="54"/>
      <c r="I280" s="54"/>
      <c r="J280" s="54"/>
    </row>
    <row r="281" spans="1:10" ht="13.2" customHeight="1">
      <c r="A281" s="54"/>
      <c r="B281" s="54"/>
      <c r="C281" s="54"/>
      <c r="D281" s="54"/>
      <c r="E281" s="54"/>
      <c r="F281" s="301"/>
      <c r="G281" s="301"/>
      <c r="H281" s="54"/>
      <c r="I281" s="54"/>
      <c r="J281" s="54"/>
    </row>
    <row r="282" spans="1:10" ht="13.2" customHeight="1">
      <c r="A282" s="54"/>
      <c r="B282" s="54"/>
      <c r="C282" s="54"/>
      <c r="D282" s="54"/>
      <c r="E282" s="54"/>
      <c r="F282" s="301"/>
      <c r="G282" s="301"/>
      <c r="H282" s="54"/>
      <c r="I282" s="54"/>
      <c r="J282" s="54"/>
    </row>
    <row r="283" spans="1:10" ht="13.2" customHeight="1">
      <c r="A283" s="54"/>
      <c r="B283" s="54"/>
      <c r="C283" s="54"/>
      <c r="D283" s="54"/>
      <c r="E283" s="54"/>
      <c r="F283" s="301"/>
      <c r="G283" s="301"/>
      <c r="H283" s="54"/>
      <c r="I283" s="54"/>
      <c r="J283" s="54"/>
    </row>
    <row r="284" spans="1:10" ht="13.2" customHeight="1">
      <c r="A284" s="54"/>
      <c r="B284" s="54"/>
      <c r="C284" s="54"/>
      <c r="D284" s="54"/>
      <c r="E284" s="54"/>
      <c r="F284" s="301"/>
      <c r="G284" s="301"/>
      <c r="H284" s="54"/>
      <c r="I284" s="54"/>
      <c r="J284" s="54"/>
    </row>
    <row r="285" spans="1:10" ht="13.2" customHeight="1">
      <c r="A285" s="54"/>
      <c r="B285" s="54"/>
      <c r="C285" s="54"/>
      <c r="D285" s="54"/>
      <c r="E285" s="54"/>
      <c r="F285" s="301"/>
      <c r="G285" s="301"/>
      <c r="H285" s="54"/>
      <c r="I285" s="54"/>
      <c r="J285" s="54"/>
    </row>
    <row r="286" spans="1:10" ht="13.2" customHeight="1">
      <c r="A286" s="54"/>
      <c r="B286" s="54"/>
      <c r="C286" s="54"/>
      <c r="D286" s="54"/>
      <c r="E286" s="54"/>
      <c r="F286" s="301"/>
      <c r="G286" s="301"/>
      <c r="H286" s="54"/>
      <c r="I286" s="54"/>
      <c r="J286" s="54"/>
    </row>
    <row r="287" spans="1:10" ht="13.2" customHeight="1">
      <c r="A287" s="54"/>
      <c r="B287" s="54"/>
      <c r="C287" s="54"/>
      <c r="D287" s="54"/>
      <c r="E287" s="54"/>
      <c r="F287" s="301"/>
      <c r="G287" s="301"/>
      <c r="H287" s="54"/>
      <c r="I287" s="54"/>
      <c r="J287" s="54"/>
    </row>
    <row r="288" spans="1:10" ht="13.2" customHeight="1">
      <c r="A288" s="54"/>
      <c r="B288" s="54"/>
      <c r="C288" s="54"/>
      <c r="D288" s="54"/>
      <c r="E288" s="54"/>
      <c r="F288" s="301"/>
      <c r="G288" s="301"/>
      <c r="H288" s="54"/>
      <c r="I288" s="54"/>
      <c r="J288" s="54"/>
    </row>
    <row r="289" spans="1:10" ht="13.2" customHeight="1">
      <c r="A289" s="54"/>
      <c r="B289" s="54"/>
      <c r="C289" s="54"/>
      <c r="D289" s="54"/>
      <c r="E289" s="54"/>
      <c r="F289" s="301"/>
      <c r="G289" s="301"/>
      <c r="H289" s="54"/>
      <c r="I289" s="54"/>
      <c r="J289" s="54"/>
    </row>
    <row r="290" spans="1:10" ht="13.2" customHeight="1">
      <c r="A290" s="54"/>
      <c r="B290" s="54"/>
      <c r="C290" s="54"/>
      <c r="D290" s="54"/>
      <c r="E290" s="54"/>
      <c r="F290" s="301"/>
      <c r="G290" s="301"/>
      <c r="H290" s="54"/>
      <c r="I290" s="54"/>
      <c r="J290" s="54"/>
    </row>
    <row r="291" spans="1:10" ht="13.2" customHeight="1">
      <c r="A291" s="54"/>
      <c r="B291" s="54"/>
      <c r="C291" s="54"/>
      <c r="D291" s="54"/>
      <c r="E291" s="54"/>
      <c r="F291" s="301"/>
      <c r="G291" s="301"/>
      <c r="H291" s="54"/>
      <c r="I291" s="54"/>
      <c r="J291" s="54"/>
    </row>
    <row r="292" spans="1:10" ht="13.2" customHeight="1">
      <c r="A292" s="54"/>
      <c r="B292" s="54"/>
      <c r="C292" s="54"/>
      <c r="D292" s="54"/>
      <c r="E292" s="54"/>
      <c r="F292" s="301"/>
      <c r="G292" s="301"/>
      <c r="H292" s="54"/>
      <c r="I292" s="54"/>
      <c r="J292" s="54"/>
    </row>
    <row r="293" spans="1:10" ht="13.2" customHeight="1">
      <c r="A293" s="54"/>
      <c r="B293" s="54"/>
      <c r="C293" s="54"/>
      <c r="D293" s="54"/>
      <c r="E293" s="54"/>
      <c r="F293" s="301"/>
      <c r="G293" s="301"/>
      <c r="H293" s="54"/>
      <c r="I293" s="54"/>
      <c r="J293" s="54"/>
    </row>
    <row r="294" spans="1:10" ht="13.2" customHeight="1">
      <c r="A294" s="54"/>
      <c r="B294" s="54"/>
      <c r="C294" s="54"/>
      <c r="D294" s="54"/>
      <c r="E294" s="54"/>
      <c r="F294" s="301"/>
      <c r="G294" s="301"/>
      <c r="H294" s="54"/>
      <c r="I294" s="54"/>
      <c r="J294" s="54"/>
    </row>
    <row r="295" spans="1:10" ht="13.2" customHeight="1">
      <c r="A295" s="54"/>
      <c r="B295" s="54"/>
      <c r="C295" s="54"/>
      <c r="D295" s="54"/>
      <c r="E295" s="54"/>
      <c r="F295" s="301"/>
      <c r="G295" s="301"/>
      <c r="H295" s="54"/>
      <c r="I295" s="54"/>
      <c r="J295" s="54"/>
    </row>
    <row r="296" spans="1:10" ht="13.2" customHeight="1">
      <c r="A296" s="54"/>
      <c r="B296" s="54"/>
      <c r="C296" s="54"/>
      <c r="D296" s="54"/>
      <c r="E296" s="54"/>
      <c r="F296" s="301"/>
      <c r="G296" s="301"/>
      <c r="H296" s="54"/>
      <c r="I296" s="54"/>
      <c r="J296" s="54"/>
    </row>
    <row r="297" spans="1:10" ht="13.2" customHeight="1">
      <c r="A297" s="54"/>
      <c r="B297" s="54"/>
      <c r="C297" s="54"/>
      <c r="D297" s="54"/>
      <c r="E297" s="54"/>
      <c r="F297" s="301"/>
      <c r="G297" s="301"/>
      <c r="H297" s="54"/>
      <c r="I297" s="54"/>
      <c r="J297" s="54"/>
    </row>
    <row r="298" spans="1:10" ht="13.2" customHeight="1">
      <c r="A298" s="54"/>
      <c r="B298" s="54"/>
      <c r="C298" s="54"/>
      <c r="D298" s="54"/>
      <c r="E298" s="54"/>
      <c r="F298" s="301"/>
      <c r="G298" s="301"/>
      <c r="H298" s="54"/>
      <c r="I298" s="54"/>
      <c r="J298" s="54"/>
    </row>
    <row r="299" spans="1:10" ht="13.2" customHeight="1">
      <c r="A299" s="54"/>
      <c r="B299" s="54"/>
      <c r="C299" s="54"/>
      <c r="D299" s="54"/>
      <c r="E299" s="54"/>
      <c r="F299" s="301"/>
      <c r="G299" s="301"/>
      <c r="H299" s="54"/>
      <c r="I299" s="54"/>
      <c r="J299" s="54"/>
    </row>
    <row r="300" spans="1:10" ht="13.2" customHeight="1">
      <c r="A300" s="54"/>
      <c r="B300" s="54"/>
      <c r="C300" s="54"/>
      <c r="D300" s="54"/>
      <c r="E300" s="54"/>
      <c r="F300" s="301"/>
      <c r="G300" s="301"/>
      <c r="H300" s="54"/>
      <c r="I300" s="54"/>
      <c r="J300" s="54"/>
    </row>
    <row r="301" spans="1:10" ht="13.2" customHeight="1">
      <c r="A301" s="54"/>
      <c r="B301" s="54"/>
      <c r="C301" s="54"/>
      <c r="D301" s="54"/>
      <c r="E301" s="54"/>
      <c r="F301" s="301"/>
      <c r="G301" s="301"/>
      <c r="H301" s="54"/>
      <c r="I301" s="54"/>
      <c r="J301" s="54"/>
    </row>
    <row r="302" spans="1:10" ht="13.2" customHeight="1">
      <c r="A302" s="54"/>
      <c r="B302" s="54"/>
      <c r="C302" s="54"/>
      <c r="D302" s="54"/>
      <c r="E302" s="54"/>
      <c r="F302" s="301"/>
      <c r="G302" s="301"/>
      <c r="H302" s="54"/>
      <c r="I302" s="54"/>
      <c r="J302" s="54"/>
    </row>
    <row r="303" spans="1:10" ht="13.2" customHeight="1">
      <c r="A303" s="54"/>
      <c r="B303" s="54"/>
      <c r="C303" s="54"/>
      <c r="D303" s="54"/>
      <c r="E303" s="54"/>
      <c r="F303" s="301"/>
      <c r="G303" s="301"/>
      <c r="H303" s="54"/>
      <c r="I303" s="54"/>
      <c r="J303" s="54"/>
    </row>
    <row r="304" spans="1:10" ht="13.2" customHeight="1">
      <c r="A304" s="54"/>
      <c r="B304" s="54"/>
      <c r="C304" s="54"/>
      <c r="D304" s="54"/>
      <c r="E304" s="54"/>
      <c r="F304" s="301"/>
      <c r="G304" s="301"/>
      <c r="H304" s="54"/>
      <c r="I304" s="54"/>
      <c r="J304" s="54"/>
    </row>
    <row r="305" spans="1:10" ht="13.2" customHeight="1">
      <c r="A305" s="54"/>
      <c r="B305" s="54"/>
      <c r="C305" s="54"/>
      <c r="D305" s="54"/>
      <c r="E305" s="54"/>
      <c r="F305" s="301"/>
      <c r="G305" s="301"/>
      <c r="H305" s="54"/>
      <c r="I305" s="54"/>
      <c r="J305" s="54"/>
    </row>
    <row r="306" spans="1:10" ht="13.2" customHeight="1">
      <c r="A306" s="54"/>
      <c r="B306" s="54"/>
      <c r="C306" s="54"/>
      <c r="D306" s="54"/>
      <c r="E306" s="54"/>
      <c r="F306" s="301"/>
      <c r="G306" s="301"/>
      <c r="H306" s="54"/>
      <c r="I306" s="54"/>
      <c r="J306" s="54"/>
    </row>
    <row r="307" spans="1:10" ht="13.2" customHeight="1">
      <c r="A307" s="54"/>
      <c r="B307" s="54"/>
      <c r="C307" s="54"/>
      <c r="D307" s="54"/>
      <c r="E307" s="54"/>
      <c r="F307" s="301"/>
      <c r="G307" s="301"/>
      <c r="H307" s="54"/>
      <c r="I307" s="54"/>
      <c r="J307" s="54"/>
    </row>
    <row r="308" spans="1:10" ht="13.2" customHeight="1">
      <c r="A308" s="54"/>
      <c r="B308" s="54"/>
      <c r="C308" s="54"/>
      <c r="D308" s="54"/>
      <c r="E308" s="54"/>
      <c r="F308" s="301"/>
      <c r="G308" s="301"/>
      <c r="H308" s="54"/>
      <c r="I308" s="54"/>
      <c r="J308" s="54"/>
    </row>
    <row r="309" spans="1:10" ht="13.2" customHeight="1">
      <c r="A309" s="54"/>
      <c r="B309" s="54"/>
      <c r="C309" s="54"/>
      <c r="D309" s="54"/>
      <c r="E309" s="54"/>
      <c r="F309" s="301"/>
      <c r="G309" s="301"/>
      <c r="H309" s="54"/>
      <c r="I309" s="54"/>
      <c r="J309" s="54"/>
    </row>
    <row r="310" spans="1:10" ht="13.2" customHeight="1">
      <c r="A310" s="54"/>
      <c r="B310" s="54"/>
      <c r="C310" s="54"/>
      <c r="D310" s="54"/>
      <c r="E310" s="54"/>
      <c r="F310" s="301"/>
      <c r="G310" s="301"/>
      <c r="H310" s="54"/>
      <c r="I310" s="54"/>
      <c r="J310" s="54"/>
    </row>
    <row r="311" spans="1:10" ht="13.2" customHeight="1">
      <c r="A311" s="54"/>
      <c r="B311" s="54"/>
      <c r="C311" s="54"/>
      <c r="D311" s="54"/>
      <c r="E311" s="54"/>
      <c r="F311" s="301"/>
      <c r="G311" s="301"/>
      <c r="H311" s="54"/>
      <c r="I311" s="54"/>
      <c r="J311" s="54"/>
    </row>
    <row r="312" spans="1:10" ht="13.2" customHeight="1">
      <c r="A312" s="54"/>
      <c r="B312" s="54"/>
      <c r="C312" s="54"/>
      <c r="D312" s="54"/>
      <c r="E312" s="54"/>
      <c r="F312" s="301"/>
      <c r="G312" s="301"/>
      <c r="H312" s="54"/>
      <c r="I312" s="54"/>
      <c r="J312" s="54"/>
    </row>
    <row r="313" spans="1:10" ht="13.2" customHeight="1">
      <c r="A313" s="54"/>
      <c r="B313" s="54"/>
      <c r="C313" s="54"/>
      <c r="D313" s="54"/>
      <c r="E313" s="54"/>
      <c r="F313" s="301"/>
      <c r="G313" s="301"/>
      <c r="H313" s="54"/>
      <c r="I313" s="54"/>
      <c r="J313" s="54"/>
    </row>
    <row r="314" spans="1:10" ht="13.2" customHeight="1">
      <c r="A314" s="54"/>
      <c r="B314" s="54"/>
      <c r="C314" s="54"/>
      <c r="D314" s="54"/>
      <c r="E314" s="54"/>
      <c r="F314" s="301"/>
      <c r="G314" s="301"/>
      <c r="H314" s="54"/>
      <c r="I314" s="54"/>
      <c r="J314" s="54"/>
    </row>
    <row r="315" spans="1:10" ht="13.2" customHeight="1">
      <c r="A315" s="54"/>
      <c r="B315" s="54"/>
      <c r="C315" s="54"/>
      <c r="D315" s="54"/>
      <c r="E315" s="54"/>
      <c r="F315" s="301"/>
      <c r="G315" s="301"/>
      <c r="H315" s="54"/>
      <c r="I315" s="54"/>
      <c r="J315" s="54"/>
    </row>
    <row r="316" spans="1:10" ht="13.2" customHeight="1">
      <c r="A316" s="54"/>
      <c r="B316" s="54"/>
      <c r="C316" s="54"/>
      <c r="D316" s="54"/>
      <c r="E316" s="54"/>
      <c r="F316" s="301"/>
      <c r="G316" s="301"/>
      <c r="H316" s="54"/>
      <c r="I316" s="54"/>
      <c r="J316" s="54"/>
    </row>
    <row r="317" spans="1:10" ht="13.2" customHeight="1">
      <c r="A317" s="54"/>
      <c r="B317" s="54"/>
      <c r="C317" s="54"/>
      <c r="D317" s="54"/>
      <c r="E317" s="54"/>
      <c r="F317" s="301"/>
      <c r="G317" s="301"/>
      <c r="H317" s="54"/>
      <c r="I317" s="54"/>
      <c r="J317" s="54"/>
    </row>
    <row r="318" spans="1:10" ht="13.2" customHeight="1">
      <c r="A318" s="54"/>
      <c r="B318" s="54"/>
      <c r="C318" s="54"/>
      <c r="D318" s="54"/>
      <c r="E318" s="54"/>
      <c r="F318" s="301"/>
      <c r="G318" s="301"/>
      <c r="H318" s="54"/>
      <c r="I318" s="54"/>
      <c r="J318" s="54"/>
    </row>
    <row r="319" spans="1:10" ht="13.2" customHeight="1">
      <c r="A319" s="54"/>
      <c r="B319" s="54"/>
      <c r="C319" s="54"/>
      <c r="D319" s="54"/>
      <c r="E319" s="54"/>
      <c r="F319" s="301"/>
      <c r="G319" s="301"/>
      <c r="H319" s="54"/>
      <c r="I319" s="54"/>
      <c r="J319" s="54"/>
    </row>
    <row r="320" spans="1:10" ht="13.2" customHeight="1">
      <c r="A320" s="54"/>
      <c r="B320" s="54"/>
      <c r="C320" s="54"/>
      <c r="D320" s="54"/>
      <c r="E320" s="54"/>
      <c r="F320" s="301"/>
      <c r="G320" s="301"/>
      <c r="H320" s="54"/>
      <c r="I320" s="54"/>
      <c r="J320" s="54"/>
    </row>
    <row r="321" spans="1:10" ht="13.2" customHeight="1">
      <c r="A321" s="54"/>
      <c r="B321" s="54"/>
      <c r="C321" s="54"/>
      <c r="D321" s="54"/>
      <c r="E321" s="54"/>
      <c r="F321" s="301"/>
      <c r="G321" s="301"/>
      <c r="H321" s="54"/>
      <c r="I321" s="54"/>
      <c r="J321" s="54"/>
    </row>
    <row r="322" spans="1:10" ht="13.2" customHeight="1">
      <c r="A322" s="54"/>
      <c r="B322" s="54"/>
      <c r="C322" s="54"/>
      <c r="D322" s="54"/>
      <c r="E322" s="54"/>
      <c r="F322" s="301"/>
      <c r="G322" s="301"/>
      <c r="H322" s="54"/>
      <c r="I322" s="54"/>
      <c r="J322" s="54"/>
    </row>
    <row r="323" spans="1:10" ht="13.2" customHeight="1">
      <c r="A323" s="54"/>
      <c r="B323" s="54"/>
      <c r="C323" s="54"/>
      <c r="D323" s="54"/>
      <c r="E323" s="54"/>
      <c r="F323" s="301"/>
      <c r="G323" s="301"/>
      <c r="H323" s="54"/>
      <c r="I323" s="54"/>
      <c r="J323" s="54"/>
    </row>
    <row r="324" spans="1:10" ht="13.2" customHeight="1">
      <c r="A324" s="54"/>
      <c r="B324" s="54"/>
      <c r="C324" s="54"/>
      <c r="D324" s="54"/>
      <c r="E324" s="54"/>
      <c r="F324" s="301"/>
      <c r="G324" s="301"/>
      <c r="H324" s="54"/>
      <c r="I324" s="54"/>
      <c r="J324" s="54"/>
    </row>
    <row r="325" spans="1:10" ht="13.2" customHeight="1">
      <c r="A325" s="54"/>
      <c r="B325" s="54"/>
      <c r="C325" s="54"/>
      <c r="D325" s="54"/>
      <c r="E325" s="54"/>
      <c r="F325" s="301"/>
      <c r="G325" s="301"/>
      <c r="H325" s="54"/>
      <c r="I325" s="54"/>
      <c r="J325" s="54"/>
    </row>
    <row r="326" spans="1:10" ht="13.2" customHeight="1">
      <c r="A326" s="54"/>
      <c r="B326" s="54"/>
      <c r="C326" s="54"/>
      <c r="D326" s="54"/>
      <c r="E326" s="54"/>
      <c r="F326" s="301"/>
      <c r="G326" s="301"/>
      <c r="H326" s="54"/>
      <c r="I326" s="54"/>
      <c r="J326" s="54"/>
    </row>
    <row r="327" spans="1:10" ht="13.2" customHeight="1">
      <c r="A327" s="54"/>
      <c r="B327" s="54"/>
      <c r="C327" s="54"/>
      <c r="D327" s="54"/>
      <c r="E327" s="54"/>
      <c r="F327" s="301"/>
      <c r="G327" s="301"/>
      <c r="H327" s="54"/>
      <c r="I327" s="54"/>
      <c r="J327" s="54"/>
    </row>
    <row r="328" spans="1:10" ht="13.2" customHeight="1">
      <c r="A328" s="54"/>
      <c r="B328" s="54"/>
      <c r="C328" s="54"/>
      <c r="D328" s="54"/>
      <c r="E328" s="54"/>
      <c r="F328" s="301"/>
      <c r="G328" s="301"/>
      <c r="H328" s="54"/>
      <c r="I328" s="54"/>
      <c r="J328" s="54"/>
    </row>
    <row r="329" spans="1:10" ht="13.2" customHeight="1">
      <c r="A329" s="54"/>
      <c r="B329" s="54"/>
      <c r="C329" s="54"/>
      <c r="D329" s="54"/>
      <c r="E329" s="54"/>
      <c r="F329" s="301"/>
      <c r="G329" s="301"/>
      <c r="H329" s="54"/>
      <c r="I329" s="54"/>
      <c r="J329" s="54"/>
    </row>
    <row r="330" spans="1:10" ht="13.2" customHeight="1">
      <c r="A330" s="54"/>
      <c r="B330" s="54"/>
      <c r="C330" s="54"/>
      <c r="D330" s="54"/>
      <c r="E330" s="54"/>
      <c r="F330" s="301"/>
      <c r="G330" s="301"/>
      <c r="H330" s="54"/>
      <c r="I330" s="54"/>
      <c r="J330" s="54"/>
    </row>
    <row r="331" spans="1:10" ht="13.2" customHeight="1">
      <c r="A331" s="54"/>
      <c r="B331" s="54"/>
      <c r="C331" s="54"/>
      <c r="D331" s="54"/>
      <c r="E331" s="54"/>
      <c r="F331" s="301"/>
      <c r="G331" s="301"/>
      <c r="H331" s="54"/>
      <c r="I331" s="54"/>
      <c r="J331" s="54"/>
    </row>
    <row r="332" spans="1:10" ht="13.2" customHeight="1">
      <c r="A332" s="54"/>
      <c r="B332" s="54"/>
      <c r="C332" s="54"/>
      <c r="D332" s="54"/>
      <c r="E332" s="54"/>
      <c r="F332" s="301"/>
      <c r="G332" s="301"/>
      <c r="H332" s="54"/>
      <c r="I332" s="54"/>
      <c r="J332" s="54"/>
    </row>
    <row r="333" spans="1:10" ht="13.2" customHeight="1">
      <c r="A333" s="54"/>
      <c r="B333" s="54"/>
      <c r="C333" s="54"/>
      <c r="D333" s="54"/>
      <c r="E333" s="54"/>
      <c r="F333" s="301"/>
      <c r="G333" s="301"/>
      <c r="H333" s="54"/>
      <c r="I333" s="54"/>
      <c r="J333" s="54"/>
    </row>
    <row r="334" spans="1:10" ht="13.2" customHeight="1">
      <c r="A334" s="54"/>
      <c r="B334" s="54"/>
      <c r="C334" s="54"/>
      <c r="D334" s="54"/>
      <c r="E334" s="54"/>
      <c r="F334" s="301"/>
      <c r="G334" s="301"/>
      <c r="H334" s="54"/>
      <c r="I334" s="54"/>
      <c r="J334" s="54"/>
    </row>
    <row r="335" spans="1:10" ht="13.2" customHeight="1">
      <c r="A335" s="54"/>
      <c r="B335" s="54"/>
      <c r="C335" s="54"/>
      <c r="D335" s="54"/>
      <c r="E335" s="54"/>
      <c r="F335" s="301"/>
      <c r="G335" s="301"/>
      <c r="H335" s="54"/>
      <c r="I335" s="54"/>
      <c r="J335" s="54"/>
    </row>
    <row r="336" spans="1:10" ht="13.2" customHeight="1">
      <c r="A336" s="54"/>
      <c r="B336" s="54"/>
      <c r="C336" s="54"/>
      <c r="D336" s="54"/>
      <c r="E336" s="54"/>
      <c r="F336" s="301"/>
      <c r="G336" s="301"/>
      <c r="H336" s="54"/>
      <c r="I336" s="54"/>
      <c r="J336" s="54"/>
    </row>
    <row r="337" spans="1:10" ht="13.2" customHeight="1">
      <c r="A337" s="54"/>
      <c r="B337" s="54"/>
      <c r="C337" s="54"/>
      <c r="D337" s="54"/>
      <c r="E337" s="54"/>
      <c r="F337" s="301"/>
      <c r="G337" s="301"/>
      <c r="H337" s="54"/>
      <c r="I337" s="54"/>
      <c r="J337" s="54"/>
    </row>
    <row r="338" spans="1:10" ht="13.2" customHeight="1">
      <c r="A338" s="54"/>
      <c r="B338" s="54"/>
      <c r="C338" s="54"/>
      <c r="D338" s="54"/>
      <c r="E338" s="54"/>
      <c r="F338" s="301"/>
      <c r="G338" s="301"/>
      <c r="H338" s="54"/>
      <c r="I338" s="54"/>
      <c r="J338" s="54"/>
    </row>
    <row r="339" spans="1:10" ht="13.2" customHeight="1">
      <c r="A339" s="54"/>
      <c r="B339" s="54"/>
      <c r="C339" s="54"/>
      <c r="D339" s="54"/>
      <c r="E339" s="54"/>
      <c r="F339" s="301"/>
      <c r="G339" s="301"/>
      <c r="H339" s="54"/>
      <c r="I339" s="54"/>
      <c r="J339" s="54"/>
    </row>
    <row r="340" spans="1:10" ht="13.2" customHeight="1">
      <c r="A340" s="54"/>
      <c r="B340" s="54"/>
      <c r="C340" s="54"/>
      <c r="D340" s="54"/>
      <c r="E340" s="54"/>
      <c r="F340" s="301"/>
      <c r="G340" s="301"/>
      <c r="H340" s="54"/>
      <c r="I340" s="54"/>
      <c r="J340" s="54"/>
    </row>
    <row r="341" spans="1:10" ht="13.2" customHeight="1">
      <c r="A341" s="54"/>
      <c r="B341" s="54"/>
      <c r="C341" s="54"/>
      <c r="D341" s="54"/>
      <c r="E341" s="54"/>
      <c r="F341" s="301"/>
      <c r="G341" s="301"/>
      <c r="H341" s="54"/>
      <c r="I341" s="54"/>
      <c r="J341" s="54"/>
    </row>
    <row r="342" spans="1:10" ht="13.2" customHeight="1">
      <c r="A342" s="54"/>
      <c r="B342" s="54"/>
      <c r="C342" s="54"/>
      <c r="D342" s="54"/>
      <c r="E342" s="54"/>
      <c r="F342" s="301"/>
      <c r="G342" s="301"/>
      <c r="H342" s="54"/>
      <c r="I342" s="54"/>
      <c r="J342" s="54"/>
    </row>
    <row r="343" spans="1:10" ht="13.2" customHeight="1">
      <c r="A343" s="54"/>
      <c r="B343" s="54"/>
      <c r="C343" s="54"/>
      <c r="D343" s="54"/>
      <c r="E343" s="54"/>
      <c r="F343" s="301"/>
      <c r="G343" s="301"/>
      <c r="H343" s="54"/>
      <c r="I343" s="54"/>
      <c r="J343" s="54"/>
    </row>
    <row r="344" spans="1:10" ht="13.2" customHeight="1">
      <c r="A344" s="54"/>
      <c r="B344" s="54"/>
      <c r="C344" s="54"/>
      <c r="D344" s="54"/>
      <c r="E344" s="54"/>
      <c r="F344" s="301"/>
      <c r="G344" s="301"/>
      <c r="H344" s="54"/>
      <c r="I344" s="54"/>
      <c r="J344" s="54"/>
    </row>
    <row r="345" spans="1:10" ht="13.2" customHeight="1">
      <c r="A345" s="54"/>
      <c r="B345" s="54"/>
      <c r="C345" s="54"/>
      <c r="D345" s="54"/>
      <c r="E345" s="54"/>
      <c r="F345" s="301"/>
      <c r="G345" s="301"/>
      <c r="H345" s="54"/>
      <c r="I345" s="54"/>
      <c r="J345" s="54"/>
    </row>
    <row r="346" spans="1:10" ht="13.2" customHeight="1">
      <c r="A346" s="54"/>
      <c r="B346" s="54"/>
      <c r="C346" s="54"/>
      <c r="D346" s="54"/>
      <c r="E346" s="54"/>
      <c r="F346" s="301"/>
      <c r="G346" s="301"/>
      <c r="H346" s="54"/>
      <c r="I346" s="54"/>
      <c r="J346" s="54"/>
    </row>
    <row r="347" spans="1:10" ht="13.2" customHeight="1">
      <c r="A347" s="54"/>
      <c r="B347" s="54"/>
      <c r="C347" s="54"/>
      <c r="D347" s="54"/>
      <c r="E347" s="54"/>
      <c r="F347" s="301"/>
      <c r="G347" s="301"/>
      <c r="H347" s="54"/>
      <c r="I347" s="54"/>
      <c r="J347" s="54"/>
    </row>
    <row r="348" spans="1:10" ht="13.2" customHeight="1">
      <c r="A348" s="54"/>
      <c r="B348" s="54"/>
      <c r="C348" s="54"/>
      <c r="D348" s="54"/>
      <c r="E348" s="54"/>
      <c r="F348" s="301"/>
      <c r="G348" s="301"/>
      <c r="H348" s="54"/>
      <c r="I348" s="54"/>
      <c r="J348" s="54"/>
    </row>
    <row r="349" spans="1:10" ht="13.2" customHeight="1">
      <c r="A349" s="54"/>
      <c r="B349" s="54"/>
      <c r="C349" s="54"/>
      <c r="D349" s="54"/>
      <c r="E349" s="54"/>
      <c r="F349" s="301"/>
      <c r="G349" s="301"/>
      <c r="H349" s="54"/>
      <c r="I349" s="54"/>
      <c r="J349" s="54"/>
    </row>
    <row r="350" spans="1:10" ht="13.2" customHeight="1">
      <c r="A350" s="54"/>
      <c r="B350" s="54"/>
      <c r="C350" s="54"/>
      <c r="D350" s="54"/>
      <c r="E350" s="54"/>
      <c r="F350" s="301"/>
      <c r="G350" s="301"/>
      <c r="H350" s="54"/>
      <c r="I350" s="54"/>
      <c r="J350" s="54"/>
    </row>
    <row r="351" spans="1:10" ht="13.2" customHeight="1">
      <c r="A351" s="54"/>
      <c r="B351" s="54"/>
      <c r="C351" s="54"/>
      <c r="D351" s="54"/>
      <c r="E351" s="54"/>
      <c r="F351" s="301"/>
      <c r="G351" s="301"/>
      <c r="H351" s="54"/>
      <c r="I351" s="54"/>
      <c r="J351" s="54"/>
    </row>
    <row r="352" spans="1:10" ht="13.2" customHeight="1">
      <c r="A352" s="54"/>
      <c r="B352" s="54"/>
      <c r="C352" s="54"/>
      <c r="D352" s="54"/>
      <c r="E352" s="54"/>
      <c r="F352" s="301"/>
      <c r="G352" s="301"/>
      <c r="H352" s="54"/>
      <c r="I352" s="54"/>
      <c r="J352" s="54"/>
    </row>
    <row r="353" spans="1:10" ht="13.2" customHeight="1">
      <c r="A353" s="54"/>
      <c r="B353" s="54"/>
      <c r="C353" s="54"/>
      <c r="D353" s="54"/>
      <c r="E353" s="54"/>
      <c r="F353" s="301"/>
      <c r="G353" s="301"/>
      <c r="H353" s="54"/>
      <c r="I353" s="54"/>
      <c r="J353" s="54"/>
    </row>
    <row r="354" spans="1:10" ht="13.2" customHeight="1">
      <c r="A354" s="54"/>
      <c r="B354" s="54"/>
      <c r="C354" s="54"/>
      <c r="D354" s="54"/>
      <c r="E354" s="54"/>
      <c r="F354" s="301"/>
      <c r="G354" s="301"/>
      <c r="H354" s="54"/>
      <c r="I354" s="54"/>
      <c r="J354" s="54"/>
    </row>
    <row r="355" spans="1:10" ht="13.2" customHeight="1">
      <c r="A355" s="54"/>
      <c r="B355" s="54"/>
      <c r="C355" s="54"/>
      <c r="D355" s="54"/>
      <c r="E355" s="54"/>
      <c r="F355" s="301"/>
      <c r="G355" s="301"/>
      <c r="H355" s="54"/>
      <c r="I355" s="54"/>
      <c r="J355" s="54"/>
    </row>
    <row r="356" spans="1:10" ht="13.2" customHeight="1">
      <c r="A356" s="54"/>
      <c r="B356" s="54"/>
      <c r="C356" s="54"/>
      <c r="D356" s="54"/>
      <c r="E356" s="54"/>
      <c r="F356" s="301"/>
      <c r="G356" s="301"/>
      <c r="H356" s="54"/>
      <c r="I356" s="54"/>
      <c r="J356" s="54"/>
    </row>
    <row r="357" spans="1:10" ht="13.2" customHeight="1">
      <c r="A357" s="54"/>
      <c r="B357" s="54"/>
      <c r="C357" s="54"/>
      <c r="D357" s="54"/>
      <c r="E357" s="54"/>
      <c r="F357" s="301"/>
      <c r="G357" s="301"/>
      <c r="H357" s="54"/>
      <c r="I357" s="54"/>
      <c r="J357" s="54"/>
    </row>
    <row r="358" spans="1:10" ht="13.2" customHeight="1">
      <c r="A358" s="54"/>
      <c r="B358" s="54"/>
      <c r="C358" s="54"/>
      <c r="D358" s="54"/>
      <c r="E358" s="54"/>
      <c r="F358" s="301"/>
      <c r="G358" s="301"/>
      <c r="H358" s="54"/>
      <c r="I358" s="54"/>
      <c r="J358" s="54"/>
    </row>
    <row r="359" spans="1:10" ht="13.2" customHeight="1">
      <c r="A359" s="54"/>
      <c r="B359" s="54"/>
      <c r="C359" s="54"/>
      <c r="D359" s="54"/>
      <c r="E359" s="54"/>
      <c r="F359" s="301"/>
      <c r="G359" s="301"/>
      <c r="H359" s="54"/>
      <c r="I359" s="54"/>
      <c r="J359" s="54"/>
    </row>
    <row r="360" spans="1:10" ht="13.2" customHeight="1">
      <c r="A360" s="54"/>
      <c r="B360" s="54"/>
      <c r="C360" s="54"/>
      <c r="D360" s="54"/>
      <c r="E360" s="54"/>
      <c r="F360" s="301"/>
      <c r="G360" s="301"/>
      <c r="H360" s="54"/>
      <c r="I360" s="54"/>
      <c r="J360" s="54"/>
    </row>
    <row r="361" spans="1:10" ht="13.2" customHeight="1">
      <c r="A361" s="54"/>
      <c r="B361" s="54"/>
      <c r="C361" s="54"/>
      <c r="D361" s="54"/>
      <c r="E361" s="54"/>
      <c r="F361" s="301"/>
      <c r="G361" s="301"/>
      <c r="H361" s="54"/>
      <c r="I361" s="54"/>
      <c r="J361" s="54"/>
    </row>
    <row r="362" spans="1:10" ht="13.2" customHeight="1">
      <c r="A362" s="54"/>
      <c r="B362" s="54"/>
      <c r="C362" s="54"/>
      <c r="D362" s="54"/>
      <c r="E362" s="54"/>
      <c r="F362" s="301"/>
      <c r="G362" s="301"/>
      <c r="H362" s="54"/>
      <c r="I362" s="54"/>
      <c r="J362" s="54"/>
    </row>
    <row r="363" spans="1:10" ht="13.2" customHeight="1">
      <c r="A363" s="54"/>
      <c r="B363" s="54"/>
      <c r="C363" s="54"/>
      <c r="D363" s="54"/>
      <c r="E363" s="54"/>
      <c r="F363" s="301"/>
      <c r="G363" s="301"/>
      <c r="H363" s="54"/>
      <c r="I363" s="54"/>
      <c r="J363" s="54"/>
    </row>
    <row r="364" spans="1:10" ht="13.2" customHeight="1">
      <c r="A364" s="54"/>
      <c r="B364" s="54"/>
      <c r="C364" s="54"/>
      <c r="D364" s="54"/>
      <c r="E364" s="54"/>
      <c r="F364" s="301"/>
      <c r="G364" s="301"/>
      <c r="H364" s="54"/>
      <c r="I364" s="54"/>
      <c r="J364" s="54"/>
    </row>
    <row r="365" spans="1:10" ht="13.2" customHeight="1">
      <c r="A365" s="54"/>
      <c r="B365" s="54"/>
      <c r="C365" s="54"/>
      <c r="D365" s="54"/>
      <c r="E365" s="54"/>
      <c r="F365" s="301"/>
      <c r="G365" s="301"/>
      <c r="H365" s="54"/>
      <c r="I365" s="54"/>
      <c r="J365" s="54"/>
    </row>
    <row r="366" spans="1:10" ht="13.2" customHeight="1">
      <c r="A366" s="54"/>
      <c r="B366" s="54"/>
      <c r="C366" s="54"/>
      <c r="D366" s="54"/>
      <c r="E366" s="54"/>
      <c r="F366" s="301"/>
      <c r="G366" s="301"/>
      <c r="H366" s="54"/>
      <c r="I366" s="54"/>
      <c r="J366" s="54"/>
    </row>
    <row r="367" spans="1:10" ht="13.2" customHeight="1">
      <c r="A367" s="54"/>
      <c r="B367" s="54"/>
      <c r="C367" s="54"/>
      <c r="D367" s="54"/>
      <c r="E367" s="54"/>
      <c r="F367" s="301"/>
      <c r="G367" s="301"/>
      <c r="H367" s="54"/>
      <c r="I367" s="54"/>
      <c r="J367" s="54"/>
    </row>
    <row r="368" spans="1:10" ht="13.2" customHeight="1">
      <c r="A368" s="54"/>
      <c r="B368" s="54"/>
      <c r="C368" s="54"/>
      <c r="D368" s="54"/>
      <c r="E368" s="54"/>
      <c r="F368" s="301"/>
      <c r="G368" s="301"/>
      <c r="H368" s="54"/>
      <c r="I368" s="54"/>
      <c r="J368" s="54"/>
    </row>
    <row r="369" spans="1:10" ht="13.2" customHeight="1">
      <c r="A369" s="54"/>
      <c r="B369" s="54"/>
      <c r="C369" s="54"/>
      <c r="D369" s="54"/>
      <c r="E369" s="54"/>
      <c r="F369" s="301"/>
      <c r="G369" s="301"/>
      <c r="H369" s="54"/>
      <c r="I369" s="54"/>
      <c r="J369" s="54"/>
    </row>
    <row r="370" spans="1:10" ht="13.2" customHeight="1">
      <c r="A370" s="54"/>
      <c r="B370" s="54"/>
      <c r="C370" s="54"/>
      <c r="D370" s="54"/>
      <c r="E370" s="54"/>
      <c r="F370" s="301"/>
      <c r="G370" s="301"/>
      <c r="H370" s="54"/>
      <c r="I370" s="54"/>
      <c r="J370" s="54"/>
    </row>
    <row r="371" spans="1:10" ht="13.2" customHeight="1">
      <c r="A371" s="54"/>
      <c r="B371" s="54"/>
      <c r="C371" s="54"/>
      <c r="D371" s="54"/>
      <c r="E371" s="54"/>
      <c r="F371" s="301"/>
      <c r="G371" s="301"/>
      <c r="H371" s="54"/>
      <c r="I371" s="54"/>
      <c r="J371" s="54"/>
    </row>
    <row r="372" spans="1:10" ht="13.2" customHeight="1">
      <c r="A372" s="54"/>
      <c r="B372" s="54"/>
      <c r="C372" s="54"/>
      <c r="D372" s="54"/>
      <c r="E372" s="54"/>
      <c r="F372" s="301"/>
      <c r="G372" s="301"/>
      <c r="H372" s="54"/>
      <c r="I372" s="54"/>
      <c r="J372" s="54"/>
    </row>
    <row r="373" spans="1:10" ht="13.2" customHeight="1">
      <c r="A373" s="54"/>
      <c r="B373" s="54"/>
      <c r="C373" s="54"/>
      <c r="D373" s="54"/>
      <c r="E373" s="54"/>
      <c r="F373" s="301"/>
      <c r="G373" s="301"/>
      <c r="H373" s="54"/>
      <c r="I373" s="54"/>
      <c r="J373" s="54"/>
    </row>
    <row r="374" spans="1:10" ht="13.2" customHeight="1">
      <c r="A374" s="54"/>
      <c r="B374" s="54"/>
      <c r="C374" s="54"/>
      <c r="D374" s="54"/>
      <c r="E374" s="54"/>
      <c r="F374" s="301"/>
      <c r="G374" s="301"/>
      <c r="H374" s="54"/>
      <c r="I374" s="54"/>
      <c r="J374" s="54"/>
    </row>
    <row r="375" spans="1:10" ht="13.2" customHeight="1">
      <c r="A375" s="54"/>
      <c r="B375" s="54"/>
      <c r="C375" s="54"/>
      <c r="D375" s="54"/>
      <c r="E375" s="54"/>
      <c r="F375" s="301"/>
      <c r="G375" s="301"/>
      <c r="H375" s="54"/>
      <c r="I375" s="54"/>
      <c r="J375" s="54"/>
    </row>
    <row r="376" spans="1:10" ht="13.2" customHeight="1">
      <c r="A376" s="54"/>
      <c r="B376" s="54"/>
      <c r="C376" s="54"/>
      <c r="D376" s="54"/>
      <c r="E376" s="54"/>
      <c r="F376" s="301"/>
      <c r="G376" s="301"/>
      <c r="H376" s="54"/>
      <c r="I376" s="54"/>
      <c r="J376" s="54"/>
    </row>
    <row r="377" spans="1:10" ht="13.2" customHeight="1">
      <c r="A377" s="54"/>
      <c r="B377" s="54"/>
      <c r="C377" s="54"/>
      <c r="D377" s="54"/>
      <c r="E377" s="54"/>
      <c r="F377" s="301"/>
      <c r="G377" s="301"/>
      <c r="H377" s="54"/>
      <c r="I377" s="54"/>
      <c r="J377" s="54"/>
    </row>
    <row r="378" spans="1:10" ht="13.2" customHeight="1">
      <c r="A378" s="54"/>
      <c r="B378" s="54"/>
      <c r="C378" s="54"/>
      <c r="D378" s="54"/>
      <c r="E378" s="54"/>
      <c r="F378" s="301"/>
      <c r="G378" s="301"/>
      <c r="H378" s="54"/>
      <c r="I378" s="54"/>
      <c r="J378" s="54"/>
    </row>
    <row r="379" spans="1:10" ht="13.2" customHeight="1">
      <c r="A379" s="54"/>
      <c r="B379" s="54"/>
      <c r="C379" s="54"/>
      <c r="D379" s="54"/>
      <c r="E379" s="54"/>
      <c r="F379" s="301"/>
      <c r="G379" s="301"/>
      <c r="H379" s="54"/>
      <c r="I379" s="54"/>
      <c r="J379" s="54"/>
    </row>
    <row r="380" spans="1:10" ht="13.2" customHeight="1">
      <c r="A380" s="54"/>
      <c r="B380" s="54"/>
      <c r="C380" s="54"/>
      <c r="D380" s="54"/>
      <c r="E380" s="54"/>
      <c r="F380" s="301"/>
      <c r="G380" s="301"/>
      <c r="H380" s="54"/>
      <c r="I380" s="54"/>
      <c r="J380" s="54"/>
    </row>
    <row r="381" spans="1:10" ht="13.2" customHeight="1">
      <c r="A381" s="54"/>
      <c r="B381" s="54"/>
      <c r="C381" s="54"/>
      <c r="D381" s="54"/>
      <c r="E381" s="54"/>
      <c r="F381" s="301"/>
      <c r="G381" s="301"/>
      <c r="H381" s="54"/>
      <c r="I381" s="54"/>
      <c r="J381" s="54"/>
    </row>
    <row r="382" spans="1:10" ht="13.2" customHeight="1">
      <c r="A382" s="54"/>
      <c r="B382" s="54"/>
      <c r="C382" s="54"/>
      <c r="D382" s="54"/>
      <c r="E382" s="54"/>
      <c r="F382" s="301"/>
      <c r="G382" s="301"/>
      <c r="H382" s="54"/>
      <c r="I382" s="54"/>
      <c r="J382" s="54"/>
    </row>
    <row r="383" spans="1:10" ht="13.2" customHeight="1">
      <c r="A383" s="54"/>
      <c r="B383" s="54"/>
      <c r="C383" s="54"/>
      <c r="D383" s="54"/>
      <c r="E383" s="54"/>
      <c r="F383" s="301"/>
      <c r="G383" s="301"/>
      <c r="H383" s="54"/>
      <c r="I383" s="54"/>
      <c r="J383" s="54"/>
    </row>
    <row r="384" spans="1:10" ht="13.2" customHeight="1">
      <c r="A384" s="54"/>
      <c r="B384" s="54"/>
      <c r="C384" s="54"/>
      <c r="D384" s="54"/>
      <c r="E384" s="54"/>
      <c r="F384" s="301"/>
      <c r="G384" s="301"/>
      <c r="H384" s="54"/>
      <c r="I384" s="54"/>
      <c r="J384" s="54"/>
    </row>
    <row r="385" spans="1:10" ht="13.2" customHeight="1">
      <c r="A385" s="54"/>
      <c r="B385" s="54"/>
      <c r="C385" s="54"/>
      <c r="D385" s="54"/>
      <c r="E385" s="54"/>
      <c r="F385" s="301"/>
      <c r="G385" s="301"/>
      <c r="H385" s="54"/>
      <c r="I385" s="54"/>
      <c r="J385" s="54"/>
    </row>
    <row r="386" spans="1:10" ht="13.2" customHeight="1">
      <c r="A386" s="54"/>
      <c r="B386" s="54"/>
      <c r="C386" s="54"/>
      <c r="D386" s="54"/>
      <c r="E386" s="54"/>
      <c r="F386" s="301"/>
      <c r="G386" s="301"/>
      <c r="H386" s="54"/>
      <c r="I386" s="54"/>
      <c r="J386" s="54"/>
    </row>
    <row r="387" spans="1:10" ht="13.2" customHeight="1">
      <c r="A387" s="54"/>
      <c r="B387" s="54"/>
      <c r="C387" s="54"/>
      <c r="D387" s="54"/>
      <c r="E387" s="54"/>
      <c r="F387" s="301"/>
      <c r="G387" s="301"/>
      <c r="H387" s="54"/>
      <c r="I387" s="54"/>
      <c r="J387" s="54"/>
    </row>
    <row r="388" spans="1:10" ht="13.2" customHeight="1">
      <c r="A388" s="54"/>
      <c r="B388" s="54"/>
      <c r="C388" s="54"/>
      <c r="D388" s="54"/>
      <c r="E388" s="54"/>
      <c r="F388" s="301"/>
      <c r="G388" s="301"/>
      <c r="H388" s="54"/>
      <c r="I388" s="54"/>
      <c r="J388" s="54"/>
    </row>
    <row r="389" spans="1:10" ht="13.2" customHeight="1">
      <c r="A389" s="54"/>
      <c r="B389" s="54"/>
      <c r="C389" s="54"/>
      <c r="D389" s="54"/>
      <c r="E389" s="54"/>
      <c r="F389" s="301"/>
      <c r="G389" s="301"/>
      <c r="H389" s="54"/>
      <c r="I389" s="54"/>
      <c r="J389" s="54"/>
    </row>
    <row r="390" spans="1:10" ht="13.2" customHeight="1">
      <c r="A390" s="54"/>
      <c r="B390" s="54"/>
      <c r="C390" s="54"/>
      <c r="D390" s="54"/>
      <c r="E390" s="54"/>
      <c r="F390" s="301"/>
      <c r="G390" s="301"/>
      <c r="H390" s="54"/>
      <c r="I390" s="54"/>
      <c r="J390" s="54"/>
    </row>
    <row r="391" spans="1:10" ht="13.2" customHeight="1">
      <c r="A391" s="54"/>
      <c r="B391" s="54"/>
      <c r="C391" s="54"/>
      <c r="D391" s="54"/>
      <c r="E391" s="54"/>
      <c r="F391" s="301"/>
      <c r="G391" s="301"/>
      <c r="H391" s="54"/>
      <c r="I391" s="54"/>
      <c r="J391" s="54"/>
    </row>
    <row r="392" spans="1:10" ht="13.2" customHeight="1">
      <c r="A392" s="54"/>
      <c r="B392" s="54"/>
      <c r="C392" s="54"/>
      <c r="D392" s="54"/>
      <c r="E392" s="54"/>
      <c r="F392" s="301"/>
      <c r="G392" s="301"/>
      <c r="H392" s="54"/>
      <c r="I392" s="54"/>
      <c r="J392" s="54"/>
    </row>
    <row r="393" spans="1:10" ht="13.2" customHeight="1">
      <c r="A393" s="54"/>
      <c r="B393" s="54"/>
      <c r="C393" s="54"/>
      <c r="D393" s="54"/>
      <c r="E393" s="54"/>
      <c r="F393" s="301"/>
      <c r="G393" s="301"/>
      <c r="H393" s="54"/>
      <c r="I393" s="54"/>
      <c r="J393" s="54"/>
    </row>
    <row r="394" spans="1:10" ht="13.2" customHeight="1">
      <c r="A394" s="54"/>
      <c r="B394" s="54"/>
      <c r="C394" s="54"/>
      <c r="D394" s="54"/>
      <c r="E394" s="54"/>
      <c r="F394" s="301"/>
      <c r="G394" s="301"/>
      <c r="H394" s="54"/>
      <c r="I394" s="54"/>
      <c r="J394" s="54"/>
    </row>
    <row r="395" spans="1:10" ht="13.2" customHeight="1">
      <c r="A395" s="54"/>
      <c r="B395" s="54"/>
      <c r="C395" s="54"/>
      <c r="D395" s="54"/>
      <c r="E395" s="54"/>
      <c r="F395" s="301"/>
      <c r="G395" s="301"/>
      <c r="H395" s="54"/>
      <c r="I395" s="54"/>
      <c r="J395" s="54"/>
    </row>
    <row r="396" spans="1:10" ht="13.2" customHeight="1">
      <c r="A396" s="54"/>
      <c r="B396" s="54"/>
      <c r="C396" s="54"/>
      <c r="D396" s="54"/>
      <c r="E396" s="54"/>
      <c r="F396" s="301"/>
      <c r="G396" s="301"/>
      <c r="H396" s="54"/>
      <c r="I396" s="54"/>
      <c r="J396" s="54"/>
    </row>
    <row r="397" spans="1:10" ht="13.2" customHeight="1">
      <c r="A397" s="54"/>
      <c r="B397" s="54"/>
      <c r="C397" s="54"/>
      <c r="D397" s="54"/>
      <c r="E397" s="54"/>
      <c r="F397" s="301"/>
      <c r="G397" s="301"/>
      <c r="H397" s="54"/>
      <c r="I397" s="54"/>
      <c r="J397" s="54"/>
    </row>
    <row r="398" spans="1:10" ht="13.2" customHeight="1">
      <c r="A398" s="54"/>
      <c r="B398" s="54"/>
      <c r="C398" s="54"/>
      <c r="D398" s="54"/>
      <c r="E398" s="54"/>
      <c r="F398" s="301"/>
      <c r="G398" s="301"/>
      <c r="H398" s="54"/>
      <c r="I398" s="54"/>
      <c r="J398" s="54"/>
    </row>
    <row r="399" spans="1:10" ht="13.2" customHeight="1">
      <c r="A399" s="54"/>
      <c r="B399" s="54"/>
      <c r="C399" s="54"/>
      <c r="D399" s="54"/>
      <c r="E399" s="54"/>
      <c r="F399" s="301"/>
      <c r="G399" s="301"/>
      <c r="H399" s="54"/>
      <c r="I399" s="54"/>
      <c r="J399" s="54"/>
    </row>
    <row r="400" spans="1:10" ht="13.2" customHeight="1">
      <c r="A400" s="54"/>
      <c r="B400" s="54"/>
      <c r="C400" s="54"/>
      <c r="D400" s="54"/>
      <c r="E400" s="54"/>
      <c r="F400" s="301"/>
      <c r="G400" s="301"/>
      <c r="H400" s="54"/>
      <c r="I400" s="54"/>
      <c r="J400" s="54"/>
    </row>
    <row r="401" spans="1:10" ht="13.2" customHeight="1">
      <c r="A401" s="54"/>
      <c r="B401" s="54"/>
      <c r="C401" s="54"/>
      <c r="D401" s="54"/>
      <c r="E401" s="54"/>
      <c r="F401" s="301"/>
      <c r="G401" s="301"/>
      <c r="H401" s="54"/>
      <c r="I401" s="54"/>
      <c r="J401" s="54"/>
    </row>
    <row r="402" spans="1:10" ht="13.2" customHeight="1">
      <c r="A402" s="54"/>
      <c r="B402" s="54"/>
      <c r="C402" s="54"/>
      <c r="D402" s="54"/>
      <c r="E402" s="54"/>
      <c r="F402" s="301"/>
      <c r="G402" s="301"/>
      <c r="H402" s="54"/>
      <c r="I402" s="54"/>
      <c r="J402" s="54"/>
    </row>
    <row r="403" spans="1:10" ht="13.2" customHeight="1">
      <c r="A403" s="54"/>
      <c r="B403" s="54"/>
      <c r="C403" s="54"/>
      <c r="D403" s="54"/>
      <c r="E403" s="54"/>
      <c r="F403" s="301"/>
      <c r="G403" s="301"/>
      <c r="H403" s="54"/>
      <c r="I403" s="54"/>
      <c r="J403" s="54"/>
    </row>
    <row r="404" spans="1:10" ht="13.2" customHeight="1">
      <c r="A404" s="54"/>
      <c r="B404" s="54"/>
      <c r="C404" s="54"/>
      <c r="D404" s="54"/>
      <c r="E404" s="54"/>
      <c r="F404" s="301"/>
      <c r="G404" s="301"/>
      <c r="H404" s="54"/>
      <c r="I404" s="54"/>
      <c r="J404" s="54"/>
    </row>
    <row r="405" spans="1:10" ht="13.2" customHeight="1">
      <c r="A405" s="54"/>
      <c r="B405" s="54"/>
      <c r="C405" s="54"/>
      <c r="D405" s="54"/>
      <c r="E405" s="54"/>
      <c r="F405" s="301"/>
      <c r="G405" s="301"/>
      <c r="H405" s="54"/>
      <c r="I405" s="54"/>
      <c r="J405" s="54"/>
    </row>
    <row r="406" spans="1:10" ht="13.2" customHeight="1">
      <c r="A406" s="54"/>
      <c r="B406" s="54"/>
      <c r="C406" s="54"/>
      <c r="D406" s="54"/>
      <c r="E406" s="54"/>
      <c r="F406" s="301"/>
      <c r="G406" s="301"/>
      <c r="H406" s="54"/>
      <c r="I406" s="54"/>
      <c r="J406" s="54"/>
    </row>
    <row r="407" spans="1:10" ht="13.2" customHeight="1">
      <c r="A407" s="54"/>
      <c r="B407" s="54"/>
      <c r="C407" s="54"/>
      <c r="D407" s="54"/>
      <c r="E407" s="54"/>
      <c r="F407" s="301"/>
      <c r="G407" s="301"/>
      <c r="H407" s="54"/>
      <c r="I407" s="54"/>
      <c r="J407" s="54"/>
    </row>
    <row r="408" spans="1:10" ht="13.2" customHeight="1">
      <c r="A408" s="54"/>
      <c r="B408" s="54"/>
      <c r="C408" s="54"/>
      <c r="D408" s="54"/>
      <c r="E408" s="54"/>
      <c r="F408" s="301"/>
      <c r="G408" s="301"/>
      <c r="H408" s="54"/>
      <c r="I408" s="54"/>
      <c r="J408" s="54"/>
    </row>
    <row r="409" spans="1:10" ht="13.2" customHeight="1">
      <c r="A409" s="54"/>
      <c r="B409" s="54"/>
      <c r="C409" s="54"/>
      <c r="D409" s="54"/>
      <c r="E409" s="54"/>
      <c r="F409" s="301"/>
      <c r="G409" s="301"/>
      <c r="H409" s="54"/>
      <c r="I409" s="54"/>
      <c r="J409" s="54"/>
    </row>
    <row r="410" spans="1:10" ht="13.2" customHeight="1">
      <c r="A410" s="54"/>
      <c r="B410" s="54"/>
      <c r="C410" s="54"/>
      <c r="D410" s="54"/>
      <c r="E410" s="54"/>
      <c r="F410" s="301"/>
      <c r="G410" s="301"/>
      <c r="H410" s="54"/>
      <c r="I410" s="54"/>
      <c r="J410" s="54"/>
    </row>
    <row r="411" spans="1:10" ht="13.2" customHeight="1">
      <c r="A411" s="54"/>
      <c r="B411" s="54"/>
      <c r="C411" s="54"/>
      <c r="D411" s="54"/>
      <c r="E411" s="54"/>
      <c r="F411" s="301"/>
      <c r="G411" s="301"/>
      <c r="H411" s="54"/>
      <c r="I411" s="54"/>
      <c r="J411" s="54"/>
    </row>
    <row r="412" spans="1:10" ht="13.2" customHeight="1">
      <c r="A412" s="54"/>
      <c r="B412" s="54"/>
      <c r="C412" s="54"/>
      <c r="D412" s="54"/>
      <c r="E412" s="54"/>
      <c r="F412" s="301"/>
      <c r="G412" s="301"/>
      <c r="H412" s="54"/>
      <c r="I412" s="54"/>
      <c r="J412" s="54"/>
    </row>
    <row r="413" spans="1:10" ht="13.2" customHeight="1">
      <c r="A413" s="54"/>
      <c r="B413" s="54"/>
      <c r="C413" s="54"/>
      <c r="D413" s="54"/>
      <c r="E413" s="54"/>
      <c r="F413" s="301"/>
      <c r="G413" s="301"/>
      <c r="H413" s="54"/>
      <c r="I413" s="54"/>
      <c r="J413" s="54"/>
    </row>
    <row r="414" spans="1:10" ht="13.2" customHeight="1">
      <c r="A414" s="54"/>
      <c r="B414" s="54"/>
      <c r="C414" s="54"/>
      <c r="D414" s="54"/>
      <c r="E414" s="54"/>
      <c r="F414" s="301"/>
      <c r="G414" s="301"/>
      <c r="H414" s="54"/>
      <c r="I414" s="54"/>
      <c r="J414" s="54"/>
    </row>
    <row r="415" spans="1:10" ht="13.2" customHeight="1">
      <c r="A415" s="54"/>
      <c r="B415" s="54"/>
      <c r="C415" s="54"/>
      <c r="D415" s="54"/>
      <c r="E415" s="54"/>
      <c r="F415" s="301"/>
      <c r="G415" s="301"/>
      <c r="H415" s="54"/>
      <c r="I415" s="54"/>
      <c r="J415" s="54"/>
    </row>
    <row r="416" spans="1:10" ht="13.2" customHeight="1">
      <c r="A416" s="54"/>
      <c r="B416" s="54"/>
      <c r="C416" s="54"/>
      <c r="D416" s="54"/>
      <c r="E416" s="54"/>
      <c r="F416" s="301"/>
      <c r="G416" s="301"/>
      <c r="H416" s="54"/>
      <c r="I416" s="54"/>
      <c r="J416" s="54"/>
    </row>
    <row r="417" spans="1:10" ht="13.2" customHeight="1">
      <c r="A417" s="54"/>
      <c r="B417" s="54"/>
      <c r="C417" s="54"/>
      <c r="D417" s="54"/>
      <c r="E417" s="54"/>
      <c r="F417" s="301"/>
      <c r="G417" s="301"/>
      <c r="H417" s="54"/>
      <c r="I417" s="54"/>
      <c r="J417" s="54"/>
    </row>
    <row r="418" spans="1:10" ht="13.2" customHeight="1">
      <c r="A418" s="54"/>
      <c r="B418" s="54"/>
      <c r="C418" s="54"/>
      <c r="D418" s="54"/>
      <c r="E418" s="54"/>
      <c r="F418" s="301"/>
      <c r="G418" s="301"/>
      <c r="H418" s="54"/>
      <c r="I418" s="54"/>
      <c r="J418" s="54"/>
    </row>
    <row r="419" spans="1:10" ht="13.2" customHeight="1">
      <c r="A419" s="54"/>
      <c r="B419" s="54"/>
      <c r="C419" s="54"/>
      <c r="D419" s="54"/>
      <c r="E419" s="54"/>
      <c r="F419" s="301"/>
      <c r="G419" s="301"/>
      <c r="H419" s="54"/>
      <c r="I419" s="54"/>
      <c r="J419" s="54"/>
    </row>
    <row r="420" spans="1:10" ht="13.2" customHeight="1">
      <c r="A420" s="54"/>
      <c r="B420" s="54"/>
      <c r="C420" s="54"/>
      <c r="D420" s="54"/>
      <c r="E420" s="54"/>
      <c r="F420" s="301"/>
      <c r="G420" s="301"/>
      <c r="H420" s="54"/>
      <c r="I420" s="54"/>
      <c r="J420" s="54"/>
    </row>
    <row r="421" spans="1:10" ht="13.2" customHeight="1">
      <c r="A421" s="54"/>
      <c r="B421" s="54"/>
      <c r="C421" s="54"/>
      <c r="D421" s="54"/>
      <c r="E421" s="54"/>
      <c r="F421" s="301"/>
      <c r="G421" s="301"/>
      <c r="H421" s="54"/>
      <c r="I421" s="54"/>
      <c r="J421" s="54"/>
    </row>
    <row r="422" spans="1:10" ht="13.2" customHeight="1">
      <c r="A422" s="54"/>
      <c r="B422" s="54"/>
      <c r="C422" s="54"/>
      <c r="D422" s="54"/>
      <c r="E422" s="54"/>
      <c r="F422" s="301"/>
      <c r="G422" s="301"/>
      <c r="H422" s="54"/>
      <c r="I422" s="54"/>
      <c r="J422" s="54"/>
    </row>
    <row r="423" spans="1:10" ht="13.2" customHeight="1">
      <c r="A423" s="54"/>
      <c r="B423" s="54"/>
      <c r="C423" s="54"/>
      <c r="D423" s="54"/>
      <c r="E423" s="54"/>
      <c r="F423" s="301"/>
      <c r="G423" s="301"/>
      <c r="H423" s="54"/>
      <c r="I423" s="54"/>
      <c r="J423" s="54"/>
    </row>
    <row r="424" spans="1:10" ht="13.2" customHeight="1">
      <c r="A424" s="54"/>
      <c r="B424" s="54"/>
      <c r="C424" s="54"/>
      <c r="D424" s="54"/>
      <c r="E424" s="54"/>
      <c r="F424" s="301"/>
      <c r="G424" s="301"/>
      <c r="H424" s="54"/>
      <c r="I424" s="54"/>
      <c r="J424" s="54"/>
    </row>
    <row r="425" spans="1:10" ht="13.2" customHeight="1">
      <c r="A425" s="54"/>
      <c r="B425" s="54"/>
      <c r="C425" s="54"/>
      <c r="D425" s="54"/>
      <c r="E425" s="54"/>
      <c r="F425" s="301"/>
      <c r="G425" s="301"/>
      <c r="H425" s="54"/>
      <c r="I425" s="54"/>
      <c r="J425" s="54"/>
    </row>
    <row r="426" spans="1:10" ht="13.2" customHeight="1">
      <c r="A426" s="54"/>
      <c r="B426" s="54"/>
      <c r="C426" s="54"/>
      <c r="D426" s="54"/>
      <c r="E426" s="54"/>
      <c r="F426" s="301"/>
      <c r="G426" s="301"/>
      <c r="H426" s="54"/>
      <c r="I426" s="54"/>
      <c r="J426" s="54"/>
    </row>
    <row r="427" spans="1:10" ht="13.2" customHeight="1">
      <c r="A427" s="54"/>
      <c r="B427" s="54"/>
      <c r="C427" s="54"/>
      <c r="D427" s="54"/>
      <c r="E427" s="54"/>
      <c r="F427" s="301"/>
      <c r="G427" s="301"/>
      <c r="H427" s="54"/>
      <c r="I427" s="54"/>
      <c r="J427" s="54"/>
    </row>
    <row r="428" spans="1:10" ht="13.2" customHeight="1">
      <c r="A428" s="54"/>
      <c r="B428" s="54"/>
      <c r="C428" s="54"/>
      <c r="D428" s="54"/>
      <c r="E428" s="54"/>
      <c r="F428" s="301"/>
      <c r="G428" s="301"/>
      <c r="H428" s="54"/>
      <c r="I428" s="54"/>
      <c r="J428" s="54"/>
    </row>
    <row r="429" spans="1:10" ht="13.2" customHeight="1">
      <c r="A429" s="54"/>
      <c r="B429" s="54"/>
      <c r="C429" s="54"/>
      <c r="D429" s="54"/>
      <c r="E429" s="54"/>
      <c r="F429" s="301"/>
      <c r="G429" s="301"/>
      <c r="H429" s="54"/>
      <c r="I429" s="54"/>
      <c r="J429" s="54"/>
    </row>
    <row r="430" spans="1:10" ht="13.2" customHeight="1">
      <c r="A430" s="54"/>
      <c r="B430" s="54"/>
      <c r="C430" s="54"/>
      <c r="D430" s="54"/>
      <c r="E430" s="54"/>
      <c r="F430" s="301"/>
      <c r="G430" s="301"/>
      <c r="H430" s="54"/>
      <c r="I430" s="54"/>
      <c r="J430" s="54"/>
    </row>
    <row r="431" spans="1:10" ht="13.2" customHeight="1">
      <c r="A431" s="54"/>
      <c r="B431" s="54"/>
      <c r="C431" s="54"/>
      <c r="D431" s="54"/>
      <c r="E431" s="54"/>
      <c r="F431" s="301"/>
      <c r="G431" s="301"/>
      <c r="H431" s="54"/>
      <c r="I431" s="54"/>
      <c r="J431" s="54"/>
    </row>
    <row r="432" spans="1:10" ht="13.2" customHeight="1">
      <c r="A432" s="54"/>
      <c r="B432" s="54"/>
      <c r="C432" s="54"/>
      <c r="D432" s="54"/>
      <c r="E432" s="54"/>
      <c r="F432" s="301"/>
      <c r="G432" s="301"/>
      <c r="H432" s="54"/>
      <c r="I432" s="54"/>
      <c r="J432" s="54"/>
    </row>
    <row r="433" spans="1:10" ht="13.2" customHeight="1">
      <c r="A433" s="54"/>
      <c r="B433" s="54"/>
      <c r="C433" s="54"/>
      <c r="D433" s="54"/>
      <c r="E433" s="54"/>
      <c r="F433" s="301"/>
      <c r="G433" s="301"/>
      <c r="H433" s="54"/>
      <c r="I433" s="54"/>
      <c r="J433" s="54"/>
    </row>
    <row r="434" spans="1:10" ht="13.2" customHeight="1">
      <c r="A434" s="54"/>
      <c r="B434" s="54"/>
      <c r="C434" s="54"/>
      <c r="D434" s="54"/>
      <c r="E434" s="54"/>
      <c r="F434" s="301"/>
      <c r="G434" s="301"/>
      <c r="H434" s="54"/>
      <c r="I434" s="54"/>
      <c r="J434" s="54"/>
    </row>
    <row r="435" spans="1:10" ht="13.2" customHeight="1">
      <c r="A435" s="54"/>
      <c r="B435" s="54"/>
      <c r="C435" s="54"/>
      <c r="D435" s="54"/>
      <c r="E435" s="54"/>
      <c r="F435" s="301"/>
      <c r="G435" s="301"/>
      <c r="H435" s="54"/>
      <c r="I435" s="54"/>
      <c r="J435" s="54"/>
    </row>
    <row r="436" spans="1:10" ht="13.2" customHeight="1">
      <c r="A436" s="54"/>
      <c r="B436" s="54"/>
      <c r="C436" s="54"/>
      <c r="D436" s="54"/>
      <c r="E436" s="54"/>
      <c r="F436" s="301"/>
      <c r="G436" s="301"/>
      <c r="H436" s="54"/>
      <c r="I436" s="54"/>
      <c r="J436" s="54"/>
    </row>
    <row r="437" spans="1:10" ht="13.2" customHeight="1">
      <c r="A437" s="54"/>
      <c r="B437" s="54"/>
      <c r="C437" s="54"/>
      <c r="D437" s="54"/>
      <c r="E437" s="54"/>
      <c r="F437" s="301"/>
      <c r="G437" s="301"/>
      <c r="H437" s="54"/>
      <c r="I437" s="54"/>
      <c r="J437" s="54"/>
    </row>
    <row r="438" spans="1:10" ht="13.2" customHeight="1">
      <c r="A438" s="54"/>
      <c r="B438" s="54"/>
      <c r="C438" s="54"/>
      <c r="D438" s="54"/>
      <c r="E438" s="54"/>
      <c r="F438" s="301"/>
      <c r="G438" s="301"/>
      <c r="H438" s="54"/>
      <c r="I438" s="54"/>
      <c r="J438" s="54"/>
    </row>
    <row r="439" spans="1:10" ht="13.2" customHeight="1">
      <c r="A439" s="54"/>
      <c r="B439" s="54"/>
      <c r="C439" s="54"/>
      <c r="D439" s="54"/>
      <c r="E439" s="54"/>
      <c r="F439" s="301"/>
      <c r="G439" s="301"/>
      <c r="H439" s="54"/>
      <c r="I439" s="54"/>
      <c r="J439" s="54"/>
    </row>
    <row r="440" spans="1:10" ht="13.2" customHeight="1">
      <c r="A440" s="54"/>
      <c r="B440" s="54"/>
      <c r="C440" s="54"/>
      <c r="D440" s="54"/>
      <c r="E440" s="54"/>
      <c r="F440" s="301"/>
      <c r="G440" s="301"/>
      <c r="H440" s="54"/>
      <c r="I440" s="54"/>
      <c r="J440" s="54"/>
    </row>
    <row r="441" spans="1:10" ht="13.2" customHeight="1">
      <c r="A441" s="54"/>
      <c r="B441" s="54"/>
      <c r="C441" s="54"/>
      <c r="D441" s="54"/>
      <c r="E441" s="54"/>
      <c r="F441" s="301"/>
      <c r="G441" s="301"/>
      <c r="H441" s="54"/>
      <c r="I441" s="54"/>
      <c r="J441" s="54"/>
    </row>
    <row r="442" spans="1:10" ht="13.2" customHeight="1">
      <c r="A442" s="54"/>
      <c r="B442" s="54"/>
      <c r="C442" s="54"/>
      <c r="D442" s="54"/>
      <c r="E442" s="54"/>
      <c r="F442" s="301"/>
      <c r="G442" s="301"/>
      <c r="H442" s="54"/>
      <c r="I442" s="54"/>
      <c r="J442" s="54"/>
    </row>
    <row r="443" spans="1:10" ht="13.2" customHeight="1">
      <c r="A443" s="54"/>
      <c r="B443" s="54"/>
      <c r="C443" s="54"/>
      <c r="D443" s="54"/>
      <c r="E443" s="54"/>
      <c r="F443" s="301"/>
      <c r="G443" s="301"/>
      <c r="H443" s="54"/>
      <c r="I443" s="54"/>
      <c r="J443" s="54"/>
    </row>
    <row r="444" spans="1:10" ht="13.2" customHeight="1">
      <c r="A444" s="54"/>
      <c r="B444" s="54"/>
      <c r="C444" s="54"/>
      <c r="D444" s="54"/>
      <c r="E444" s="54"/>
      <c r="F444" s="301"/>
      <c r="G444" s="301"/>
      <c r="H444" s="54"/>
      <c r="I444" s="54"/>
      <c r="J444" s="54"/>
    </row>
    <row r="445" spans="1:10" ht="13.2" customHeight="1">
      <c r="A445" s="54"/>
      <c r="B445" s="54"/>
      <c r="C445" s="54"/>
      <c r="D445" s="54"/>
      <c r="E445" s="54"/>
      <c r="F445" s="301"/>
      <c r="G445" s="301"/>
      <c r="H445" s="54"/>
      <c r="I445" s="54"/>
      <c r="J445" s="54"/>
    </row>
    <row r="446" spans="1:10" ht="13.2" customHeight="1">
      <c r="A446" s="54"/>
      <c r="B446" s="54"/>
      <c r="C446" s="54"/>
      <c r="D446" s="54"/>
      <c r="E446" s="54"/>
      <c r="F446" s="301"/>
      <c r="G446" s="301"/>
      <c r="H446" s="54"/>
      <c r="I446" s="54"/>
      <c r="J446" s="54"/>
    </row>
    <row r="447" spans="1:10" ht="13.2" customHeight="1">
      <c r="A447" s="54"/>
      <c r="B447" s="54"/>
      <c r="C447" s="54"/>
      <c r="D447" s="54"/>
      <c r="E447" s="54"/>
      <c r="F447" s="301"/>
      <c r="G447" s="301"/>
      <c r="H447" s="54"/>
      <c r="I447" s="54"/>
      <c r="J447" s="54"/>
    </row>
    <row r="448" spans="1:10" ht="13.2" customHeight="1">
      <c r="A448" s="54"/>
      <c r="B448" s="54"/>
      <c r="C448" s="54"/>
      <c r="D448" s="54"/>
      <c r="E448" s="54"/>
      <c r="F448" s="301"/>
      <c r="G448" s="301"/>
      <c r="H448" s="54"/>
      <c r="I448" s="54"/>
      <c r="J448" s="54"/>
    </row>
    <row r="449" spans="1:10" ht="13.2" customHeight="1">
      <c r="A449" s="54"/>
      <c r="B449" s="54"/>
      <c r="C449" s="54"/>
      <c r="D449" s="54"/>
      <c r="E449" s="54"/>
      <c r="F449" s="301"/>
      <c r="G449" s="301"/>
      <c r="H449" s="54"/>
      <c r="I449" s="54"/>
      <c r="J449" s="54"/>
    </row>
    <row r="450" spans="1:10" ht="13.2" customHeight="1">
      <c r="A450" s="54"/>
      <c r="B450" s="54"/>
      <c r="C450" s="54"/>
      <c r="D450" s="54"/>
      <c r="E450" s="54"/>
      <c r="F450" s="301"/>
      <c r="G450" s="301"/>
      <c r="H450" s="54"/>
      <c r="I450" s="54"/>
      <c r="J450" s="54"/>
    </row>
    <row r="451" spans="1:10" ht="13.2" customHeight="1">
      <c r="A451" s="54"/>
      <c r="B451" s="54"/>
      <c r="C451" s="54"/>
      <c r="D451" s="54"/>
      <c r="E451" s="54"/>
      <c r="F451" s="301"/>
      <c r="G451" s="301"/>
      <c r="H451" s="54"/>
      <c r="I451" s="54"/>
      <c r="J451" s="54"/>
    </row>
    <row r="452" spans="1:10" ht="13.2" customHeight="1">
      <c r="A452" s="54"/>
      <c r="B452" s="54"/>
      <c r="C452" s="54"/>
      <c r="D452" s="54"/>
      <c r="E452" s="54"/>
      <c r="F452" s="301"/>
      <c r="G452" s="301"/>
      <c r="H452" s="54"/>
      <c r="I452" s="54"/>
      <c r="J452" s="54"/>
    </row>
    <row r="453" spans="1:10" ht="13.2" customHeight="1">
      <c r="A453" s="54"/>
      <c r="B453" s="54"/>
      <c r="C453" s="54"/>
      <c r="D453" s="54"/>
      <c r="E453" s="54"/>
      <c r="F453" s="301"/>
      <c r="G453" s="301"/>
      <c r="H453" s="54"/>
      <c r="I453" s="54"/>
      <c r="J453" s="54"/>
    </row>
    <row r="454" spans="1:10" ht="13.2" customHeight="1">
      <c r="A454" s="54"/>
      <c r="B454" s="54"/>
      <c r="C454" s="54"/>
      <c r="D454" s="54"/>
      <c r="E454" s="54"/>
      <c r="F454" s="301"/>
      <c r="G454" s="301"/>
      <c r="H454" s="54"/>
      <c r="I454" s="54"/>
      <c r="J454" s="54"/>
    </row>
    <row r="455" spans="1:10" ht="13.2" customHeight="1">
      <c r="A455" s="54"/>
      <c r="B455" s="54"/>
      <c r="C455" s="54"/>
      <c r="D455" s="54"/>
      <c r="E455" s="54"/>
      <c r="F455" s="301"/>
      <c r="G455" s="301"/>
      <c r="H455" s="54"/>
      <c r="I455" s="54"/>
      <c r="J455" s="54"/>
    </row>
    <row r="456" spans="1:10" ht="13.2" customHeight="1">
      <c r="A456" s="54"/>
      <c r="B456" s="54"/>
      <c r="C456" s="54"/>
      <c r="D456" s="54"/>
      <c r="E456" s="54"/>
      <c r="F456" s="301"/>
      <c r="G456" s="301"/>
      <c r="H456" s="54"/>
      <c r="I456" s="54"/>
      <c r="J456" s="54"/>
    </row>
    <row r="457" spans="1:10" ht="13.2" customHeight="1">
      <c r="A457" s="54"/>
      <c r="B457" s="54"/>
      <c r="C457" s="54"/>
      <c r="D457" s="54"/>
      <c r="E457" s="54"/>
      <c r="F457" s="301"/>
      <c r="G457" s="301"/>
      <c r="H457" s="54"/>
      <c r="I457" s="54"/>
      <c r="J457" s="54"/>
    </row>
    <row r="458" spans="1:10" ht="13.2" customHeight="1">
      <c r="A458" s="54"/>
      <c r="B458" s="54"/>
      <c r="C458" s="54"/>
      <c r="D458" s="54"/>
      <c r="E458" s="54"/>
      <c r="F458" s="301"/>
      <c r="G458" s="301"/>
      <c r="H458" s="54"/>
      <c r="I458" s="54"/>
      <c r="J458" s="54"/>
    </row>
    <row r="459" spans="1:10" ht="13.2" customHeight="1">
      <c r="A459" s="54"/>
      <c r="B459" s="54"/>
      <c r="C459" s="54"/>
      <c r="D459" s="54"/>
      <c r="E459" s="54"/>
      <c r="F459" s="301"/>
      <c r="G459" s="301"/>
      <c r="H459" s="54"/>
      <c r="I459" s="54"/>
      <c r="J459" s="54"/>
    </row>
    <row r="460" spans="1:10" ht="13.2" customHeight="1">
      <c r="A460" s="54"/>
      <c r="B460" s="54"/>
      <c r="C460" s="54"/>
      <c r="D460" s="54"/>
      <c r="E460" s="54"/>
      <c r="F460" s="301"/>
      <c r="G460" s="301"/>
      <c r="H460" s="54"/>
      <c r="I460" s="54"/>
      <c r="J460" s="54"/>
    </row>
    <row r="461" spans="1:10" ht="13.2" customHeight="1">
      <c r="A461" s="54"/>
      <c r="B461" s="54"/>
      <c r="C461" s="54"/>
      <c r="D461" s="54"/>
      <c r="E461" s="54"/>
      <c r="F461" s="301"/>
      <c r="G461" s="301"/>
      <c r="H461" s="54"/>
      <c r="I461" s="54"/>
      <c r="J461" s="54"/>
    </row>
    <row r="462" spans="1:10" ht="13.2" customHeight="1">
      <c r="A462" s="54"/>
      <c r="B462" s="54"/>
      <c r="C462" s="54"/>
      <c r="D462" s="54"/>
      <c r="E462" s="54"/>
      <c r="F462" s="301"/>
      <c r="G462" s="301"/>
      <c r="H462" s="54"/>
      <c r="I462" s="54"/>
      <c r="J462" s="54"/>
    </row>
    <row r="463" spans="1:10" ht="13.2" customHeight="1">
      <c r="A463" s="54"/>
      <c r="B463" s="54"/>
      <c r="C463" s="54"/>
      <c r="D463" s="54"/>
      <c r="E463" s="54"/>
      <c r="F463" s="301"/>
      <c r="G463" s="301"/>
      <c r="H463" s="54"/>
      <c r="I463" s="54"/>
      <c r="J463" s="54"/>
    </row>
    <row r="464" spans="1:10" ht="13.2" customHeight="1">
      <c r="A464" s="54"/>
      <c r="B464" s="54"/>
      <c r="C464" s="54"/>
      <c r="D464" s="54"/>
      <c r="E464" s="54"/>
      <c r="F464" s="301"/>
      <c r="G464" s="301"/>
      <c r="H464" s="54"/>
      <c r="I464" s="54"/>
      <c r="J464" s="54"/>
    </row>
    <row r="465" spans="1:10" ht="13.2" customHeight="1">
      <c r="A465" s="54"/>
      <c r="B465" s="54"/>
      <c r="C465" s="54"/>
      <c r="D465" s="54"/>
      <c r="E465" s="54"/>
      <c r="F465" s="301"/>
      <c r="G465" s="301"/>
      <c r="H465" s="54"/>
      <c r="I465" s="54"/>
      <c r="J465" s="54"/>
    </row>
    <row r="466" spans="1:10" ht="13.2" customHeight="1">
      <c r="A466" s="54"/>
      <c r="B466" s="54"/>
      <c r="C466" s="54"/>
      <c r="D466" s="54"/>
      <c r="E466" s="54"/>
      <c r="F466" s="301"/>
      <c r="G466" s="301"/>
      <c r="H466" s="54"/>
      <c r="I466" s="54"/>
      <c r="J466" s="54"/>
    </row>
    <row r="467" spans="1:10" ht="13.2" customHeight="1">
      <c r="A467" s="54"/>
      <c r="B467" s="54"/>
      <c r="C467" s="54"/>
      <c r="D467" s="54"/>
      <c r="E467" s="54"/>
      <c r="F467" s="301"/>
      <c r="G467" s="301"/>
      <c r="H467" s="54"/>
      <c r="I467" s="54"/>
      <c r="J467" s="54"/>
    </row>
    <row r="468" spans="1:10" ht="13.2" customHeight="1">
      <c r="A468" s="54"/>
      <c r="B468" s="54"/>
      <c r="C468" s="54"/>
      <c r="D468" s="54"/>
      <c r="E468" s="54"/>
      <c r="F468" s="301"/>
      <c r="G468" s="301"/>
      <c r="H468" s="54"/>
      <c r="I468" s="54"/>
      <c r="J468" s="54"/>
    </row>
    <row r="469" spans="1:10" ht="13.2" customHeight="1">
      <c r="A469" s="54"/>
      <c r="B469" s="54"/>
      <c r="C469" s="54"/>
      <c r="D469" s="54"/>
      <c r="E469" s="54"/>
      <c r="F469" s="301"/>
      <c r="G469" s="301"/>
      <c r="H469" s="54"/>
      <c r="I469" s="54"/>
      <c r="J469" s="54"/>
    </row>
    <row r="470" spans="1:10" ht="13.2" customHeight="1">
      <c r="A470" s="54"/>
      <c r="B470" s="54"/>
      <c r="C470" s="54"/>
      <c r="D470" s="54"/>
      <c r="E470" s="54"/>
      <c r="F470" s="301"/>
      <c r="G470" s="301"/>
      <c r="H470" s="54"/>
      <c r="I470" s="54"/>
      <c r="J470" s="54"/>
    </row>
    <row r="471" spans="1:10" ht="13.2" customHeight="1">
      <c r="A471" s="54"/>
      <c r="B471" s="54"/>
      <c r="C471" s="54"/>
      <c r="D471" s="54"/>
      <c r="E471" s="54"/>
      <c r="F471" s="301"/>
      <c r="G471" s="301"/>
      <c r="H471" s="54"/>
      <c r="I471" s="54"/>
      <c r="J471" s="54"/>
    </row>
    <row r="472" spans="1:10" ht="13.2" customHeight="1">
      <c r="A472" s="54"/>
      <c r="B472" s="54"/>
      <c r="C472" s="54"/>
      <c r="D472" s="54"/>
      <c r="E472" s="54"/>
      <c r="F472" s="301"/>
      <c r="G472" s="301"/>
      <c r="H472" s="54"/>
      <c r="I472" s="54"/>
      <c r="J472" s="54"/>
    </row>
    <row r="473" spans="1:10" ht="13.2" customHeight="1">
      <c r="A473" s="54"/>
      <c r="B473" s="54"/>
      <c r="C473" s="54"/>
      <c r="D473" s="54"/>
      <c r="E473" s="54"/>
      <c r="F473" s="301"/>
      <c r="G473" s="301"/>
      <c r="H473" s="54"/>
      <c r="I473" s="54"/>
      <c r="J473" s="54"/>
    </row>
    <row r="474" spans="1:10" ht="13.2" customHeight="1">
      <c r="A474" s="54"/>
      <c r="B474" s="54"/>
      <c r="C474" s="54"/>
      <c r="D474" s="54"/>
      <c r="E474" s="54"/>
      <c r="F474" s="301"/>
      <c r="G474" s="301"/>
      <c r="H474" s="54"/>
      <c r="I474" s="54"/>
      <c r="J474" s="54"/>
    </row>
    <row r="475" spans="1:10" ht="13.2" customHeight="1">
      <c r="A475" s="54"/>
      <c r="B475" s="54"/>
      <c r="C475" s="54"/>
      <c r="D475" s="54"/>
      <c r="E475" s="54"/>
      <c r="F475" s="301"/>
      <c r="G475" s="301"/>
      <c r="H475" s="54"/>
      <c r="I475" s="54"/>
      <c r="J475" s="54"/>
    </row>
    <row r="476" spans="1:10" ht="13.2" customHeight="1">
      <c r="A476" s="54"/>
      <c r="B476" s="54"/>
      <c r="C476" s="54"/>
      <c r="D476" s="54"/>
      <c r="E476" s="54"/>
      <c r="F476" s="301"/>
      <c r="G476" s="301"/>
      <c r="H476" s="54"/>
      <c r="I476" s="54"/>
      <c r="J476" s="54"/>
    </row>
    <row r="477" spans="1:10" ht="13.2" customHeight="1">
      <c r="A477" s="54"/>
      <c r="B477" s="54"/>
      <c r="C477" s="54"/>
      <c r="D477" s="54"/>
      <c r="E477" s="54"/>
      <c r="F477" s="301"/>
      <c r="G477" s="301"/>
      <c r="H477" s="54"/>
      <c r="I477" s="54"/>
      <c r="J477" s="54"/>
    </row>
    <row r="478" spans="1:10" ht="13.2" customHeight="1">
      <c r="A478" s="54"/>
      <c r="B478" s="54"/>
      <c r="C478" s="54"/>
      <c r="D478" s="54"/>
      <c r="E478" s="54"/>
      <c r="F478" s="301"/>
      <c r="G478" s="301"/>
      <c r="H478" s="54"/>
      <c r="I478" s="54"/>
      <c r="J478" s="54"/>
    </row>
    <row r="479" spans="1:10" ht="13.2" customHeight="1">
      <c r="A479" s="54"/>
      <c r="B479" s="54"/>
      <c r="C479" s="54"/>
      <c r="D479" s="54"/>
      <c r="E479" s="54"/>
      <c r="F479" s="301"/>
      <c r="G479" s="301"/>
      <c r="H479" s="54"/>
      <c r="I479" s="54"/>
      <c r="J479" s="54"/>
    </row>
    <row r="480" spans="1:10" ht="13.2" customHeight="1">
      <c r="A480" s="54"/>
      <c r="B480" s="54"/>
      <c r="C480" s="54"/>
      <c r="D480" s="54"/>
      <c r="E480" s="54"/>
      <c r="F480" s="301"/>
      <c r="G480" s="301"/>
      <c r="H480" s="54"/>
      <c r="I480" s="54"/>
      <c r="J480" s="54"/>
    </row>
    <row r="481" spans="1:10" ht="13.2" customHeight="1">
      <c r="A481" s="54"/>
      <c r="B481" s="54"/>
      <c r="C481" s="54"/>
      <c r="D481" s="54"/>
      <c r="E481" s="54"/>
      <c r="F481" s="301"/>
      <c r="G481" s="301"/>
      <c r="H481" s="54"/>
      <c r="I481" s="54"/>
      <c r="J481" s="54"/>
    </row>
    <row r="482" spans="1:10" ht="13.2" customHeight="1">
      <c r="A482" s="54"/>
      <c r="B482" s="54"/>
      <c r="C482" s="54"/>
      <c r="D482" s="54"/>
      <c r="E482" s="54"/>
      <c r="F482" s="301"/>
      <c r="G482" s="301"/>
      <c r="H482" s="54"/>
      <c r="I482" s="54"/>
      <c r="J482" s="54"/>
    </row>
    <row r="483" spans="1:10" ht="13.2" customHeight="1">
      <c r="A483" s="54"/>
      <c r="B483" s="54"/>
      <c r="C483" s="54"/>
      <c r="D483" s="54"/>
      <c r="E483" s="54"/>
      <c r="F483" s="301"/>
      <c r="G483" s="301"/>
      <c r="H483" s="54"/>
      <c r="I483" s="54"/>
      <c r="J483" s="54"/>
    </row>
    <row r="484" spans="1:10" ht="13.2" customHeight="1">
      <c r="A484" s="54"/>
      <c r="B484" s="54"/>
      <c r="C484" s="54"/>
      <c r="D484" s="54"/>
      <c r="E484" s="54"/>
      <c r="F484" s="301"/>
      <c r="G484" s="301"/>
      <c r="H484" s="54"/>
      <c r="I484" s="54"/>
      <c r="J484" s="54"/>
    </row>
    <row r="485" spans="1:10" ht="13.2" customHeight="1">
      <c r="A485" s="54"/>
      <c r="B485" s="54"/>
      <c r="C485" s="54"/>
      <c r="D485" s="54"/>
      <c r="E485" s="54"/>
      <c r="F485" s="301"/>
      <c r="G485" s="301"/>
      <c r="H485" s="54"/>
      <c r="I485" s="54"/>
      <c r="J485" s="54"/>
    </row>
    <row r="486" spans="1:10" ht="13.2" customHeight="1">
      <c r="A486" s="54"/>
      <c r="B486" s="54"/>
      <c r="C486" s="54"/>
      <c r="D486" s="54"/>
      <c r="E486" s="54"/>
      <c r="F486" s="301"/>
      <c r="G486" s="301"/>
      <c r="H486" s="54"/>
      <c r="I486" s="54"/>
      <c r="J486" s="54"/>
    </row>
    <row r="487" spans="1:10" ht="13.2" customHeight="1">
      <c r="A487" s="54"/>
      <c r="B487" s="54"/>
      <c r="C487" s="54"/>
      <c r="D487" s="54"/>
      <c r="E487" s="54"/>
      <c r="F487" s="301"/>
      <c r="G487" s="301"/>
      <c r="H487" s="54"/>
      <c r="I487" s="54"/>
      <c r="J487" s="54"/>
    </row>
    <row r="488" spans="1:10" ht="13.2" customHeight="1">
      <c r="A488" s="54"/>
      <c r="B488" s="54"/>
      <c r="C488" s="54"/>
      <c r="D488" s="54"/>
      <c r="E488" s="54"/>
      <c r="F488" s="301"/>
      <c r="G488" s="301"/>
      <c r="H488" s="54"/>
      <c r="I488" s="54"/>
      <c r="J488" s="54"/>
    </row>
    <row r="489" spans="1:10" ht="13.2" customHeight="1">
      <c r="A489" s="54"/>
      <c r="B489" s="54"/>
      <c r="C489" s="54"/>
      <c r="D489" s="54"/>
      <c r="E489" s="54"/>
      <c r="F489" s="301"/>
      <c r="G489" s="301"/>
      <c r="H489" s="54"/>
      <c r="I489" s="54"/>
      <c r="J489" s="54"/>
    </row>
    <row r="490" spans="1:10" ht="13.2" customHeight="1">
      <c r="A490" s="54"/>
      <c r="B490" s="54"/>
      <c r="C490" s="54"/>
      <c r="D490" s="54"/>
      <c r="E490" s="54"/>
      <c r="F490" s="301"/>
      <c r="G490" s="301"/>
      <c r="H490" s="54"/>
      <c r="I490" s="54"/>
      <c r="J490" s="54"/>
    </row>
    <row r="491" spans="1:10" ht="13.2" customHeight="1">
      <c r="A491" s="54"/>
      <c r="B491" s="54"/>
      <c r="C491" s="54"/>
      <c r="D491" s="54"/>
      <c r="E491" s="54"/>
      <c r="F491" s="301"/>
      <c r="G491" s="301"/>
      <c r="H491" s="54"/>
      <c r="I491" s="54"/>
      <c r="J491" s="54"/>
    </row>
    <row r="492" spans="1:10" ht="13.2" customHeight="1">
      <c r="A492" s="54"/>
      <c r="B492" s="54"/>
      <c r="C492" s="54"/>
      <c r="D492" s="54"/>
      <c r="E492" s="54"/>
      <c r="F492" s="301"/>
      <c r="G492" s="301"/>
      <c r="H492" s="54"/>
      <c r="I492" s="54"/>
      <c r="J492" s="54"/>
    </row>
    <row r="493" spans="1:10" ht="13.2" customHeight="1">
      <c r="A493" s="54"/>
      <c r="B493" s="54"/>
      <c r="C493" s="54"/>
      <c r="D493" s="54"/>
      <c r="E493" s="54"/>
      <c r="F493" s="301"/>
      <c r="G493" s="301"/>
      <c r="H493" s="54"/>
      <c r="I493" s="54"/>
      <c r="J493" s="54"/>
    </row>
    <row r="494" spans="1:10" ht="13.2" customHeight="1">
      <c r="A494" s="54"/>
      <c r="B494" s="54"/>
      <c r="C494" s="54"/>
      <c r="D494" s="54"/>
      <c r="E494" s="54"/>
      <c r="F494" s="301"/>
      <c r="G494" s="301"/>
      <c r="H494" s="54"/>
      <c r="I494" s="54"/>
      <c r="J494" s="54"/>
    </row>
    <row r="495" spans="1:10" ht="13.2" customHeight="1">
      <c r="A495" s="54"/>
      <c r="B495" s="54"/>
      <c r="C495" s="54"/>
      <c r="D495" s="54"/>
      <c r="E495" s="54"/>
      <c r="F495" s="301"/>
      <c r="G495" s="301"/>
      <c r="H495" s="54"/>
      <c r="I495" s="54"/>
      <c r="J495" s="54"/>
    </row>
    <row r="496" spans="1:10" ht="13.2" customHeight="1">
      <c r="A496" s="54"/>
      <c r="B496" s="54"/>
      <c r="C496" s="54"/>
      <c r="D496" s="54"/>
      <c r="E496" s="54"/>
      <c r="F496" s="301"/>
      <c r="G496" s="301"/>
      <c r="H496" s="54"/>
      <c r="I496" s="54"/>
      <c r="J496" s="54"/>
    </row>
    <row r="497" spans="1:10" ht="13.2" customHeight="1">
      <c r="A497" s="54"/>
      <c r="B497" s="54"/>
      <c r="C497" s="54"/>
      <c r="D497" s="54"/>
      <c r="E497" s="54"/>
      <c r="F497" s="301"/>
      <c r="G497" s="301"/>
      <c r="H497" s="54"/>
      <c r="I497" s="54"/>
      <c r="J497" s="54"/>
    </row>
    <row r="498" spans="1:10" ht="13.2" customHeight="1">
      <c r="A498" s="54"/>
      <c r="B498" s="54"/>
      <c r="C498" s="54"/>
      <c r="D498" s="54"/>
      <c r="E498" s="54"/>
      <c r="F498" s="301"/>
      <c r="G498" s="301"/>
      <c r="H498" s="54"/>
      <c r="I498" s="54"/>
      <c r="J498" s="54"/>
    </row>
    <row r="499" spans="1:10" ht="13.2" customHeight="1">
      <c r="A499" s="54"/>
      <c r="B499" s="54"/>
      <c r="C499" s="54"/>
      <c r="D499" s="54"/>
      <c r="E499" s="54"/>
      <c r="F499" s="301"/>
      <c r="G499" s="301"/>
      <c r="H499" s="54"/>
      <c r="I499" s="54"/>
      <c r="J499" s="54"/>
    </row>
    <row r="500" spans="1:10" ht="13.2" customHeight="1">
      <c r="A500" s="54"/>
      <c r="B500" s="54"/>
      <c r="C500" s="54"/>
      <c r="D500" s="54"/>
      <c r="E500" s="54"/>
      <c r="F500" s="301"/>
      <c r="G500" s="301"/>
      <c r="H500" s="54"/>
      <c r="I500" s="54"/>
      <c r="J500" s="54"/>
    </row>
    <row r="501" spans="1:10" ht="13.2" customHeight="1">
      <c r="A501" s="54"/>
      <c r="B501" s="54"/>
      <c r="C501" s="54"/>
      <c r="D501" s="54"/>
      <c r="E501" s="54"/>
      <c r="F501" s="301"/>
      <c r="G501" s="301"/>
      <c r="H501" s="54"/>
      <c r="I501" s="54"/>
      <c r="J501" s="54"/>
    </row>
    <row r="502" spans="1:10" ht="13.2" customHeight="1">
      <c r="A502" s="54"/>
      <c r="B502" s="54"/>
      <c r="C502" s="54"/>
      <c r="D502" s="54"/>
      <c r="E502" s="54"/>
      <c r="F502" s="301"/>
      <c r="G502" s="301"/>
      <c r="H502" s="54"/>
      <c r="I502" s="54"/>
      <c r="J502" s="54"/>
    </row>
    <row r="503" spans="1:10" ht="13.2" customHeight="1">
      <c r="A503" s="54"/>
      <c r="B503" s="54"/>
      <c r="C503" s="54"/>
      <c r="D503" s="54"/>
      <c r="E503" s="54"/>
      <c r="F503" s="301"/>
      <c r="G503" s="301"/>
      <c r="H503" s="54"/>
      <c r="I503" s="54"/>
      <c r="J503" s="54"/>
    </row>
    <row r="504" spans="1:10" ht="13.2" customHeight="1">
      <c r="A504" s="54"/>
      <c r="B504" s="54"/>
      <c r="C504" s="54"/>
      <c r="D504" s="54"/>
      <c r="E504" s="54"/>
      <c r="F504" s="301"/>
      <c r="G504" s="301"/>
      <c r="H504" s="54"/>
      <c r="I504" s="54"/>
      <c r="J504" s="54"/>
    </row>
    <row r="505" spans="1:10" ht="13.2" customHeight="1">
      <c r="A505" s="54"/>
      <c r="B505" s="54"/>
      <c r="C505" s="54"/>
      <c r="D505" s="54"/>
      <c r="E505" s="54"/>
      <c r="F505" s="301"/>
      <c r="G505" s="301"/>
      <c r="H505" s="54"/>
      <c r="I505" s="54"/>
      <c r="J505" s="54"/>
    </row>
    <row r="506" spans="1:10" ht="13.2" customHeight="1">
      <c r="A506" s="54"/>
      <c r="B506" s="54"/>
      <c r="C506" s="54"/>
      <c r="D506" s="54"/>
      <c r="E506" s="54"/>
      <c r="F506" s="301"/>
      <c r="G506" s="301"/>
      <c r="H506" s="54"/>
      <c r="I506" s="54"/>
      <c r="J506" s="54"/>
    </row>
    <row r="507" spans="1:10" ht="13.2" customHeight="1">
      <c r="A507" s="54"/>
      <c r="B507" s="54"/>
      <c r="C507" s="54"/>
      <c r="D507" s="54"/>
      <c r="E507" s="54"/>
      <c r="F507" s="301"/>
      <c r="G507" s="301"/>
      <c r="H507" s="54"/>
      <c r="I507" s="54"/>
      <c r="J507" s="54"/>
    </row>
    <row r="508" spans="1:10" ht="13.2" customHeight="1">
      <c r="A508" s="54"/>
      <c r="B508" s="54"/>
      <c r="C508" s="54"/>
      <c r="D508" s="54"/>
      <c r="E508" s="54"/>
      <c r="F508" s="301"/>
      <c r="G508" s="301"/>
      <c r="H508" s="54"/>
      <c r="I508" s="54"/>
      <c r="J508" s="54"/>
    </row>
    <row r="509" spans="1:10" ht="13.2" customHeight="1">
      <c r="A509" s="54"/>
      <c r="B509" s="54"/>
      <c r="C509" s="54"/>
      <c r="D509" s="54"/>
      <c r="E509" s="54"/>
      <c r="F509" s="301"/>
      <c r="G509" s="301"/>
      <c r="H509" s="54"/>
      <c r="I509" s="54"/>
      <c r="J509" s="54"/>
    </row>
    <row r="510" spans="1:10" ht="13.2" customHeight="1">
      <c r="A510" s="54"/>
      <c r="B510" s="54"/>
      <c r="C510" s="54"/>
      <c r="D510" s="54"/>
      <c r="E510" s="54"/>
      <c r="F510" s="301"/>
      <c r="G510" s="301"/>
      <c r="H510" s="54"/>
      <c r="I510" s="54"/>
      <c r="J510" s="54"/>
    </row>
    <row r="511" spans="1:10" ht="13.2" customHeight="1">
      <c r="A511" s="54"/>
      <c r="B511" s="54"/>
      <c r="C511" s="54"/>
      <c r="D511" s="54"/>
      <c r="E511" s="54"/>
      <c r="F511" s="301"/>
      <c r="G511" s="301"/>
      <c r="H511" s="54"/>
      <c r="I511" s="54"/>
      <c r="J511" s="54"/>
    </row>
    <row r="512" spans="1:10" ht="13.2" customHeight="1">
      <c r="A512" s="54"/>
      <c r="B512" s="54"/>
      <c r="C512" s="54"/>
      <c r="D512" s="54"/>
      <c r="E512" s="54"/>
      <c r="F512" s="301"/>
      <c r="G512" s="301"/>
      <c r="H512" s="54"/>
      <c r="I512" s="54"/>
      <c r="J512" s="54"/>
    </row>
    <row r="513" spans="1:10" ht="13.2" customHeight="1">
      <c r="A513" s="54"/>
      <c r="B513" s="54"/>
      <c r="C513" s="54"/>
      <c r="D513" s="54"/>
      <c r="E513" s="54"/>
      <c r="F513" s="301"/>
      <c r="G513" s="301"/>
      <c r="H513" s="54"/>
      <c r="I513" s="54"/>
      <c r="J513" s="54"/>
    </row>
    <row r="514" spans="1:10" ht="13.2" customHeight="1">
      <c r="A514" s="54"/>
      <c r="B514" s="54"/>
      <c r="C514" s="54"/>
      <c r="D514" s="54"/>
      <c r="E514" s="54"/>
      <c r="F514" s="301"/>
      <c r="G514" s="301"/>
      <c r="H514" s="54"/>
      <c r="I514" s="54"/>
      <c r="J514" s="54"/>
    </row>
    <row r="515" spans="1:10" ht="13.2" customHeight="1">
      <c r="A515" s="54"/>
      <c r="B515" s="54"/>
      <c r="C515" s="54"/>
      <c r="D515" s="54"/>
      <c r="E515" s="54"/>
      <c r="F515" s="301"/>
      <c r="G515" s="301"/>
      <c r="H515" s="54"/>
      <c r="I515" s="54"/>
      <c r="J515" s="54"/>
    </row>
    <row r="516" spans="1:10" ht="13.2" customHeight="1">
      <c r="A516" s="54"/>
      <c r="B516" s="54"/>
      <c r="C516" s="54"/>
      <c r="D516" s="54"/>
      <c r="E516" s="54"/>
      <c r="F516" s="301"/>
      <c r="G516" s="301"/>
      <c r="H516" s="54"/>
      <c r="I516" s="54"/>
      <c r="J516" s="54"/>
    </row>
    <row r="517" spans="1:10" ht="13.2" customHeight="1">
      <c r="A517" s="54"/>
      <c r="B517" s="54"/>
      <c r="C517" s="54"/>
      <c r="D517" s="54"/>
      <c r="E517" s="54"/>
      <c r="F517" s="301"/>
      <c r="G517" s="301"/>
      <c r="H517" s="54"/>
      <c r="I517" s="54"/>
      <c r="J517" s="54"/>
    </row>
    <row r="518" spans="1:10" ht="13.2" customHeight="1">
      <c r="A518" s="54"/>
      <c r="B518" s="54"/>
      <c r="C518" s="54"/>
      <c r="D518" s="54"/>
      <c r="E518" s="54"/>
      <c r="F518" s="301"/>
      <c r="G518" s="301"/>
      <c r="H518" s="54"/>
      <c r="I518" s="54"/>
      <c r="J518" s="54"/>
    </row>
    <row r="519" spans="1:10" ht="13.2" customHeight="1">
      <c r="A519" s="54"/>
      <c r="B519" s="54"/>
      <c r="C519" s="54"/>
      <c r="D519" s="54"/>
      <c r="E519" s="54"/>
      <c r="F519" s="301"/>
      <c r="G519" s="301"/>
      <c r="H519" s="54"/>
      <c r="I519" s="54"/>
      <c r="J519" s="54"/>
    </row>
    <row r="520" spans="1:10" ht="13.2" customHeight="1">
      <c r="A520" s="54"/>
      <c r="B520" s="54"/>
      <c r="C520" s="54"/>
      <c r="D520" s="54"/>
      <c r="E520" s="54"/>
      <c r="F520" s="301"/>
      <c r="G520" s="301"/>
      <c r="H520" s="54"/>
      <c r="I520" s="54"/>
      <c r="J520" s="54"/>
    </row>
    <row r="521" spans="1:10" ht="13.2" customHeight="1">
      <c r="A521" s="54"/>
      <c r="B521" s="54"/>
      <c r="C521" s="54"/>
      <c r="D521" s="54"/>
      <c r="E521" s="54"/>
      <c r="F521" s="301"/>
      <c r="G521" s="301"/>
      <c r="H521" s="54"/>
      <c r="I521" s="54"/>
      <c r="J521" s="54"/>
    </row>
    <row r="522" spans="1:10" ht="13.2" customHeight="1">
      <c r="A522" s="54"/>
      <c r="B522" s="54"/>
      <c r="C522" s="54"/>
      <c r="D522" s="54"/>
      <c r="E522" s="54"/>
      <c r="F522" s="301"/>
      <c r="G522" s="301"/>
      <c r="H522" s="54"/>
      <c r="I522" s="54"/>
      <c r="J522" s="54"/>
    </row>
    <row r="523" spans="1:10" ht="13.2" customHeight="1">
      <c r="A523" s="54"/>
      <c r="B523" s="54"/>
      <c r="C523" s="54"/>
      <c r="D523" s="54"/>
      <c r="E523" s="54"/>
      <c r="F523" s="301"/>
      <c r="G523" s="301"/>
      <c r="H523" s="54"/>
      <c r="I523" s="54"/>
      <c r="J523" s="54"/>
    </row>
    <row r="524" spans="1:10" ht="13.2" customHeight="1">
      <c r="A524" s="54"/>
      <c r="B524" s="54"/>
      <c r="C524" s="54"/>
      <c r="D524" s="54"/>
      <c r="E524" s="54"/>
      <c r="F524" s="301"/>
      <c r="G524" s="301"/>
      <c r="H524" s="54"/>
      <c r="I524" s="54"/>
      <c r="J524" s="54"/>
    </row>
    <row r="525" spans="1:10" ht="13.2" customHeight="1">
      <c r="A525" s="54"/>
      <c r="B525" s="54"/>
      <c r="C525" s="54"/>
      <c r="D525" s="54"/>
      <c r="E525" s="54"/>
      <c r="F525" s="301"/>
      <c r="G525" s="301"/>
      <c r="H525" s="54"/>
      <c r="I525" s="54"/>
      <c r="J525" s="54"/>
    </row>
    <row r="526" spans="1:10" ht="13.2" customHeight="1">
      <c r="A526" s="54"/>
      <c r="B526" s="54"/>
      <c r="C526" s="54"/>
      <c r="D526" s="54"/>
      <c r="E526" s="54"/>
      <c r="F526" s="301"/>
      <c r="G526" s="301"/>
      <c r="H526" s="54"/>
      <c r="I526" s="54"/>
      <c r="J526" s="54"/>
    </row>
    <row r="527" spans="1:10" ht="13.2" customHeight="1">
      <c r="A527" s="54"/>
      <c r="B527" s="54"/>
      <c r="C527" s="54"/>
      <c r="D527" s="54"/>
      <c r="E527" s="54"/>
      <c r="F527" s="301"/>
      <c r="G527" s="301"/>
      <c r="H527" s="54"/>
      <c r="I527" s="54"/>
      <c r="J527" s="54"/>
    </row>
    <row r="528" spans="1:10" ht="13.2" customHeight="1">
      <c r="A528" s="54"/>
      <c r="B528" s="54"/>
      <c r="C528" s="54"/>
      <c r="D528" s="54"/>
      <c r="E528" s="54"/>
      <c r="F528" s="301"/>
      <c r="G528" s="301"/>
      <c r="H528" s="54"/>
      <c r="I528" s="54"/>
      <c r="J528" s="54"/>
    </row>
    <row r="529" spans="1:10" ht="13.2" customHeight="1">
      <c r="A529" s="54"/>
      <c r="B529" s="54"/>
      <c r="C529" s="54"/>
      <c r="D529" s="54"/>
      <c r="E529" s="54"/>
      <c r="F529" s="301"/>
      <c r="G529" s="301"/>
      <c r="H529" s="54"/>
      <c r="I529" s="54"/>
      <c r="J529" s="54"/>
    </row>
    <row r="530" spans="1:10" ht="13.2" customHeight="1">
      <c r="A530" s="54"/>
      <c r="B530" s="54"/>
      <c r="C530" s="54"/>
      <c r="D530" s="54"/>
      <c r="E530" s="54"/>
      <c r="F530" s="301"/>
      <c r="G530" s="301"/>
      <c r="H530" s="54"/>
      <c r="I530" s="54"/>
      <c r="J530" s="54"/>
    </row>
    <row r="531" spans="1:10" ht="13.2" customHeight="1">
      <c r="A531" s="54"/>
      <c r="B531" s="54"/>
      <c r="C531" s="54"/>
      <c r="D531" s="54"/>
      <c r="E531" s="54"/>
      <c r="F531" s="301"/>
      <c r="G531" s="301"/>
      <c r="H531" s="54"/>
      <c r="I531" s="54"/>
      <c r="J531" s="54"/>
    </row>
    <row r="532" spans="1:10" ht="13.2" customHeight="1">
      <c r="A532" s="54"/>
      <c r="B532" s="54"/>
      <c r="C532" s="54"/>
      <c r="D532" s="54"/>
      <c r="E532" s="54"/>
      <c r="F532" s="301"/>
      <c r="G532" s="301"/>
      <c r="H532" s="54"/>
      <c r="I532" s="54"/>
      <c r="J532" s="54"/>
    </row>
    <row r="533" spans="1:10" ht="13.2" customHeight="1">
      <c r="A533" s="54"/>
      <c r="B533" s="54"/>
      <c r="C533" s="54"/>
      <c r="D533" s="54"/>
      <c r="E533" s="54"/>
      <c r="F533" s="301"/>
      <c r="G533" s="301"/>
      <c r="H533" s="54"/>
      <c r="I533" s="54"/>
      <c r="J533" s="54"/>
    </row>
    <row r="534" spans="1:10" ht="13.2" customHeight="1">
      <c r="A534" s="54"/>
      <c r="B534" s="54"/>
      <c r="C534" s="54"/>
      <c r="D534" s="54"/>
      <c r="E534" s="54"/>
      <c r="F534" s="301"/>
      <c r="G534" s="301"/>
      <c r="H534" s="54"/>
      <c r="I534" s="54"/>
      <c r="J534" s="54"/>
    </row>
    <row r="535" spans="1:10" ht="13.2" customHeight="1">
      <c r="A535" s="54"/>
      <c r="B535" s="54"/>
      <c r="C535" s="54"/>
      <c r="D535" s="54"/>
      <c r="E535" s="54"/>
      <c r="F535" s="301"/>
      <c r="G535" s="301"/>
      <c r="H535" s="54"/>
      <c r="I535" s="54"/>
      <c r="J535" s="54"/>
    </row>
    <row r="536" spans="1:10" ht="13.2" customHeight="1">
      <c r="A536" s="54"/>
      <c r="B536" s="54"/>
      <c r="C536" s="54"/>
      <c r="D536" s="54"/>
      <c r="E536" s="54"/>
      <c r="F536" s="301"/>
      <c r="G536" s="301"/>
      <c r="H536" s="54"/>
      <c r="I536" s="54"/>
      <c r="J536" s="54"/>
    </row>
    <row r="537" spans="1:10" ht="13.2" customHeight="1">
      <c r="A537" s="54"/>
      <c r="B537" s="54"/>
      <c r="C537" s="54"/>
      <c r="D537" s="54"/>
      <c r="E537" s="54"/>
      <c r="F537" s="301"/>
      <c r="G537" s="301"/>
      <c r="H537" s="54"/>
      <c r="I537" s="54"/>
      <c r="J537" s="54"/>
    </row>
    <row r="538" spans="1:10" ht="13.2" customHeight="1">
      <c r="A538" s="54"/>
      <c r="B538" s="54"/>
      <c r="C538" s="54"/>
      <c r="D538" s="54"/>
      <c r="E538" s="54"/>
      <c r="F538" s="301"/>
      <c r="G538" s="301"/>
      <c r="H538" s="54"/>
      <c r="I538" s="54"/>
      <c r="J538" s="54"/>
    </row>
    <row r="539" spans="1:10" ht="13.2" customHeight="1">
      <c r="A539" s="54"/>
      <c r="B539" s="54"/>
      <c r="C539" s="54"/>
      <c r="D539" s="54"/>
      <c r="E539" s="54"/>
      <c r="F539" s="301"/>
      <c r="G539" s="301"/>
      <c r="H539" s="54"/>
      <c r="I539" s="54"/>
      <c r="J539" s="54"/>
    </row>
    <row r="540" spans="1:10" ht="13.2" customHeight="1">
      <c r="A540" s="54"/>
      <c r="B540" s="54"/>
      <c r="C540" s="54"/>
      <c r="D540" s="54"/>
      <c r="E540" s="54"/>
      <c r="F540" s="301"/>
      <c r="G540" s="301"/>
      <c r="H540" s="54"/>
      <c r="I540" s="54"/>
      <c r="J540" s="54"/>
    </row>
    <row r="541" spans="1:10" ht="13.2" customHeight="1">
      <c r="A541" s="54"/>
      <c r="B541" s="54"/>
      <c r="C541" s="54"/>
      <c r="D541" s="54"/>
      <c r="E541" s="54"/>
      <c r="F541" s="301"/>
      <c r="G541" s="301"/>
      <c r="H541" s="54"/>
      <c r="I541" s="54"/>
      <c r="J541" s="54"/>
    </row>
    <row r="542" spans="1:10" ht="13.2" customHeight="1">
      <c r="A542" s="54"/>
      <c r="B542" s="54"/>
      <c r="C542" s="54"/>
      <c r="D542" s="54"/>
      <c r="E542" s="54"/>
      <c r="F542" s="301"/>
      <c r="G542" s="301"/>
      <c r="H542" s="54"/>
      <c r="I542" s="54"/>
      <c r="J542" s="54"/>
    </row>
    <row r="543" spans="1:10" ht="13.2" customHeight="1">
      <c r="A543" s="54"/>
      <c r="B543" s="54"/>
      <c r="C543" s="54"/>
      <c r="D543" s="54"/>
      <c r="E543" s="54"/>
      <c r="F543" s="301"/>
      <c r="G543" s="301"/>
      <c r="H543" s="54"/>
      <c r="I543" s="54"/>
      <c r="J543" s="54"/>
    </row>
    <row r="544" spans="1:10" ht="13.2" customHeight="1">
      <c r="A544" s="54"/>
      <c r="B544" s="54"/>
      <c r="C544" s="54"/>
      <c r="D544" s="54"/>
      <c r="E544" s="54"/>
      <c r="F544" s="301"/>
      <c r="G544" s="301"/>
      <c r="H544" s="54"/>
      <c r="I544" s="54"/>
      <c r="J544" s="54"/>
    </row>
    <row r="545" spans="1:10" ht="13.2" customHeight="1">
      <c r="A545" s="54"/>
      <c r="B545" s="54"/>
      <c r="C545" s="54"/>
      <c r="D545" s="54"/>
      <c r="E545" s="54"/>
      <c r="F545" s="301"/>
      <c r="G545" s="301"/>
      <c r="H545" s="54"/>
      <c r="I545" s="54"/>
      <c r="J545" s="54"/>
    </row>
    <row r="546" spans="1:10" ht="13.2" customHeight="1">
      <c r="A546" s="54"/>
      <c r="B546" s="54"/>
      <c r="C546" s="54"/>
      <c r="D546" s="54"/>
      <c r="E546" s="54"/>
      <c r="F546" s="301"/>
      <c r="G546" s="301"/>
      <c r="H546" s="54"/>
      <c r="I546" s="54"/>
      <c r="J546" s="54"/>
    </row>
    <row r="547" spans="1:10" ht="13.2" customHeight="1">
      <c r="A547" s="54"/>
      <c r="B547" s="54"/>
      <c r="C547" s="54"/>
      <c r="D547" s="54"/>
      <c r="E547" s="54"/>
      <c r="F547" s="301"/>
      <c r="G547" s="301"/>
      <c r="H547" s="54"/>
      <c r="I547" s="54"/>
      <c r="J547" s="54"/>
    </row>
    <row r="548" spans="1:10" ht="13.2" customHeight="1">
      <c r="A548" s="54"/>
      <c r="B548" s="54"/>
      <c r="C548" s="54"/>
      <c r="D548" s="54"/>
      <c r="E548" s="54"/>
      <c r="F548" s="301"/>
      <c r="G548" s="301"/>
      <c r="H548" s="54"/>
      <c r="I548" s="54"/>
      <c r="J548" s="54"/>
    </row>
    <row r="549" spans="1:10" ht="13.2" customHeight="1">
      <c r="A549" s="54"/>
      <c r="B549" s="54"/>
      <c r="C549" s="54"/>
      <c r="D549" s="54"/>
      <c r="E549" s="54"/>
      <c r="F549" s="301"/>
      <c r="G549" s="301"/>
      <c r="H549" s="54"/>
      <c r="I549" s="54"/>
      <c r="J549" s="54"/>
    </row>
    <row r="550" spans="1:10" ht="13.2" customHeight="1">
      <c r="A550" s="54"/>
      <c r="B550" s="54"/>
      <c r="C550" s="54"/>
      <c r="D550" s="54"/>
      <c r="E550" s="54"/>
      <c r="F550" s="301"/>
      <c r="G550" s="301"/>
      <c r="H550" s="54"/>
      <c r="I550" s="54"/>
      <c r="J550" s="54"/>
    </row>
    <row r="551" spans="1:10" ht="13.2" customHeight="1">
      <c r="A551" s="54"/>
      <c r="B551" s="54"/>
      <c r="C551" s="54"/>
      <c r="D551" s="54"/>
      <c r="E551" s="54"/>
      <c r="F551" s="301"/>
      <c r="G551" s="301"/>
      <c r="H551" s="54"/>
      <c r="I551" s="54"/>
      <c r="J551" s="54"/>
    </row>
    <row r="552" spans="1:10" ht="13.2" customHeight="1">
      <c r="A552" s="54"/>
      <c r="B552" s="54"/>
      <c r="C552" s="54"/>
      <c r="D552" s="54"/>
      <c r="E552" s="54"/>
      <c r="F552" s="301"/>
      <c r="G552" s="301"/>
      <c r="H552" s="54"/>
      <c r="I552" s="54"/>
      <c r="J552" s="54"/>
    </row>
    <row r="553" spans="1:10" ht="13.2" customHeight="1">
      <c r="A553" s="54"/>
      <c r="B553" s="54"/>
      <c r="C553" s="54"/>
      <c r="D553" s="54"/>
      <c r="E553" s="54"/>
      <c r="F553" s="301"/>
      <c r="G553" s="301"/>
      <c r="H553" s="54"/>
      <c r="I553" s="54"/>
      <c r="J553" s="54"/>
    </row>
    <row r="554" spans="1:10" ht="13.2" customHeight="1">
      <c r="A554" s="54"/>
      <c r="B554" s="54"/>
      <c r="C554" s="54"/>
      <c r="D554" s="54"/>
      <c r="E554" s="54"/>
      <c r="F554" s="301"/>
      <c r="G554" s="301"/>
      <c r="H554" s="54"/>
      <c r="I554" s="54"/>
      <c r="J554" s="54"/>
    </row>
    <row r="555" spans="1:10" ht="13.2" customHeight="1">
      <c r="A555" s="54"/>
      <c r="B555" s="54"/>
      <c r="C555" s="54"/>
      <c r="D555" s="54"/>
      <c r="E555" s="54"/>
      <c r="F555" s="301"/>
      <c r="G555" s="301"/>
      <c r="H555" s="54"/>
      <c r="I555" s="54"/>
      <c r="J555" s="54"/>
    </row>
    <row r="556" spans="1:10" ht="13.2" customHeight="1">
      <c r="A556" s="54"/>
      <c r="B556" s="54"/>
      <c r="C556" s="54"/>
      <c r="D556" s="54"/>
      <c r="E556" s="54"/>
      <c r="F556" s="301"/>
      <c r="G556" s="301"/>
      <c r="H556" s="54"/>
      <c r="I556" s="54"/>
      <c r="J556" s="54"/>
    </row>
    <row r="557" spans="1:10" ht="13.2" customHeight="1">
      <c r="A557" s="54"/>
      <c r="B557" s="54"/>
      <c r="C557" s="54"/>
      <c r="D557" s="54"/>
      <c r="E557" s="54"/>
      <c r="F557" s="301"/>
      <c r="G557" s="301"/>
      <c r="H557" s="54"/>
      <c r="I557" s="54"/>
      <c r="J557" s="54"/>
    </row>
    <row r="558" spans="1:10" ht="13.2" customHeight="1">
      <c r="A558" s="54"/>
      <c r="B558" s="54"/>
      <c r="C558" s="54"/>
      <c r="D558" s="54"/>
      <c r="E558" s="54"/>
      <c r="F558" s="301"/>
      <c r="G558" s="301"/>
      <c r="H558" s="54"/>
      <c r="I558" s="54"/>
      <c r="J558" s="54"/>
    </row>
    <row r="559" spans="1:10" ht="13.2" customHeight="1">
      <c r="A559" s="54"/>
      <c r="B559" s="54"/>
      <c r="C559" s="54"/>
      <c r="D559" s="54"/>
      <c r="E559" s="54"/>
      <c r="F559" s="301"/>
      <c r="G559" s="301"/>
      <c r="H559" s="54"/>
      <c r="I559" s="54"/>
      <c r="J559" s="54"/>
    </row>
    <row r="560" spans="1:10" ht="13.2" customHeight="1">
      <c r="A560" s="54"/>
      <c r="B560" s="54"/>
      <c r="C560" s="54"/>
      <c r="D560" s="54"/>
      <c r="E560" s="54"/>
      <c r="F560" s="301"/>
      <c r="G560" s="301"/>
      <c r="H560" s="54"/>
      <c r="I560" s="54"/>
      <c r="J560" s="54"/>
    </row>
    <row r="561" spans="1:10" ht="13.2" customHeight="1">
      <c r="A561" s="54"/>
      <c r="B561" s="54"/>
      <c r="C561" s="54"/>
      <c r="D561" s="54"/>
      <c r="E561" s="54"/>
      <c r="F561" s="301"/>
      <c r="G561" s="301"/>
      <c r="H561" s="54"/>
      <c r="I561" s="54"/>
      <c r="J561" s="54"/>
    </row>
    <row r="562" spans="1:10" ht="13.2" customHeight="1">
      <c r="A562" s="54"/>
      <c r="B562" s="54"/>
      <c r="C562" s="54"/>
      <c r="D562" s="54"/>
      <c r="E562" s="54"/>
      <c r="F562" s="301"/>
      <c r="G562" s="301"/>
      <c r="H562" s="54"/>
      <c r="I562" s="54"/>
      <c r="J562" s="54"/>
    </row>
    <row r="563" spans="1:10" ht="13.2" customHeight="1">
      <c r="A563" s="54"/>
      <c r="B563" s="54"/>
      <c r="C563" s="54"/>
      <c r="D563" s="54"/>
      <c r="E563" s="54"/>
      <c r="F563" s="301"/>
      <c r="G563" s="301"/>
      <c r="H563" s="54"/>
      <c r="I563" s="54"/>
      <c r="J563" s="54"/>
    </row>
    <row r="564" spans="1:10" ht="13.2" customHeight="1">
      <c r="A564" s="54"/>
      <c r="B564" s="54"/>
      <c r="C564" s="54"/>
      <c r="D564" s="54"/>
      <c r="E564" s="54"/>
      <c r="F564" s="301"/>
      <c r="G564" s="301"/>
      <c r="H564" s="54"/>
      <c r="I564" s="54"/>
      <c r="J564" s="54"/>
    </row>
    <row r="565" spans="1:10" ht="13.2" customHeight="1">
      <c r="A565" s="54"/>
      <c r="B565" s="54"/>
      <c r="C565" s="54"/>
      <c r="D565" s="54"/>
      <c r="E565" s="54"/>
      <c r="F565" s="301"/>
      <c r="G565" s="301"/>
      <c r="H565" s="54"/>
      <c r="I565" s="54"/>
      <c r="J565" s="54"/>
    </row>
    <row r="566" spans="1:10" ht="13.2" customHeight="1">
      <c r="A566" s="54"/>
      <c r="B566" s="54"/>
      <c r="C566" s="54"/>
      <c r="D566" s="54"/>
      <c r="E566" s="54"/>
      <c r="F566" s="301"/>
      <c r="G566" s="301"/>
      <c r="H566" s="54"/>
      <c r="I566" s="54"/>
      <c r="J566" s="54"/>
    </row>
    <row r="567" spans="1:10" ht="13.2" customHeight="1">
      <c r="A567" s="54"/>
      <c r="B567" s="54"/>
      <c r="C567" s="54"/>
      <c r="D567" s="54"/>
      <c r="E567" s="54"/>
      <c r="F567" s="301"/>
      <c r="G567" s="301"/>
      <c r="H567" s="54"/>
      <c r="I567" s="54"/>
      <c r="J567" s="54"/>
    </row>
    <row r="568" spans="1:10" ht="13.2" customHeight="1">
      <c r="A568" s="54"/>
      <c r="B568" s="54"/>
      <c r="C568" s="54"/>
      <c r="D568" s="54"/>
      <c r="E568" s="54"/>
      <c r="F568" s="301"/>
      <c r="G568" s="301"/>
      <c r="H568" s="54"/>
      <c r="I568" s="54"/>
      <c r="J568" s="54"/>
    </row>
    <row r="569" spans="1:10" ht="13.2" customHeight="1">
      <c r="A569" s="54"/>
      <c r="B569" s="54"/>
      <c r="C569" s="54"/>
      <c r="D569" s="54"/>
      <c r="E569" s="54"/>
      <c r="F569" s="301"/>
      <c r="G569" s="301"/>
      <c r="H569" s="54"/>
      <c r="I569" s="54"/>
      <c r="J569" s="54"/>
    </row>
    <row r="570" spans="1:10" ht="13.2" customHeight="1">
      <c r="A570" s="54"/>
      <c r="B570" s="54"/>
      <c r="C570" s="54"/>
      <c r="D570" s="54"/>
      <c r="E570" s="54"/>
      <c r="F570" s="301"/>
      <c r="G570" s="301"/>
      <c r="H570" s="54"/>
      <c r="I570" s="54"/>
      <c r="J570" s="54"/>
    </row>
    <row r="571" spans="1:10" ht="13.2" customHeight="1">
      <c r="A571" s="54"/>
      <c r="B571" s="54"/>
      <c r="C571" s="54"/>
      <c r="D571" s="54"/>
      <c r="E571" s="54"/>
      <c r="F571" s="301"/>
      <c r="G571" s="301"/>
      <c r="H571" s="54"/>
      <c r="I571" s="54"/>
      <c r="J571" s="54"/>
    </row>
    <row r="572" spans="1:10" ht="13.2" customHeight="1">
      <c r="A572" s="54"/>
      <c r="B572" s="54"/>
      <c r="C572" s="54"/>
      <c r="D572" s="54"/>
      <c r="E572" s="54"/>
      <c r="F572" s="301"/>
      <c r="G572" s="301"/>
      <c r="H572" s="54"/>
      <c r="I572" s="54"/>
      <c r="J572" s="54"/>
    </row>
    <row r="573" spans="1:10" ht="13.2" customHeight="1">
      <c r="A573" s="54"/>
      <c r="B573" s="54"/>
      <c r="C573" s="54"/>
      <c r="D573" s="54"/>
      <c r="E573" s="54"/>
      <c r="F573" s="301"/>
      <c r="G573" s="301"/>
      <c r="H573" s="54"/>
      <c r="I573" s="54"/>
      <c r="J573" s="54"/>
    </row>
    <row r="574" spans="1:10" ht="13.2" customHeight="1">
      <c r="A574" s="54"/>
      <c r="B574" s="54"/>
      <c r="C574" s="54"/>
      <c r="D574" s="54"/>
      <c r="E574" s="54"/>
      <c r="F574" s="301"/>
      <c r="G574" s="301"/>
      <c r="H574" s="54"/>
      <c r="I574" s="54"/>
      <c r="J574" s="54"/>
    </row>
    <row r="575" spans="1:10" ht="13.2" customHeight="1">
      <c r="A575" s="54"/>
      <c r="B575" s="54"/>
      <c r="C575" s="54"/>
      <c r="D575" s="54"/>
      <c r="E575" s="54"/>
      <c r="F575" s="301"/>
      <c r="G575" s="301"/>
      <c r="H575" s="54"/>
      <c r="I575" s="54"/>
      <c r="J575" s="54"/>
    </row>
    <row r="576" spans="1:10" ht="13.2" customHeight="1">
      <c r="A576" s="54"/>
      <c r="B576" s="54"/>
      <c r="C576" s="54"/>
      <c r="D576" s="54"/>
      <c r="E576" s="54"/>
      <c r="F576" s="301"/>
      <c r="G576" s="301"/>
      <c r="H576" s="54"/>
      <c r="I576" s="54"/>
      <c r="J576" s="54"/>
    </row>
    <row r="577" spans="1:10" ht="13.2" customHeight="1">
      <c r="A577" s="54"/>
      <c r="B577" s="54"/>
      <c r="C577" s="54"/>
      <c r="D577" s="54"/>
      <c r="E577" s="54"/>
      <c r="F577" s="301"/>
      <c r="G577" s="301"/>
      <c r="H577" s="54"/>
      <c r="I577" s="54"/>
      <c r="J577" s="54"/>
    </row>
    <row r="578" spans="1:10" ht="13.2" customHeight="1">
      <c r="A578" s="54"/>
      <c r="B578" s="54"/>
      <c r="C578" s="54"/>
      <c r="D578" s="54"/>
      <c r="E578" s="54"/>
      <c r="F578" s="301"/>
      <c r="G578" s="301"/>
      <c r="H578" s="54"/>
      <c r="I578" s="54"/>
      <c r="J578" s="54"/>
    </row>
    <row r="579" spans="1:10" ht="13.2" customHeight="1">
      <c r="A579" s="54"/>
      <c r="B579" s="54"/>
      <c r="C579" s="54"/>
      <c r="D579" s="54"/>
      <c r="E579" s="54"/>
      <c r="F579" s="301"/>
      <c r="G579" s="301"/>
      <c r="H579" s="54"/>
      <c r="I579" s="54"/>
      <c r="J579" s="54"/>
    </row>
    <row r="580" spans="1:10" ht="13.2" customHeight="1">
      <c r="A580" s="54"/>
      <c r="B580" s="54"/>
      <c r="C580" s="54"/>
      <c r="D580" s="54"/>
      <c r="E580" s="54"/>
      <c r="F580" s="301"/>
      <c r="G580" s="301"/>
      <c r="H580" s="54"/>
      <c r="I580" s="54"/>
      <c r="J580" s="54"/>
    </row>
    <row r="581" spans="1:10" ht="13.2" customHeight="1">
      <c r="A581" s="54"/>
      <c r="B581" s="54"/>
      <c r="C581" s="54"/>
      <c r="D581" s="54"/>
      <c r="E581" s="54"/>
      <c r="F581" s="301"/>
      <c r="G581" s="301"/>
      <c r="H581" s="54"/>
      <c r="I581" s="54"/>
      <c r="J581" s="54"/>
    </row>
    <row r="582" spans="1:10" ht="13.2" customHeight="1">
      <c r="A582" s="54"/>
      <c r="B582" s="54"/>
      <c r="C582" s="54"/>
      <c r="D582" s="54"/>
      <c r="E582" s="54"/>
      <c r="F582" s="301"/>
      <c r="G582" s="301"/>
      <c r="H582" s="54"/>
      <c r="I582" s="54"/>
      <c r="J582" s="54"/>
    </row>
    <row r="583" spans="1:10" ht="13.2" customHeight="1">
      <c r="A583" s="54"/>
      <c r="B583" s="54"/>
      <c r="C583" s="54"/>
      <c r="D583" s="54"/>
      <c r="E583" s="54"/>
      <c r="F583" s="301"/>
      <c r="G583" s="301"/>
      <c r="H583" s="54"/>
      <c r="I583" s="54"/>
      <c r="J583" s="54"/>
    </row>
    <row r="584" spans="1:10" ht="13.2" customHeight="1">
      <c r="A584" s="54"/>
      <c r="B584" s="54"/>
      <c r="C584" s="54"/>
      <c r="D584" s="54"/>
      <c r="E584" s="54"/>
      <c r="F584" s="301"/>
      <c r="G584" s="301"/>
      <c r="H584" s="54"/>
      <c r="I584" s="54"/>
      <c r="J584" s="54"/>
    </row>
    <row r="585" spans="1:10" ht="13.2" customHeight="1">
      <c r="A585" s="54"/>
      <c r="B585" s="54"/>
      <c r="C585" s="54"/>
      <c r="D585" s="54"/>
      <c r="E585" s="54"/>
      <c r="F585" s="301"/>
      <c r="G585" s="301"/>
      <c r="H585" s="54"/>
      <c r="I585" s="54"/>
      <c r="J585" s="54"/>
    </row>
    <row r="586" spans="1:10" ht="13.2" customHeight="1">
      <c r="A586" s="54"/>
      <c r="B586" s="54"/>
      <c r="C586" s="54"/>
      <c r="D586" s="54"/>
      <c r="E586" s="54"/>
      <c r="F586" s="301"/>
      <c r="G586" s="301"/>
      <c r="H586" s="54"/>
      <c r="I586" s="54"/>
      <c r="J586" s="54"/>
    </row>
    <row r="587" spans="1:10" ht="13.2" customHeight="1">
      <c r="A587" s="54"/>
      <c r="B587" s="54"/>
      <c r="C587" s="54"/>
      <c r="D587" s="54"/>
      <c r="E587" s="54"/>
      <c r="F587" s="301"/>
      <c r="G587" s="301"/>
      <c r="H587" s="54"/>
      <c r="I587" s="54"/>
      <c r="J587" s="54"/>
    </row>
    <row r="588" spans="1:10" ht="13.2" customHeight="1">
      <c r="A588" s="54"/>
      <c r="B588" s="54"/>
      <c r="C588" s="54"/>
      <c r="D588" s="54"/>
      <c r="E588" s="54"/>
      <c r="F588" s="301"/>
      <c r="G588" s="301"/>
      <c r="H588" s="54"/>
      <c r="I588" s="54"/>
      <c r="J588" s="54"/>
    </row>
    <row r="589" spans="1:10" ht="13.2" customHeight="1">
      <c r="A589" s="54"/>
      <c r="B589" s="54"/>
      <c r="C589" s="54"/>
      <c r="D589" s="54"/>
      <c r="E589" s="54"/>
      <c r="F589" s="301"/>
      <c r="G589" s="301"/>
      <c r="H589" s="54"/>
      <c r="I589" s="54"/>
      <c r="J589" s="54"/>
    </row>
    <row r="590" spans="1:10" ht="13.2" customHeight="1">
      <c r="A590" s="54"/>
      <c r="B590" s="54"/>
      <c r="C590" s="54"/>
      <c r="D590" s="54"/>
      <c r="E590" s="54"/>
      <c r="F590" s="301"/>
      <c r="G590" s="301"/>
      <c r="H590" s="54"/>
      <c r="I590" s="54"/>
      <c r="J590" s="54"/>
    </row>
    <row r="591" spans="1:10" ht="13.2" customHeight="1">
      <c r="A591" s="54"/>
      <c r="B591" s="54"/>
      <c r="C591" s="54"/>
      <c r="D591" s="54"/>
      <c r="E591" s="54"/>
      <c r="F591" s="301"/>
      <c r="G591" s="301"/>
      <c r="H591" s="54"/>
      <c r="I591" s="54"/>
      <c r="J591" s="54"/>
    </row>
    <row r="592" spans="1:10" ht="13.2" customHeight="1">
      <c r="A592" s="54"/>
      <c r="B592" s="54"/>
      <c r="C592" s="54"/>
      <c r="D592" s="54"/>
      <c r="E592" s="54"/>
      <c r="F592" s="301"/>
      <c r="G592" s="301"/>
      <c r="H592" s="54"/>
      <c r="I592" s="54"/>
      <c r="J592" s="54"/>
    </row>
    <row r="593" spans="1:10" ht="13.2" customHeight="1">
      <c r="A593" s="54"/>
      <c r="B593" s="54"/>
      <c r="C593" s="54"/>
      <c r="D593" s="54"/>
      <c r="E593" s="54"/>
      <c r="F593" s="301"/>
      <c r="G593" s="301"/>
      <c r="H593" s="54"/>
      <c r="I593" s="54"/>
      <c r="J593" s="54"/>
    </row>
    <row r="594" spans="1:10" ht="13.2" customHeight="1">
      <c r="A594" s="54"/>
      <c r="B594" s="54"/>
      <c r="C594" s="54"/>
      <c r="D594" s="54"/>
      <c r="E594" s="54"/>
      <c r="F594" s="301"/>
      <c r="G594" s="301"/>
      <c r="H594" s="54"/>
      <c r="I594" s="54"/>
      <c r="J594" s="54"/>
    </row>
    <row r="595" spans="1:10" ht="13.2" customHeight="1">
      <c r="A595" s="54"/>
      <c r="B595" s="54"/>
      <c r="C595" s="54"/>
      <c r="D595" s="54"/>
      <c r="E595" s="54"/>
      <c r="F595" s="301"/>
      <c r="G595" s="301"/>
      <c r="H595" s="54"/>
      <c r="I595" s="54"/>
      <c r="J595" s="54"/>
    </row>
    <row r="596" spans="1:10" ht="13.2" customHeight="1">
      <c r="A596" s="54"/>
      <c r="B596" s="54"/>
      <c r="C596" s="54"/>
      <c r="D596" s="54"/>
      <c r="E596" s="54"/>
      <c r="F596" s="301"/>
      <c r="G596" s="301"/>
      <c r="H596" s="54"/>
      <c r="I596" s="54"/>
      <c r="J596" s="54"/>
    </row>
    <row r="597" spans="1:10" ht="13.2" customHeight="1">
      <c r="A597" s="54"/>
      <c r="B597" s="54"/>
      <c r="C597" s="54"/>
      <c r="D597" s="54"/>
      <c r="E597" s="54"/>
      <c r="F597" s="301"/>
      <c r="G597" s="301"/>
      <c r="H597" s="54"/>
      <c r="I597" s="54"/>
      <c r="J597" s="54"/>
    </row>
    <row r="598" spans="1:10" ht="13.2" customHeight="1">
      <c r="A598" s="54"/>
      <c r="B598" s="54"/>
      <c r="C598" s="54"/>
      <c r="D598" s="54"/>
      <c r="E598" s="54"/>
      <c r="F598" s="301"/>
      <c r="G598" s="301"/>
      <c r="H598" s="54"/>
      <c r="I598" s="54"/>
      <c r="J598" s="54"/>
    </row>
    <row r="599" spans="1:10" ht="13.2" customHeight="1">
      <c r="A599" s="54"/>
      <c r="B599" s="54"/>
      <c r="C599" s="54"/>
      <c r="D599" s="54"/>
      <c r="E599" s="54"/>
      <c r="F599" s="301"/>
      <c r="G599" s="301"/>
      <c r="H599" s="54"/>
      <c r="I599" s="54"/>
      <c r="J599" s="54"/>
    </row>
    <row r="600" spans="1:10" ht="13.2" customHeight="1">
      <c r="A600" s="54"/>
      <c r="B600" s="54"/>
      <c r="C600" s="54"/>
      <c r="D600" s="54"/>
      <c r="E600" s="54"/>
      <c r="F600" s="301"/>
      <c r="G600" s="301"/>
      <c r="H600" s="54"/>
      <c r="I600" s="54"/>
      <c r="J600" s="54"/>
    </row>
    <row r="601" spans="1:10" ht="13.2" customHeight="1">
      <c r="A601" s="54"/>
      <c r="B601" s="54"/>
      <c r="C601" s="54"/>
      <c r="D601" s="54"/>
      <c r="E601" s="54"/>
      <c r="F601" s="301"/>
      <c r="G601" s="301"/>
      <c r="H601" s="54"/>
      <c r="I601" s="54"/>
      <c r="J601" s="54"/>
    </row>
    <row r="602" spans="1:10" ht="13.2" customHeight="1">
      <c r="A602" s="54"/>
      <c r="B602" s="54"/>
      <c r="C602" s="54"/>
      <c r="D602" s="54"/>
      <c r="E602" s="54"/>
      <c r="F602" s="301"/>
      <c r="G602" s="301"/>
      <c r="H602" s="54"/>
      <c r="I602" s="54"/>
      <c r="J602" s="54"/>
    </row>
    <row r="603" spans="1:10" ht="13.2" customHeight="1">
      <c r="A603" s="54"/>
      <c r="B603" s="54"/>
      <c r="C603" s="54"/>
      <c r="D603" s="54"/>
      <c r="E603" s="54"/>
      <c r="F603" s="301"/>
      <c r="G603" s="301"/>
      <c r="H603" s="54"/>
      <c r="I603" s="54"/>
      <c r="J603" s="54"/>
    </row>
    <row r="604" spans="1:10" ht="13.2" customHeight="1">
      <c r="A604" s="54"/>
      <c r="B604" s="54"/>
      <c r="C604" s="54"/>
      <c r="D604" s="54"/>
      <c r="E604" s="54"/>
      <c r="F604" s="301"/>
      <c r="G604" s="301"/>
      <c r="H604" s="54"/>
      <c r="I604" s="54"/>
      <c r="J604" s="54"/>
    </row>
    <row r="605" spans="1:10" ht="13.2" customHeight="1">
      <c r="A605" s="54"/>
      <c r="B605" s="54"/>
      <c r="C605" s="54"/>
      <c r="D605" s="54"/>
      <c r="E605" s="54"/>
      <c r="F605" s="301"/>
      <c r="G605" s="301"/>
      <c r="H605" s="54"/>
      <c r="I605" s="54"/>
      <c r="J605" s="54"/>
    </row>
    <row r="606" spans="1:10" ht="13.2" customHeight="1">
      <c r="A606" s="54"/>
      <c r="B606" s="54"/>
      <c r="C606" s="54"/>
      <c r="D606" s="54"/>
      <c r="E606" s="54"/>
      <c r="F606" s="301"/>
      <c r="G606" s="301"/>
      <c r="H606" s="54"/>
      <c r="I606" s="54"/>
      <c r="J606" s="54"/>
    </row>
    <row r="607" spans="1:10" ht="13.2" customHeight="1">
      <c r="A607" s="54"/>
      <c r="B607" s="54"/>
      <c r="C607" s="54"/>
      <c r="D607" s="54"/>
      <c r="E607" s="54"/>
      <c r="F607" s="301"/>
      <c r="G607" s="301"/>
      <c r="H607" s="54"/>
      <c r="I607" s="54"/>
      <c r="J607" s="54"/>
    </row>
    <row r="608" spans="1:10" ht="13.2" customHeight="1">
      <c r="A608" s="54"/>
      <c r="B608" s="54"/>
      <c r="C608" s="54"/>
      <c r="D608" s="54"/>
      <c r="E608" s="54"/>
      <c r="F608" s="301"/>
      <c r="G608" s="301"/>
      <c r="H608" s="54"/>
      <c r="I608" s="54"/>
      <c r="J608" s="54"/>
    </row>
    <row r="609" spans="1:10" ht="13.2" customHeight="1">
      <c r="A609" s="54"/>
      <c r="B609" s="54"/>
      <c r="C609" s="54"/>
      <c r="D609" s="54"/>
      <c r="E609" s="54"/>
      <c r="F609" s="301"/>
      <c r="G609" s="301"/>
      <c r="H609" s="54"/>
      <c r="I609" s="54"/>
      <c r="J609" s="54"/>
    </row>
    <row r="610" spans="1:10" ht="13.2" customHeight="1">
      <c r="A610" s="54"/>
      <c r="B610" s="54"/>
      <c r="C610" s="54"/>
      <c r="D610" s="54"/>
      <c r="E610" s="54"/>
      <c r="F610" s="301"/>
      <c r="G610" s="301"/>
      <c r="H610" s="54"/>
      <c r="I610" s="54"/>
      <c r="J610" s="54"/>
    </row>
    <row r="611" spans="1:10" ht="13.2" customHeight="1">
      <c r="A611" s="54"/>
      <c r="B611" s="54"/>
      <c r="C611" s="54"/>
      <c r="D611" s="54"/>
      <c r="E611" s="54"/>
      <c r="F611" s="301"/>
      <c r="G611" s="301"/>
      <c r="H611" s="54"/>
      <c r="I611" s="54"/>
      <c r="J611" s="54"/>
    </row>
    <row r="612" spans="1:10" ht="13.2" customHeight="1">
      <c r="A612" s="54"/>
      <c r="B612" s="54"/>
      <c r="C612" s="54"/>
      <c r="D612" s="54"/>
      <c r="E612" s="54"/>
      <c r="F612" s="301"/>
      <c r="G612" s="301"/>
      <c r="H612" s="54"/>
      <c r="I612" s="54"/>
      <c r="J612" s="54"/>
    </row>
    <row r="613" spans="1:10" ht="13.2" customHeight="1">
      <c r="A613" s="54"/>
      <c r="B613" s="54"/>
      <c r="C613" s="54"/>
      <c r="D613" s="54"/>
      <c r="E613" s="54"/>
      <c r="F613" s="301"/>
      <c r="G613" s="301"/>
      <c r="H613" s="54"/>
      <c r="I613" s="54"/>
      <c r="J613" s="54"/>
    </row>
    <row r="614" spans="1:10" ht="13.2" customHeight="1">
      <c r="A614" s="54"/>
      <c r="B614" s="54"/>
      <c r="C614" s="54"/>
      <c r="D614" s="54"/>
      <c r="E614" s="54"/>
      <c r="F614" s="301"/>
      <c r="G614" s="301"/>
      <c r="H614" s="54"/>
      <c r="I614" s="54"/>
      <c r="J614" s="54"/>
    </row>
    <row r="615" spans="1:10" ht="13.2" customHeight="1">
      <c r="A615" s="54"/>
      <c r="B615" s="54"/>
      <c r="C615" s="54"/>
      <c r="D615" s="54"/>
      <c r="E615" s="54"/>
      <c r="F615" s="301"/>
      <c r="G615" s="301"/>
      <c r="H615" s="54"/>
      <c r="I615" s="54"/>
      <c r="J615" s="54"/>
    </row>
    <row r="616" spans="1:10" ht="13.2" customHeight="1">
      <c r="A616" s="54"/>
      <c r="B616" s="54"/>
      <c r="C616" s="54"/>
      <c r="D616" s="54"/>
      <c r="E616" s="54"/>
      <c r="F616" s="301"/>
      <c r="G616" s="301"/>
      <c r="H616" s="54"/>
      <c r="I616" s="54"/>
      <c r="J616" s="54"/>
    </row>
    <row r="617" spans="1:10" ht="13.2" customHeight="1">
      <c r="A617" s="54"/>
      <c r="B617" s="54"/>
      <c r="C617" s="54"/>
      <c r="D617" s="54"/>
      <c r="E617" s="54"/>
      <c r="F617" s="301"/>
      <c r="G617" s="301"/>
      <c r="H617" s="54"/>
      <c r="I617" s="54"/>
      <c r="J617" s="54"/>
    </row>
    <row r="618" spans="1:10" ht="13.2" customHeight="1">
      <c r="A618" s="54"/>
      <c r="B618" s="54"/>
      <c r="C618" s="54"/>
      <c r="D618" s="54"/>
      <c r="E618" s="54"/>
      <c r="F618" s="301"/>
      <c r="G618" s="301"/>
      <c r="H618" s="54"/>
      <c r="I618" s="54"/>
      <c r="J618" s="54"/>
    </row>
    <row r="619" spans="1:10" ht="13.2" customHeight="1">
      <c r="A619" s="54"/>
      <c r="B619" s="54"/>
      <c r="C619" s="54"/>
      <c r="D619" s="54"/>
      <c r="E619" s="54"/>
      <c r="F619" s="301"/>
      <c r="G619" s="301"/>
      <c r="H619" s="54"/>
      <c r="I619" s="54"/>
      <c r="J619" s="54"/>
    </row>
    <row r="620" spans="1:10" ht="13.2" customHeight="1">
      <c r="A620" s="54"/>
      <c r="B620" s="54"/>
      <c r="C620" s="54"/>
      <c r="D620" s="54"/>
      <c r="E620" s="54"/>
      <c r="F620" s="301"/>
      <c r="G620" s="301"/>
      <c r="H620" s="54"/>
      <c r="I620" s="54"/>
      <c r="J620" s="54"/>
    </row>
    <row r="621" spans="1:10" ht="13.2" customHeight="1">
      <c r="A621" s="54"/>
      <c r="B621" s="54"/>
      <c r="C621" s="54"/>
      <c r="D621" s="54"/>
      <c r="E621" s="54"/>
      <c r="F621" s="301"/>
      <c r="G621" s="301"/>
      <c r="H621" s="54"/>
      <c r="I621" s="54"/>
      <c r="J621" s="54"/>
    </row>
    <row r="622" spans="1:10" ht="13.2" customHeight="1">
      <c r="A622" s="54"/>
      <c r="B622" s="54"/>
      <c r="C622" s="54"/>
      <c r="D622" s="54"/>
      <c r="E622" s="54"/>
      <c r="F622" s="301"/>
      <c r="G622" s="301"/>
      <c r="H622" s="54"/>
      <c r="I622" s="54"/>
      <c r="J622" s="54"/>
    </row>
    <row r="623" spans="1:10" ht="13.2" customHeight="1">
      <c r="A623" s="54"/>
      <c r="B623" s="54"/>
      <c r="C623" s="54"/>
      <c r="D623" s="54"/>
      <c r="E623" s="54"/>
      <c r="F623" s="301"/>
      <c r="G623" s="301"/>
      <c r="H623" s="54"/>
      <c r="I623" s="54"/>
      <c r="J623" s="54"/>
    </row>
    <row r="624" spans="1:10" ht="13.2" customHeight="1">
      <c r="A624" s="54"/>
      <c r="B624" s="54"/>
      <c r="C624" s="54"/>
      <c r="D624" s="54"/>
      <c r="E624" s="54"/>
      <c r="F624" s="301"/>
      <c r="G624" s="301"/>
      <c r="H624" s="54"/>
      <c r="I624" s="54"/>
      <c r="J624" s="54"/>
    </row>
    <row r="625" spans="1:10" ht="13.2" customHeight="1">
      <c r="A625" s="54"/>
      <c r="B625" s="54"/>
      <c r="C625" s="54"/>
      <c r="D625" s="54"/>
      <c r="E625" s="54"/>
      <c r="F625" s="301"/>
      <c r="G625" s="301"/>
      <c r="H625" s="54"/>
      <c r="I625" s="54"/>
      <c r="J625" s="54"/>
    </row>
    <row r="626" spans="1:10" ht="13.2" customHeight="1">
      <c r="A626" s="54"/>
      <c r="B626" s="54"/>
      <c r="C626" s="54"/>
      <c r="D626" s="54"/>
      <c r="E626" s="54"/>
      <c r="F626" s="301"/>
      <c r="G626" s="301"/>
      <c r="H626" s="54"/>
      <c r="I626" s="54"/>
      <c r="J626" s="54"/>
    </row>
    <row r="627" spans="1:10" ht="13.2" customHeight="1">
      <c r="A627" s="54"/>
      <c r="B627" s="54"/>
      <c r="C627" s="54"/>
      <c r="D627" s="54"/>
      <c r="E627" s="54"/>
      <c r="F627" s="301"/>
      <c r="G627" s="301"/>
      <c r="H627" s="54"/>
      <c r="I627" s="54"/>
      <c r="J627" s="54"/>
    </row>
    <row r="628" spans="1:10" ht="13.2" customHeight="1">
      <c r="A628" s="54"/>
      <c r="B628" s="54"/>
      <c r="C628" s="54"/>
      <c r="D628" s="54"/>
      <c r="E628" s="54"/>
      <c r="F628" s="301"/>
      <c r="G628" s="301"/>
      <c r="H628" s="54"/>
      <c r="I628" s="54"/>
      <c r="J628" s="54"/>
    </row>
    <row r="629" spans="1:10" ht="13.2" customHeight="1">
      <c r="A629" s="54"/>
      <c r="B629" s="54"/>
      <c r="C629" s="54"/>
      <c r="D629" s="54"/>
      <c r="E629" s="54"/>
      <c r="F629" s="301"/>
      <c r="G629" s="301"/>
      <c r="H629" s="54"/>
      <c r="I629" s="54"/>
      <c r="J629" s="54"/>
    </row>
    <row r="630" spans="1:10" ht="13.2" customHeight="1">
      <c r="A630" s="54"/>
      <c r="B630" s="54"/>
      <c r="C630" s="54"/>
      <c r="D630" s="54"/>
      <c r="E630" s="54"/>
      <c r="F630" s="301"/>
      <c r="G630" s="301"/>
      <c r="H630" s="54"/>
      <c r="I630" s="54"/>
      <c r="J630" s="54"/>
    </row>
    <row r="631" spans="1:10" ht="13.2" customHeight="1">
      <c r="A631" s="54"/>
      <c r="B631" s="54"/>
      <c r="C631" s="54"/>
      <c r="D631" s="54"/>
      <c r="E631" s="54"/>
      <c r="F631" s="301"/>
      <c r="G631" s="301"/>
      <c r="H631" s="54"/>
      <c r="I631" s="54"/>
      <c r="J631" s="54"/>
    </row>
    <row r="632" spans="1:10" ht="13.2" customHeight="1">
      <c r="A632" s="54"/>
      <c r="B632" s="54"/>
      <c r="C632" s="54"/>
      <c r="D632" s="54"/>
      <c r="E632" s="54"/>
      <c r="F632" s="301"/>
      <c r="G632" s="301"/>
      <c r="H632" s="54"/>
      <c r="I632" s="54"/>
      <c r="J632" s="54"/>
    </row>
    <row r="633" spans="1:10" ht="13.2" customHeight="1">
      <c r="A633" s="54"/>
      <c r="B633" s="54"/>
      <c r="C633" s="54"/>
      <c r="D633" s="54"/>
      <c r="E633" s="54"/>
      <c r="F633" s="301"/>
      <c r="G633" s="301"/>
      <c r="H633" s="54"/>
      <c r="I633" s="54"/>
      <c r="J633" s="54"/>
    </row>
    <row r="634" spans="1:10" ht="13.2" customHeight="1">
      <c r="A634" s="54"/>
      <c r="B634" s="54"/>
      <c r="C634" s="54"/>
      <c r="D634" s="54"/>
      <c r="E634" s="54"/>
      <c r="F634" s="301"/>
      <c r="G634" s="301"/>
      <c r="H634" s="54"/>
      <c r="I634" s="54"/>
      <c r="J634" s="54"/>
    </row>
    <row r="635" spans="1:10" ht="13.2" customHeight="1">
      <c r="A635" s="54"/>
      <c r="B635" s="54"/>
      <c r="C635" s="54"/>
      <c r="D635" s="54"/>
      <c r="E635" s="54"/>
      <c r="F635" s="301"/>
      <c r="G635" s="301"/>
      <c r="H635" s="54"/>
      <c r="I635" s="54"/>
      <c r="J635" s="54"/>
    </row>
    <row r="636" spans="1:10" ht="13.2" customHeight="1">
      <c r="A636" s="54"/>
      <c r="B636" s="54"/>
      <c r="C636" s="54"/>
      <c r="D636" s="54"/>
      <c r="E636" s="54"/>
      <c r="F636" s="301"/>
      <c r="G636" s="301"/>
      <c r="H636" s="54"/>
      <c r="I636" s="54"/>
      <c r="J636" s="54"/>
    </row>
    <row r="637" spans="1:10" ht="13.2" customHeight="1">
      <c r="A637" s="54"/>
      <c r="B637" s="54"/>
      <c r="C637" s="54"/>
      <c r="D637" s="54"/>
      <c r="E637" s="54"/>
      <c r="F637" s="301"/>
      <c r="G637" s="301"/>
      <c r="H637" s="54"/>
      <c r="I637" s="54"/>
      <c r="J637" s="54"/>
    </row>
    <row r="638" spans="1:10" ht="13.2" customHeight="1">
      <c r="A638" s="54"/>
      <c r="B638" s="54"/>
      <c r="C638" s="54"/>
      <c r="D638" s="54"/>
      <c r="E638" s="54"/>
      <c r="F638" s="301"/>
      <c r="G638" s="301"/>
      <c r="H638" s="54"/>
      <c r="I638" s="54"/>
      <c r="J638" s="54"/>
    </row>
    <row r="639" spans="1:10" ht="13.2" customHeight="1">
      <c r="A639" s="54"/>
      <c r="B639" s="54"/>
      <c r="C639" s="54"/>
      <c r="D639" s="54"/>
      <c r="E639" s="54"/>
      <c r="F639" s="301"/>
      <c r="G639" s="301"/>
      <c r="H639" s="54"/>
      <c r="I639" s="54"/>
      <c r="J639" s="54"/>
    </row>
    <row r="640" spans="1:10" ht="13.2" customHeight="1">
      <c r="A640" s="54"/>
      <c r="B640" s="54"/>
      <c r="C640" s="54"/>
      <c r="D640" s="54"/>
      <c r="E640" s="54"/>
      <c r="F640" s="301"/>
      <c r="G640" s="301"/>
      <c r="H640" s="54"/>
      <c r="I640" s="54"/>
      <c r="J640" s="54"/>
    </row>
    <row r="641" spans="1:10" ht="13.2" customHeight="1">
      <c r="A641" s="54"/>
      <c r="B641" s="54"/>
      <c r="C641" s="54"/>
      <c r="D641" s="54"/>
      <c r="E641" s="54"/>
      <c r="F641" s="301"/>
      <c r="G641" s="301"/>
      <c r="H641" s="54"/>
      <c r="I641" s="54"/>
      <c r="J641" s="54"/>
    </row>
    <row r="642" spans="1:10" ht="13.2" customHeight="1">
      <c r="A642" s="54"/>
      <c r="B642" s="54"/>
      <c r="C642" s="54"/>
      <c r="D642" s="54"/>
      <c r="E642" s="54"/>
      <c r="F642" s="301"/>
      <c r="G642" s="301"/>
      <c r="H642" s="54"/>
      <c r="I642" s="54"/>
      <c r="J642" s="54"/>
    </row>
    <row r="643" spans="1:10" ht="13.2" customHeight="1">
      <c r="A643" s="54"/>
      <c r="B643" s="54"/>
      <c r="C643" s="54"/>
      <c r="D643" s="54"/>
      <c r="E643" s="54"/>
      <c r="F643" s="301"/>
      <c r="G643" s="301"/>
      <c r="H643" s="54"/>
      <c r="I643" s="54"/>
      <c r="J643" s="54"/>
    </row>
    <row r="644" spans="1:10" ht="13.2" customHeight="1">
      <c r="A644" s="54"/>
      <c r="B644" s="54"/>
      <c r="C644" s="54"/>
      <c r="D644" s="54"/>
      <c r="E644" s="54"/>
      <c r="F644" s="301"/>
      <c r="G644" s="301"/>
      <c r="H644" s="54"/>
      <c r="I644" s="54"/>
      <c r="J644" s="54"/>
    </row>
    <row r="645" spans="1:10" ht="13.2" customHeight="1">
      <c r="A645" s="54"/>
      <c r="B645" s="54"/>
      <c r="C645" s="54"/>
      <c r="D645" s="54"/>
      <c r="E645" s="54"/>
      <c r="F645" s="301"/>
      <c r="G645" s="301"/>
      <c r="H645" s="54"/>
      <c r="I645" s="54"/>
      <c r="J645" s="54"/>
    </row>
    <row r="646" spans="1:10" ht="13.2" customHeight="1">
      <c r="A646" s="54"/>
      <c r="B646" s="54"/>
      <c r="C646" s="54"/>
      <c r="D646" s="54"/>
      <c r="E646" s="54"/>
      <c r="F646" s="301"/>
      <c r="G646" s="301"/>
      <c r="H646" s="54"/>
      <c r="I646" s="54"/>
      <c r="J646" s="54"/>
    </row>
    <row r="647" spans="1:10" ht="13.2" customHeight="1">
      <c r="A647" s="54"/>
      <c r="B647" s="54"/>
      <c r="C647" s="54"/>
      <c r="D647" s="54"/>
      <c r="E647" s="54"/>
      <c r="F647" s="301"/>
      <c r="G647" s="301"/>
      <c r="H647" s="54"/>
      <c r="I647" s="54"/>
      <c r="J647" s="54"/>
    </row>
    <row r="648" spans="1:10" ht="13.2" customHeight="1">
      <c r="A648" s="54"/>
      <c r="B648" s="54"/>
      <c r="C648" s="54"/>
      <c r="D648" s="54"/>
      <c r="E648" s="54"/>
      <c r="F648" s="301"/>
      <c r="G648" s="301"/>
      <c r="H648" s="54"/>
      <c r="I648" s="54"/>
      <c r="J648" s="54"/>
    </row>
    <row r="649" spans="1:10" ht="13.2" customHeight="1">
      <c r="A649" s="54"/>
      <c r="B649" s="54"/>
      <c r="C649" s="54"/>
      <c r="D649" s="54"/>
      <c r="E649" s="54"/>
      <c r="F649" s="301"/>
      <c r="G649" s="301"/>
      <c r="H649" s="54"/>
      <c r="I649" s="54"/>
      <c r="J649" s="54"/>
    </row>
    <row r="650" spans="1:10" ht="13.2" customHeight="1">
      <c r="A650" s="54"/>
      <c r="B650" s="54"/>
      <c r="C650" s="54"/>
      <c r="D650" s="54"/>
      <c r="E650" s="54"/>
      <c r="F650" s="301"/>
      <c r="G650" s="301"/>
      <c r="H650" s="54"/>
      <c r="I650" s="54"/>
      <c r="J650" s="54"/>
    </row>
    <row r="651" spans="1:10" ht="13.2" customHeight="1">
      <c r="A651" s="54"/>
      <c r="B651" s="54"/>
      <c r="C651" s="54"/>
      <c r="D651" s="54"/>
      <c r="E651" s="54"/>
      <c r="F651" s="301"/>
      <c r="G651" s="301"/>
      <c r="H651" s="54"/>
      <c r="I651" s="54"/>
      <c r="J651" s="54"/>
    </row>
    <row r="652" spans="1:10" ht="13.2" customHeight="1">
      <c r="A652" s="54"/>
      <c r="B652" s="54"/>
      <c r="C652" s="54"/>
      <c r="D652" s="54"/>
      <c r="E652" s="54"/>
      <c r="F652" s="301"/>
      <c r="G652" s="301"/>
      <c r="H652" s="54"/>
      <c r="I652" s="54"/>
      <c r="J652" s="54"/>
    </row>
    <row r="653" spans="1:10" ht="13.2" customHeight="1">
      <c r="A653" s="54"/>
      <c r="B653" s="54"/>
      <c r="C653" s="54"/>
      <c r="D653" s="54"/>
      <c r="E653" s="54"/>
      <c r="F653" s="301"/>
      <c r="G653" s="301"/>
      <c r="H653" s="54"/>
      <c r="I653" s="54"/>
      <c r="J653" s="54"/>
    </row>
    <row r="654" spans="1:10" ht="13.2" customHeight="1">
      <c r="A654" s="54"/>
      <c r="B654" s="54"/>
      <c r="C654" s="54"/>
      <c r="D654" s="54"/>
      <c r="E654" s="54"/>
      <c r="F654" s="301"/>
      <c r="G654" s="301"/>
      <c r="H654" s="54"/>
      <c r="I654" s="54"/>
      <c r="J654" s="54"/>
    </row>
    <row r="655" spans="1:10" ht="13.2" customHeight="1">
      <c r="A655" s="54"/>
      <c r="B655" s="54"/>
      <c r="C655" s="54"/>
      <c r="D655" s="54"/>
      <c r="E655" s="54"/>
      <c r="F655" s="301"/>
      <c r="G655" s="301"/>
      <c r="H655" s="54"/>
      <c r="I655" s="54"/>
      <c r="J655" s="54"/>
    </row>
    <row r="656" spans="1:10" ht="13.2" customHeight="1">
      <c r="A656" s="54"/>
      <c r="B656" s="54"/>
      <c r="C656" s="54"/>
      <c r="D656" s="54"/>
      <c r="E656" s="54"/>
      <c r="F656" s="301"/>
      <c r="G656" s="301"/>
      <c r="H656" s="54"/>
      <c r="I656" s="54"/>
      <c r="J656" s="54"/>
    </row>
    <row r="657" spans="1:10" ht="13.2" customHeight="1">
      <c r="A657" s="54"/>
      <c r="B657" s="54"/>
      <c r="C657" s="54"/>
      <c r="D657" s="54"/>
      <c r="E657" s="54"/>
      <c r="F657" s="301"/>
      <c r="G657" s="301"/>
      <c r="H657" s="54"/>
      <c r="I657" s="54"/>
      <c r="J657" s="54"/>
    </row>
    <row r="658" spans="1:10" ht="13.2" customHeight="1">
      <c r="A658" s="54"/>
      <c r="B658" s="54"/>
      <c r="C658" s="54"/>
      <c r="D658" s="54"/>
      <c r="E658" s="54"/>
      <c r="F658" s="301"/>
      <c r="G658" s="301"/>
      <c r="H658" s="54"/>
      <c r="I658" s="54"/>
      <c r="J658" s="54"/>
    </row>
    <row r="659" spans="1:10" ht="13.2" customHeight="1">
      <c r="A659" s="54"/>
      <c r="B659" s="54"/>
      <c r="C659" s="54"/>
      <c r="D659" s="54"/>
      <c r="E659" s="54"/>
      <c r="F659" s="301"/>
      <c r="G659" s="301"/>
      <c r="H659" s="54"/>
      <c r="I659" s="54"/>
      <c r="J659" s="54"/>
    </row>
    <row r="660" spans="1:10" ht="13.2" customHeight="1">
      <c r="A660" s="54"/>
      <c r="B660" s="54"/>
      <c r="C660" s="54"/>
      <c r="D660" s="54"/>
      <c r="E660" s="54"/>
      <c r="F660" s="301"/>
      <c r="G660" s="301"/>
      <c r="H660" s="54"/>
      <c r="I660" s="54"/>
      <c r="J660" s="54"/>
    </row>
    <row r="661" spans="1:10" ht="13.2" customHeight="1">
      <c r="A661" s="54"/>
      <c r="B661" s="54"/>
      <c r="C661" s="54"/>
      <c r="D661" s="54"/>
      <c r="E661" s="54"/>
      <c r="F661" s="301"/>
      <c r="G661" s="301"/>
      <c r="H661" s="54"/>
      <c r="I661" s="54"/>
      <c r="J661" s="54"/>
    </row>
    <row r="662" spans="1:10" ht="13.2" customHeight="1">
      <c r="A662" s="54"/>
      <c r="B662" s="54"/>
      <c r="C662" s="54"/>
      <c r="D662" s="54"/>
      <c r="E662" s="54"/>
      <c r="F662" s="301"/>
      <c r="G662" s="301"/>
      <c r="H662" s="54"/>
      <c r="I662" s="54"/>
      <c r="J662" s="54"/>
    </row>
    <row r="663" spans="1:10" ht="13.2" customHeight="1">
      <c r="A663" s="54"/>
      <c r="B663" s="54"/>
      <c r="C663" s="54"/>
      <c r="D663" s="54"/>
      <c r="E663" s="54"/>
      <c r="F663" s="301"/>
      <c r="G663" s="301"/>
      <c r="H663" s="54"/>
      <c r="I663" s="54"/>
      <c r="J663" s="54"/>
    </row>
    <row r="664" spans="1:10" ht="13.2" customHeight="1">
      <c r="A664" s="54"/>
      <c r="B664" s="54"/>
      <c r="C664" s="54"/>
      <c r="D664" s="54"/>
      <c r="E664" s="54"/>
      <c r="F664" s="301"/>
      <c r="G664" s="301"/>
      <c r="H664" s="54"/>
      <c r="I664" s="54"/>
      <c r="J664" s="54"/>
    </row>
    <row r="665" spans="1:10" ht="13.2" customHeight="1">
      <c r="A665" s="54"/>
      <c r="B665" s="54"/>
      <c r="C665" s="54"/>
      <c r="D665" s="54"/>
      <c r="E665" s="54"/>
      <c r="F665" s="301"/>
      <c r="G665" s="301"/>
      <c r="H665" s="54"/>
      <c r="I665" s="54"/>
      <c r="J665" s="54"/>
    </row>
    <row r="666" spans="1:10" ht="13.2" customHeight="1">
      <c r="A666" s="54"/>
      <c r="B666" s="54"/>
      <c r="C666" s="54"/>
      <c r="D666" s="54"/>
      <c r="E666" s="54"/>
      <c r="F666" s="301"/>
      <c r="G666" s="301"/>
      <c r="H666" s="54"/>
      <c r="I666" s="54"/>
      <c r="J666" s="54"/>
    </row>
    <row r="667" spans="1:10" ht="13.2" customHeight="1">
      <c r="A667" s="54"/>
      <c r="B667" s="54"/>
      <c r="C667" s="54"/>
      <c r="D667" s="54"/>
      <c r="E667" s="54"/>
      <c r="F667" s="301"/>
      <c r="G667" s="301"/>
      <c r="H667" s="54"/>
      <c r="I667" s="54"/>
      <c r="J667" s="54"/>
    </row>
    <row r="668" spans="1:10" ht="13.2" customHeight="1">
      <c r="A668" s="54"/>
      <c r="B668" s="54"/>
      <c r="C668" s="54"/>
      <c r="D668" s="54"/>
      <c r="E668" s="54"/>
      <c r="F668" s="301"/>
      <c r="G668" s="301"/>
      <c r="H668" s="54"/>
      <c r="I668" s="54"/>
      <c r="J668" s="54"/>
    </row>
    <row r="669" spans="1:10" ht="13.2" customHeight="1">
      <c r="A669" s="54"/>
      <c r="B669" s="54"/>
      <c r="C669" s="54"/>
      <c r="D669" s="54"/>
      <c r="E669" s="54"/>
      <c r="F669" s="301"/>
      <c r="G669" s="301"/>
      <c r="H669" s="54"/>
      <c r="I669" s="54"/>
      <c r="J669" s="54"/>
    </row>
    <row r="670" spans="1:10" ht="13.2" customHeight="1">
      <c r="A670" s="54"/>
      <c r="B670" s="54"/>
      <c r="C670" s="54"/>
      <c r="D670" s="54"/>
      <c r="E670" s="54"/>
      <c r="F670" s="301"/>
      <c r="G670" s="301"/>
      <c r="H670" s="54"/>
      <c r="I670" s="54"/>
      <c r="J670" s="54"/>
    </row>
    <row r="671" spans="1:10" ht="13.2" customHeight="1">
      <c r="A671" s="54"/>
      <c r="B671" s="54"/>
      <c r="C671" s="54"/>
      <c r="D671" s="54"/>
      <c r="E671" s="54"/>
      <c r="F671" s="301"/>
      <c r="G671" s="301"/>
      <c r="H671" s="54"/>
      <c r="I671" s="54"/>
      <c r="J671" s="54"/>
    </row>
    <row r="672" spans="1:10" ht="13.2" customHeight="1">
      <c r="A672" s="54"/>
      <c r="B672" s="54"/>
      <c r="C672" s="54"/>
      <c r="D672" s="54"/>
      <c r="E672" s="54"/>
      <c r="F672" s="301"/>
      <c r="G672" s="301"/>
      <c r="H672" s="54"/>
      <c r="I672" s="54"/>
      <c r="J672" s="54"/>
    </row>
    <row r="673" spans="1:10" ht="13.2" customHeight="1">
      <c r="A673" s="54"/>
      <c r="B673" s="54"/>
      <c r="C673" s="54"/>
      <c r="D673" s="54"/>
      <c r="E673" s="54"/>
      <c r="F673" s="301"/>
      <c r="G673" s="301"/>
      <c r="H673" s="54"/>
      <c r="I673" s="54"/>
      <c r="J673" s="54"/>
    </row>
    <row r="674" spans="1:10" ht="13.2" customHeight="1">
      <c r="A674" s="54"/>
      <c r="B674" s="54"/>
      <c r="C674" s="54"/>
      <c r="D674" s="54"/>
      <c r="E674" s="54"/>
      <c r="F674" s="301"/>
      <c r="G674" s="301"/>
      <c r="H674" s="54"/>
      <c r="I674" s="54"/>
      <c r="J674" s="54"/>
    </row>
    <row r="675" spans="1:10" ht="13.2" customHeight="1">
      <c r="A675" s="54"/>
      <c r="B675" s="54"/>
      <c r="C675" s="54"/>
      <c r="D675" s="54"/>
      <c r="E675" s="54"/>
      <c r="F675" s="301"/>
      <c r="G675" s="301"/>
      <c r="H675" s="54"/>
      <c r="I675" s="54"/>
      <c r="J675" s="54"/>
    </row>
    <row r="676" spans="1:10" ht="13.2" customHeight="1">
      <c r="A676" s="54"/>
      <c r="B676" s="54"/>
      <c r="C676" s="54"/>
      <c r="D676" s="54"/>
      <c r="E676" s="54"/>
      <c r="F676" s="301"/>
      <c r="G676" s="301"/>
      <c r="H676" s="54"/>
      <c r="I676" s="54"/>
      <c r="J676" s="54"/>
    </row>
    <row r="677" spans="1:10" ht="13.2" customHeight="1">
      <c r="A677" s="54"/>
      <c r="B677" s="54"/>
      <c r="C677" s="54"/>
      <c r="D677" s="54"/>
      <c r="E677" s="54"/>
      <c r="F677" s="301"/>
      <c r="G677" s="301"/>
      <c r="H677" s="54"/>
      <c r="I677" s="54"/>
      <c r="J677" s="54"/>
    </row>
    <row r="678" spans="1:10" ht="13.2" customHeight="1">
      <c r="A678" s="54"/>
      <c r="B678" s="54"/>
      <c r="C678" s="54"/>
      <c r="D678" s="54"/>
      <c r="E678" s="54"/>
      <c r="F678" s="301"/>
      <c r="G678" s="301"/>
      <c r="H678" s="54"/>
      <c r="I678" s="54"/>
      <c r="J678" s="54"/>
    </row>
    <row r="679" spans="1:10" ht="13.2" customHeight="1">
      <c r="A679" s="54"/>
      <c r="B679" s="54"/>
      <c r="C679" s="54"/>
      <c r="D679" s="54"/>
      <c r="E679" s="54"/>
      <c r="F679" s="301"/>
      <c r="G679" s="301"/>
      <c r="H679" s="54"/>
      <c r="I679" s="54"/>
      <c r="J679" s="54"/>
    </row>
    <row r="680" spans="1:10" ht="13.2" customHeight="1">
      <c r="A680" s="54"/>
      <c r="B680" s="54"/>
      <c r="C680" s="54"/>
      <c r="D680" s="54"/>
      <c r="E680" s="54"/>
      <c r="F680" s="301"/>
      <c r="G680" s="301"/>
      <c r="H680" s="54"/>
      <c r="I680" s="54"/>
      <c r="J680" s="54"/>
    </row>
    <row r="681" spans="1:10" ht="13.2" customHeight="1">
      <c r="A681" s="54"/>
      <c r="B681" s="54"/>
      <c r="C681" s="54"/>
      <c r="D681" s="54"/>
      <c r="E681" s="54"/>
      <c r="F681" s="301"/>
      <c r="G681" s="301"/>
      <c r="H681" s="54"/>
      <c r="I681" s="54"/>
      <c r="J681" s="54"/>
    </row>
    <row r="682" spans="1:10" ht="13.2" customHeight="1">
      <c r="A682" s="54"/>
      <c r="B682" s="54"/>
      <c r="C682" s="54"/>
      <c r="D682" s="54"/>
      <c r="E682" s="54"/>
      <c r="F682" s="301"/>
      <c r="G682" s="301"/>
      <c r="H682" s="54"/>
      <c r="I682" s="54"/>
      <c r="J682" s="54"/>
    </row>
    <row r="683" spans="1:10" ht="13.2" customHeight="1">
      <c r="A683" s="54"/>
      <c r="B683" s="54"/>
      <c r="C683" s="54"/>
      <c r="D683" s="54"/>
      <c r="E683" s="54"/>
      <c r="F683" s="301"/>
      <c r="G683" s="301"/>
      <c r="H683" s="54"/>
      <c r="I683" s="54"/>
      <c r="J683" s="54"/>
    </row>
    <row r="684" spans="1:10" ht="13.2" customHeight="1">
      <c r="A684" s="54"/>
      <c r="B684" s="54"/>
      <c r="C684" s="54"/>
      <c r="D684" s="54"/>
      <c r="E684" s="54"/>
      <c r="F684" s="301"/>
      <c r="G684" s="301"/>
      <c r="H684" s="54"/>
      <c r="I684" s="54"/>
      <c r="J684" s="54"/>
    </row>
    <row r="685" spans="1:10" ht="13.2" customHeight="1">
      <c r="A685" s="54"/>
      <c r="B685" s="54"/>
      <c r="C685" s="54"/>
      <c r="D685" s="54"/>
      <c r="E685" s="54"/>
      <c r="F685" s="301"/>
      <c r="G685" s="301"/>
      <c r="H685" s="54"/>
      <c r="I685" s="54"/>
      <c r="J685" s="54"/>
    </row>
    <row r="686" spans="1:10" ht="13.2" customHeight="1">
      <c r="A686" s="54"/>
      <c r="B686" s="54"/>
      <c r="C686" s="54"/>
      <c r="D686" s="54"/>
      <c r="E686" s="54"/>
      <c r="F686" s="301"/>
      <c r="G686" s="301"/>
      <c r="H686" s="54"/>
      <c r="I686" s="54"/>
      <c r="J686" s="54"/>
    </row>
    <row r="687" spans="1:10" ht="13.2" customHeight="1">
      <c r="A687" s="54"/>
      <c r="B687" s="54"/>
      <c r="C687" s="54"/>
      <c r="D687" s="54"/>
      <c r="E687" s="54"/>
      <c r="F687" s="301"/>
      <c r="G687" s="301"/>
      <c r="H687" s="54"/>
      <c r="I687" s="54"/>
      <c r="J687" s="54"/>
    </row>
    <row r="688" spans="1:10" ht="13.2" customHeight="1">
      <c r="A688" s="54"/>
      <c r="B688" s="54"/>
      <c r="C688" s="54"/>
      <c r="D688" s="54"/>
      <c r="E688" s="54"/>
      <c r="F688" s="301"/>
      <c r="G688" s="301"/>
      <c r="H688" s="54"/>
      <c r="I688" s="54"/>
      <c r="J688" s="54"/>
    </row>
    <row r="689" spans="1:10" ht="13.2" customHeight="1">
      <c r="A689" s="54"/>
      <c r="B689" s="54"/>
      <c r="C689" s="54"/>
      <c r="D689" s="54"/>
      <c r="E689" s="54"/>
      <c r="F689" s="301"/>
      <c r="G689" s="301"/>
      <c r="H689" s="54"/>
      <c r="I689" s="54"/>
      <c r="J689" s="54"/>
    </row>
    <row r="690" spans="1:10" ht="13.2" customHeight="1">
      <c r="A690" s="54"/>
      <c r="B690" s="54"/>
      <c r="C690" s="54"/>
      <c r="D690" s="54"/>
      <c r="E690" s="54"/>
      <c r="F690" s="301"/>
      <c r="G690" s="301"/>
      <c r="H690" s="54"/>
      <c r="I690" s="54"/>
      <c r="J690" s="54"/>
    </row>
    <row r="691" spans="1:10" ht="13.2" customHeight="1">
      <c r="A691" s="54"/>
      <c r="B691" s="54"/>
      <c r="C691" s="54"/>
      <c r="D691" s="54"/>
      <c r="E691" s="54"/>
      <c r="F691" s="301"/>
      <c r="G691" s="301"/>
      <c r="H691" s="54"/>
      <c r="I691" s="54"/>
      <c r="J691" s="54"/>
    </row>
    <row r="692" spans="1:10" ht="13.2" customHeight="1">
      <c r="A692" s="54"/>
      <c r="B692" s="54"/>
      <c r="C692" s="54"/>
      <c r="D692" s="54"/>
      <c r="E692" s="54"/>
      <c r="F692" s="301"/>
      <c r="G692" s="301"/>
      <c r="H692" s="54"/>
      <c r="I692" s="54"/>
      <c r="J692" s="54"/>
    </row>
    <row r="693" spans="1:10" ht="13.2" customHeight="1">
      <c r="A693" s="54"/>
      <c r="B693" s="54"/>
      <c r="C693" s="54"/>
      <c r="D693" s="54"/>
      <c r="E693" s="54"/>
      <c r="F693" s="301"/>
      <c r="G693" s="301"/>
      <c r="H693" s="54"/>
      <c r="I693" s="54"/>
      <c r="J693" s="54"/>
    </row>
    <row r="694" spans="1:10" ht="13.2" customHeight="1">
      <c r="A694" s="54"/>
      <c r="B694" s="54"/>
      <c r="C694" s="54"/>
      <c r="D694" s="54"/>
      <c r="E694" s="54"/>
      <c r="F694" s="301"/>
      <c r="G694" s="301"/>
      <c r="H694" s="54"/>
      <c r="I694" s="54"/>
      <c r="J694" s="54"/>
    </row>
    <row r="695" spans="1:10" ht="13.2" customHeight="1">
      <c r="A695" s="54"/>
      <c r="B695" s="54"/>
      <c r="C695" s="54"/>
      <c r="D695" s="54"/>
      <c r="E695" s="54"/>
      <c r="F695" s="301"/>
      <c r="G695" s="301"/>
      <c r="H695" s="54"/>
      <c r="I695" s="54"/>
      <c r="J695" s="54"/>
    </row>
    <row r="696" spans="1:10" ht="13.2" customHeight="1">
      <c r="A696" s="54"/>
      <c r="B696" s="54"/>
      <c r="C696" s="54"/>
      <c r="D696" s="54"/>
      <c r="E696" s="54"/>
      <c r="F696" s="301"/>
      <c r="G696" s="301"/>
      <c r="H696" s="54"/>
      <c r="I696" s="54"/>
      <c r="J696" s="54"/>
    </row>
    <row r="697" spans="1:10" ht="13.2" customHeight="1">
      <c r="A697" s="54"/>
      <c r="B697" s="54"/>
      <c r="C697" s="54"/>
      <c r="D697" s="54"/>
      <c r="E697" s="54"/>
      <c r="F697" s="301"/>
      <c r="G697" s="301"/>
      <c r="H697" s="54"/>
      <c r="I697" s="54"/>
      <c r="J697" s="54"/>
    </row>
    <row r="698" spans="1:10" ht="13.2" customHeight="1">
      <c r="A698" s="54"/>
      <c r="B698" s="54"/>
      <c r="C698" s="54"/>
      <c r="D698" s="54"/>
      <c r="E698" s="54"/>
      <c r="F698" s="301"/>
      <c r="G698" s="301"/>
      <c r="H698" s="54"/>
      <c r="I698" s="54"/>
      <c r="J698" s="54"/>
    </row>
    <row r="699" spans="1:10" ht="13.2" customHeight="1">
      <c r="A699" s="54"/>
      <c r="B699" s="54"/>
      <c r="C699" s="54"/>
      <c r="D699" s="54"/>
      <c r="E699" s="54"/>
      <c r="F699" s="301"/>
      <c r="G699" s="301"/>
      <c r="H699" s="54"/>
      <c r="I699" s="54"/>
      <c r="J699" s="54"/>
    </row>
    <row r="700" spans="1:10" ht="13.2" customHeight="1">
      <c r="A700" s="54"/>
      <c r="B700" s="54"/>
      <c r="C700" s="54"/>
      <c r="D700" s="54"/>
      <c r="E700" s="54"/>
      <c r="F700" s="301"/>
      <c r="G700" s="301"/>
      <c r="H700" s="54"/>
      <c r="I700" s="54"/>
      <c r="J700" s="54"/>
    </row>
    <row r="701" spans="1:10" ht="13.2" customHeight="1">
      <c r="A701" s="54"/>
      <c r="B701" s="54"/>
      <c r="C701" s="54"/>
      <c r="D701" s="54"/>
      <c r="E701" s="54"/>
      <c r="F701" s="301"/>
      <c r="G701" s="301"/>
      <c r="H701" s="54"/>
      <c r="I701" s="54"/>
      <c r="J701" s="54"/>
    </row>
    <row r="702" spans="1:10" ht="13.2" customHeight="1">
      <c r="A702" s="54"/>
      <c r="B702" s="54"/>
      <c r="C702" s="54"/>
      <c r="D702" s="54"/>
      <c r="E702" s="54"/>
      <c r="F702" s="301"/>
      <c r="G702" s="301"/>
      <c r="H702" s="54"/>
      <c r="I702" s="54"/>
      <c r="J702" s="54"/>
    </row>
    <row r="703" spans="1:10" ht="13.2" customHeight="1">
      <c r="A703" s="54"/>
      <c r="B703" s="54"/>
      <c r="C703" s="54"/>
      <c r="D703" s="54"/>
      <c r="E703" s="54"/>
      <c r="F703" s="301"/>
      <c r="G703" s="301"/>
      <c r="H703" s="54"/>
      <c r="I703" s="54"/>
      <c r="J703" s="54"/>
    </row>
    <row r="704" spans="1:10" ht="13.2" customHeight="1">
      <c r="A704" s="54"/>
      <c r="B704" s="54"/>
      <c r="C704" s="54"/>
      <c r="D704" s="54"/>
      <c r="E704" s="54"/>
      <c r="F704" s="301"/>
      <c r="G704" s="301"/>
      <c r="H704" s="54"/>
      <c r="I704" s="54"/>
      <c r="J704" s="54"/>
    </row>
    <row r="705" spans="1:10" ht="13.2" customHeight="1">
      <c r="A705" s="54"/>
      <c r="B705" s="54"/>
      <c r="C705" s="54"/>
      <c r="D705" s="54"/>
      <c r="E705" s="54"/>
      <c r="F705" s="301"/>
      <c r="G705" s="301"/>
      <c r="H705" s="54"/>
      <c r="I705" s="54"/>
      <c r="J705" s="54"/>
    </row>
    <row r="706" spans="1:10" ht="13.2" customHeight="1">
      <c r="A706" s="54"/>
      <c r="B706" s="54"/>
      <c r="C706" s="54"/>
      <c r="D706" s="54"/>
      <c r="E706" s="54"/>
      <c r="F706" s="301"/>
      <c r="G706" s="301"/>
      <c r="H706" s="54"/>
      <c r="I706" s="54"/>
      <c r="J706" s="54"/>
    </row>
    <row r="707" spans="1:10" ht="13.2" customHeight="1">
      <c r="A707" s="54"/>
      <c r="B707" s="54"/>
      <c r="C707" s="54"/>
      <c r="D707" s="54"/>
      <c r="E707" s="54"/>
      <c r="F707" s="301"/>
      <c r="G707" s="301"/>
      <c r="H707" s="54"/>
      <c r="I707" s="54"/>
      <c r="J707" s="54"/>
    </row>
    <row r="708" spans="1:10" ht="13.2" customHeight="1">
      <c r="A708" s="54"/>
      <c r="B708" s="54"/>
      <c r="C708" s="54"/>
      <c r="D708" s="54"/>
      <c r="E708" s="54"/>
      <c r="F708" s="301"/>
      <c r="G708" s="301"/>
      <c r="H708" s="54"/>
      <c r="I708" s="54"/>
      <c r="J708" s="54"/>
    </row>
    <row r="709" spans="1:10" ht="13.2" customHeight="1">
      <c r="A709" s="54"/>
      <c r="B709" s="54"/>
      <c r="C709" s="54"/>
      <c r="D709" s="54"/>
      <c r="E709" s="54"/>
      <c r="F709" s="301"/>
      <c r="G709" s="301"/>
      <c r="H709" s="54"/>
      <c r="I709" s="54"/>
      <c r="J709" s="54"/>
    </row>
    <row r="710" spans="1:10" ht="13.2" customHeight="1">
      <c r="A710" s="54"/>
      <c r="B710" s="54"/>
      <c r="C710" s="54"/>
      <c r="D710" s="54"/>
      <c r="E710" s="54"/>
      <c r="F710" s="301"/>
      <c r="G710" s="301"/>
      <c r="H710" s="54"/>
      <c r="I710" s="54"/>
      <c r="J710" s="54"/>
    </row>
    <row r="711" spans="1:10" ht="13.2" customHeight="1">
      <c r="A711" s="54"/>
      <c r="B711" s="54"/>
      <c r="C711" s="54"/>
      <c r="D711" s="54"/>
      <c r="E711" s="54"/>
      <c r="F711" s="301"/>
      <c r="G711" s="301"/>
      <c r="H711" s="54"/>
      <c r="I711" s="54"/>
      <c r="J711" s="54"/>
    </row>
    <row r="712" spans="1:10" ht="13.2" customHeight="1">
      <c r="A712" s="54"/>
      <c r="B712" s="54"/>
      <c r="C712" s="54"/>
      <c r="D712" s="54"/>
      <c r="E712" s="54"/>
      <c r="F712" s="301"/>
      <c r="G712" s="301"/>
      <c r="H712" s="54"/>
      <c r="I712" s="54"/>
      <c r="J712" s="54"/>
    </row>
    <row r="713" spans="1:10" ht="13.2" customHeight="1">
      <c r="A713" s="54"/>
      <c r="B713" s="54"/>
      <c r="C713" s="54"/>
      <c r="D713" s="54"/>
      <c r="E713" s="54"/>
      <c r="F713" s="301"/>
      <c r="G713" s="301"/>
      <c r="H713" s="54"/>
      <c r="I713" s="54"/>
      <c r="J713" s="54"/>
    </row>
    <row r="714" spans="1:10" ht="13.2" customHeight="1">
      <c r="A714" s="54"/>
      <c r="B714" s="54"/>
      <c r="C714" s="54"/>
      <c r="D714" s="54"/>
      <c r="E714" s="54"/>
      <c r="F714" s="301"/>
      <c r="G714" s="301"/>
      <c r="H714" s="54"/>
      <c r="I714" s="54"/>
      <c r="J714" s="54"/>
    </row>
    <row r="715" spans="1:10" ht="13.2" customHeight="1">
      <c r="A715" s="54"/>
      <c r="B715" s="54"/>
      <c r="C715" s="54"/>
      <c r="D715" s="54"/>
      <c r="E715" s="54"/>
      <c r="F715" s="301"/>
      <c r="G715" s="301"/>
      <c r="H715" s="54"/>
      <c r="I715" s="54"/>
      <c r="J715" s="54"/>
    </row>
    <row r="716" spans="1:10" ht="13.2" customHeight="1">
      <c r="A716" s="54"/>
      <c r="B716" s="54"/>
      <c r="C716" s="54"/>
      <c r="D716" s="54"/>
      <c r="E716" s="54"/>
      <c r="F716" s="301"/>
      <c r="G716" s="301"/>
      <c r="H716" s="54"/>
      <c r="I716" s="54"/>
      <c r="J716" s="54"/>
    </row>
    <row r="717" spans="1:10" ht="13.2" customHeight="1">
      <c r="A717" s="54"/>
      <c r="B717" s="54"/>
      <c r="C717" s="54"/>
      <c r="D717" s="54"/>
      <c r="E717" s="54"/>
      <c r="F717" s="301"/>
      <c r="G717" s="301"/>
      <c r="H717" s="54"/>
      <c r="I717" s="54"/>
      <c r="J717" s="54"/>
    </row>
    <row r="718" spans="1:10" ht="13.2" customHeight="1">
      <c r="A718" s="54"/>
      <c r="B718" s="54"/>
      <c r="C718" s="54"/>
      <c r="D718" s="54"/>
      <c r="E718" s="54"/>
      <c r="F718" s="301"/>
      <c r="G718" s="301"/>
      <c r="H718" s="54"/>
      <c r="I718" s="54"/>
      <c r="J718" s="54"/>
    </row>
    <row r="719" spans="1:10" ht="13.2" customHeight="1">
      <c r="A719" s="54"/>
      <c r="B719" s="54"/>
      <c r="C719" s="54"/>
      <c r="D719" s="54"/>
      <c r="E719" s="54"/>
      <c r="F719" s="301"/>
      <c r="G719" s="301"/>
      <c r="H719" s="54"/>
      <c r="I719" s="54"/>
      <c r="J719" s="54"/>
    </row>
    <row r="720" spans="1:10" ht="13.2" customHeight="1">
      <c r="A720" s="54"/>
      <c r="B720" s="54"/>
      <c r="C720" s="54"/>
      <c r="D720" s="54"/>
      <c r="E720" s="54"/>
      <c r="F720" s="301"/>
      <c r="G720" s="301"/>
      <c r="H720" s="54"/>
      <c r="I720" s="54"/>
      <c r="J720" s="54"/>
    </row>
    <row r="721" spans="1:10" ht="13.2" customHeight="1">
      <c r="A721" s="54"/>
      <c r="B721" s="54"/>
      <c r="C721" s="54"/>
      <c r="D721" s="54"/>
      <c r="E721" s="54"/>
      <c r="F721" s="301"/>
      <c r="G721" s="301"/>
      <c r="H721" s="54"/>
      <c r="I721" s="54"/>
      <c r="J721" s="54"/>
    </row>
    <row r="722" spans="1:10" ht="13.2" customHeight="1">
      <c r="A722" s="54"/>
      <c r="B722" s="54"/>
      <c r="C722" s="54"/>
      <c r="D722" s="54"/>
      <c r="E722" s="54"/>
      <c r="F722" s="301"/>
      <c r="G722" s="301"/>
      <c r="H722" s="54"/>
      <c r="I722" s="54"/>
      <c r="J722" s="54"/>
    </row>
    <row r="723" spans="1:10" ht="13.2" customHeight="1">
      <c r="A723" s="54"/>
      <c r="B723" s="54"/>
      <c r="C723" s="54"/>
      <c r="D723" s="54"/>
      <c r="E723" s="54"/>
      <c r="F723" s="301"/>
      <c r="G723" s="301"/>
      <c r="H723" s="54"/>
      <c r="I723" s="54"/>
      <c r="J723" s="54"/>
    </row>
    <row r="724" spans="1:10" ht="13.2" customHeight="1">
      <c r="A724" s="54"/>
      <c r="B724" s="54"/>
      <c r="C724" s="54"/>
      <c r="D724" s="54"/>
      <c r="E724" s="54"/>
      <c r="F724" s="301"/>
      <c r="G724" s="301"/>
      <c r="H724" s="54"/>
      <c r="I724" s="54"/>
      <c r="J724" s="54"/>
    </row>
    <row r="725" spans="1:10" ht="13.2" customHeight="1">
      <c r="A725" s="54"/>
      <c r="B725" s="54"/>
      <c r="C725" s="54"/>
      <c r="D725" s="54"/>
      <c r="E725" s="54"/>
      <c r="F725" s="301"/>
      <c r="G725" s="301"/>
      <c r="H725" s="54"/>
      <c r="I725" s="54"/>
      <c r="J725" s="54"/>
    </row>
    <row r="726" spans="1:10" ht="13.2" customHeight="1">
      <c r="A726" s="54"/>
      <c r="B726" s="54"/>
      <c r="C726" s="54"/>
      <c r="D726" s="54"/>
      <c r="E726" s="54"/>
      <c r="F726" s="301"/>
      <c r="G726" s="301"/>
      <c r="H726" s="54"/>
      <c r="I726" s="54"/>
      <c r="J726" s="54"/>
    </row>
    <row r="727" spans="1:10" ht="13.2" customHeight="1">
      <c r="A727" s="54"/>
      <c r="B727" s="54"/>
      <c r="C727" s="54"/>
      <c r="D727" s="54"/>
      <c r="E727" s="54"/>
      <c r="F727" s="301"/>
      <c r="G727" s="301"/>
      <c r="H727" s="54"/>
      <c r="I727" s="54"/>
      <c r="J727" s="54"/>
    </row>
    <row r="728" spans="1:10" ht="13.2" customHeight="1">
      <c r="A728" s="54"/>
      <c r="B728" s="54"/>
      <c r="C728" s="54"/>
      <c r="D728" s="54"/>
      <c r="E728" s="54"/>
      <c r="F728" s="301"/>
      <c r="G728" s="301"/>
      <c r="H728" s="54"/>
      <c r="I728" s="54"/>
      <c r="J728" s="54"/>
    </row>
    <row r="729" spans="1:10" ht="13.2" customHeight="1">
      <c r="A729" s="54"/>
      <c r="B729" s="54"/>
      <c r="C729" s="54"/>
      <c r="D729" s="54"/>
      <c r="E729" s="54"/>
      <c r="F729" s="301"/>
      <c r="G729" s="301"/>
      <c r="H729" s="54"/>
      <c r="I729" s="54"/>
      <c r="J729" s="54"/>
    </row>
    <row r="730" spans="1:10" ht="13.2" customHeight="1">
      <c r="A730" s="54"/>
      <c r="B730" s="54"/>
      <c r="C730" s="54"/>
      <c r="D730" s="54"/>
      <c r="E730" s="54"/>
      <c r="F730" s="301"/>
      <c r="G730" s="301"/>
      <c r="H730" s="54"/>
      <c r="I730" s="54"/>
      <c r="J730" s="54"/>
    </row>
    <row r="731" spans="1:10" ht="13.2" customHeight="1">
      <c r="A731" s="54"/>
      <c r="B731" s="54"/>
      <c r="C731" s="54"/>
      <c r="D731" s="54"/>
      <c r="E731" s="54"/>
      <c r="F731" s="301"/>
      <c r="G731" s="301"/>
      <c r="H731" s="54"/>
      <c r="I731" s="54"/>
      <c r="J731" s="54"/>
    </row>
    <row r="732" spans="1:10" ht="13.2" customHeight="1">
      <c r="A732" s="54"/>
      <c r="B732" s="54"/>
      <c r="C732" s="54"/>
      <c r="D732" s="54"/>
      <c r="E732" s="54"/>
      <c r="F732" s="301"/>
      <c r="G732" s="301"/>
      <c r="H732" s="54"/>
      <c r="I732" s="54"/>
      <c r="J732" s="54"/>
    </row>
    <row r="733" spans="1:10" ht="13.2" customHeight="1">
      <c r="A733" s="54"/>
      <c r="B733" s="54"/>
      <c r="C733" s="54"/>
      <c r="D733" s="54"/>
      <c r="E733" s="54"/>
      <c r="F733" s="301"/>
      <c r="G733" s="301"/>
      <c r="H733" s="54"/>
      <c r="I733" s="54"/>
      <c r="J733" s="54"/>
    </row>
    <row r="734" spans="1:10" ht="13.2" customHeight="1">
      <c r="A734" s="54"/>
      <c r="B734" s="54"/>
      <c r="C734" s="54"/>
      <c r="D734" s="54"/>
      <c r="E734" s="54"/>
      <c r="F734" s="301"/>
      <c r="G734" s="301"/>
      <c r="H734" s="54"/>
      <c r="I734" s="54"/>
      <c r="J734" s="54"/>
    </row>
    <row r="735" spans="1:10" ht="13.2" customHeight="1">
      <c r="A735" s="54"/>
      <c r="B735" s="54"/>
      <c r="C735" s="54"/>
      <c r="D735" s="54"/>
      <c r="E735" s="54"/>
      <c r="F735" s="301"/>
      <c r="G735" s="301"/>
      <c r="H735" s="54"/>
      <c r="I735" s="54"/>
      <c r="J735" s="54"/>
    </row>
    <row r="736" spans="1:10" ht="13.2" customHeight="1">
      <c r="A736" s="54"/>
      <c r="B736" s="54"/>
      <c r="C736" s="54"/>
      <c r="D736" s="54"/>
      <c r="E736" s="54"/>
      <c r="F736" s="301"/>
      <c r="G736" s="301"/>
      <c r="H736" s="54"/>
      <c r="I736" s="54"/>
      <c r="J736" s="54"/>
    </row>
    <row r="737" spans="1:10" ht="13.2" customHeight="1">
      <c r="A737" s="54"/>
      <c r="B737" s="54"/>
      <c r="C737" s="54"/>
      <c r="D737" s="54"/>
      <c r="E737" s="54"/>
      <c r="F737" s="301"/>
      <c r="G737" s="301"/>
      <c r="H737" s="54"/>
      <c r="I737" s="54"/>
      <c r="J737" s="54"/>
    </row>
    <row r="738" spans="1:10" ht="13.2" customHeight="1">
      <c r="A738" s="54"/>
      <c r="B738" s="54"/>
      <c r="C738" s="54"/>
      <c r="D738" s="54"/>
      <c r="E738" s="54"/>
      <c r="F738" s="301"/>
      <c r="G738" s="301"/>
      <c r="H738" s="54"/>
      <c r="I738" s="54"/>
      <c r="J738" s="54"/>
    </row>
    <row r="739" spans="1:10" ht="13.2" customHeight="1">
      <c r="A739" s="54"/>
      <c r="B739" s="54"/>
      <c r="C739" s="54"/>
      <c r="D739" s="54"/>
      <c r="E739" s="54"/>
      <c r="F739" s="301"/>
      <c r="G739" s="301"/>
      <c r="H739" s="54"/>
      <c r="I739" s="54"/>
      <c r="J739" s="54"/>
    </row>
    <row r="740" spans="1:10" ht="13.2" customHeight="1">
      <c r="A740" s="54"/>
      <c r="B740" s="54"/>
      <c r="C740" s="54"/>
      <c r="D740" s="54"/>
      <c r="E740" s="54"/>
      <c r="F740" s="301"/>
      <c r="G740" s="301"/>
      <c r="H740" s="54"/>
      <c r="I740" s="54"/>
      <c r="J740" s="54"/>
    </row>
    <row r="741" spans="1:10" ht="13.2" customHeight="1">
      <c r="A741" s="54"/>
      <c r="B741" s="54"/>
      <c r="C741" s="54"/>
      <c r="D741" s="54"/>
      <c r="E741" s="54"/>
      <c r="F741" s="301"/>
      <c r="G741" s="301"/>
      <c r="H741" s="54"/>
      <c r="I741" s="54"/>
      <c r="J741" s="54"/>
    </row>
    <row r="742" spans="1:10" ht="13.2" customHeight="1">
      <c r="A742" s="54"/>
      <c r="B742" s="54"/>
      <c r="C742" s="54"/>
      <c r="D742" s="54"/>
      <c r="E742" s="54"/>
      <c r="F742" s="301"/>
      <c r="G742" s="301"/>
      <c r="H742" s="54"/>
      <c r="I742" s="54"/>
      <c r="J742" s="54"/>
    </row>
    <row r="743" spans="1:10" ht="13.2" customHeight="1">
      <c r="A743" s="54"/>
      <c r="B743" s="54"/>
      <c r="C743" s="54"/>
      <c r="D743" s="54"/>
      <c r="E743" s="54"/>
      <c r="F743" s="301"/>
      <c r="G743" s="301"/>
      <c r="H743" s="54"/>
      <c r="I743" s="54"/>
      <c r="J743" s="54"/>
    </row>
    <row r="744" spans="1:10" ht="13.2" customHeight="1">
      <c r="A744" s="54"/>
      <c r="B744" s="54"/>
      <c r="C744" s="54"/>
      <c r="D744" s="54"/>
      <c r="E744" s="54"/>
      <c r="F744" s="301"/>
      <c r="G744" s="301"/>
      <c r="H744" s="54"/>
      <c r="I744" s="54"/>
      <c r="J744" s="54"/>
    </row>
    <row r="745" spans="1:10" ht="13.2" customHeight="1">
      <c r="A745" s="54"/>
      <c r="B745" s="54"/>
      <c r="C745" s="54"/>
      <c r="D745" s="54"/>
      <c r="E745" s="54"/>
      <c r="F745" s="301"/>
      <c r="G745" s="301"/>
      <c r="H745" s="54"/>
      <c r="I745" s="54"/>
      <c r="J745" s="54"/>
    </row>
    <row r="746" spans="1:10" ht="13.2" customHeight="1">
      <c r="A746" s="54"/>
      <c r="B746" s="54"/>
      <c r="C746" s="54"/>
      <c r="D746" s="54"/>
      <c r="E746" s="54"/>
      <c r="F746" s="301"/>
      <c r="G746" s="301"/>
      <c r="H746" s="54"/>
      <c r="I746" s="54"/>
      <c r="J746" s="54"/>
    </row>
    <row r="747" spans="1:10" ht="13.2" customHeight="1">
      <c r="A747" s="54"/>
      <c r="B747" s="54"/>
      <c r="C747" s="54"/>
      <c r="D747" s="54"/>
      <c r="E747" s="54"/>
      <c r="F747" s="301"/>
      <c r="G747" s="301"/>
      <c r="H747" s="54"/>
      <c r="I747" s="54"/>
      <c r="J747" s="54"/>
    </row>
    <row r="748" spans="1:10" ht="13.2" customHeight="1">
      <c r="A748" s="54"/>
      <c r="B748" s="54"/>
      <c r="C748" s="54"/>
      <c r="D748" s="54"/>
      <c r="E748" s="54"/>
      <c r="F748" s="301"/>
      <c r="G748" s="301"/>
      <c r="H748" s="54"/>
      <c r="I748" s="54"/>
      <c r="J748" s="54"/>
    </row>
    <row r="749" spans="1:10" ht="13.2" customHeight="1">
      <c r="A749" s="54"/>
      <c r="B749" s="54"/>
      <c r="C749" s="54"/>
      <c r="D749" s="54"/>
      <c r="E749" s="54"/>
      <c r="F749" s="301"/>
      <c r="G749" s="301"/>
      <c r="H749" s="54"/>
      <c r="I749" s="54"/>
      <c r="J749" s="54"/>
    </row>
    <row r="750" spans="1:10" ht="13.2" customHeight="1">
      <c r="A750" s="54"/>
      <c r="B750" s="54"/>
      <c r="C750" s="54"/>
      <c r="D750" s="54"/>
      <c r="E750" s="54"/>
      <c r="F750" s="301"/>
      <c r="G750" s="301"/>
      <c r="H750" s="54"/>
      <c r="I750" s="54"/>
      <c r="J750" s="54"/>
    </row>
    <row r="751" spans="1:10" ht="13.2" customHeight="1">
      <c r="A751" s="54"/>
      <c r="B751" s="54"/>
      <c r="C751" s="54"/>
      <c r="D751" s="54"/>
      <c r="E751" s="54"/>
      <c r="F751" s="301"/>
      <c r="G751" s="301"/>
      <c r="H751" s="54"/>
      <c r="I751" s="54"/>
      <c r="J751" s="54"/>
    </row>
    <row r="752" spans="1:10" ht="13.2" customHeight="1">
      <c r="A752" s="54"/>
      <c r="B752" s="54"/>
      <c r="C752" s="54"/>
      <c r="D752" s="54"/>
      <c r="E752" s="54"/>
      <c r="F752" s="301"/>
      <c r="G752" s="301"/>
      <c r="H752" s="54"/>
      <c r="I752" s="54"/>
      <c r="J752" s="54"/>
    </row>
    <row r="753" spans="1:10" ht="13.2" customHeight="1">
      <c r="A753" s="54"/>
      <c r="B753" s="54"/>
      <c r="C753" s="54"/>
      <c r="D753" s="54"/>
      <c r="E753" s="54"/>
      <c r="F753" s="301"/>
      <c r="G753" s="301"/>
      <c r="H753" s="54"/>
      <c r="I753" s="54"/>
      <c r="J753" s="54"/>
    </row>
    <row r="754" spans="1:10" ht="13.2" customHeight="1">
      <c r="A754" s="54"/>
      <c r="B754" s="54"/>
      <c r="C754" s="54"/>
      <c r="D754" s="54"/>
      <c r="E754" s="54"/>
      <c r="F754" s="301"/>
      <c r="G754" s="301"/>
      <c r="H754" s="54"/>
      <c r="I754" s="54"/>
      <c r="J754" s="54"/>
    </row>
    <row r="755" spans="1:10" ht="13.2" customHeight="1">
      <c r="A755" s="54"/>
      <c r="B755" s="54"/>
      <c r="C755" s="54"/>
      <c r="D755" s="54"/>
      <c r="E755" s="54"/>
      <c r="F755" s="301"/>
      <c r="G755" s="301"/>
      <c r="H755" s="54"/>
      <c r="I755" s="54"/>
      <c r="J755" s="54"/>
    </row>
    <row r="756" spans="1:10" ht="13.2" customHeight="1">
      <c r="A756" s="54"/>
      <c r="B756" s="54"/>
      <c r="C756" s="54"/>
      <c r="D756" s="54"/>
      <c r="E756" s="54"/>
      <c r="F756" s="301"/>
      <c r="G756" s="301"/>
      <c r="H756" s="54"/>
      <c r="I756" s="54"/>
      <c r="J756" s="54"/>
    </row>
    <row r="757" spans="1:10" ht="13.2" customHeight="1">
      <c r="A757" s="54"/>
      <c r="B757" s="54"/>
      <c r="C757" s="54"/>
      <c r="D757" s="54"/>
      <c r="E757" s="54"/>
      <c r="F757" s="301"/>
      <c r="G757" s="301"/>
      <c r="H757" s="54"/>
      <c r="I757" s="54"/>
      <c r="J757" s="54"/>
    </row>
    <row r="758" spans="1:10" ht="13.2" customHeight="1">
      <c r="A758" s="54"/>
      <c r="B758" s="54"/>
      <c r="C758" s="54"/>
      <c r="D758" s="54"/>
      <c r="E758" s="54"/>
      <c r="F758" s="301"/>
      <c r="G758" s="301"/>
      <c r="H758" s="54"/>
      <c r="I758" s="54"/>
      <c r="J758" s="54"/>
    </row>
    <row r="759" spans="1:10" ht="13.2" customHeight="1">
      <c r="A759" s="54"/>
      <c r="B759" s="54"/>
      <c r="C759" s="54"/>
      <c r="D759" s="54"/>
      <c r="E759" s="54"/>
      <c r="F759" s="301"/>
      <c r="G759" s="301"/>
      <c r="H759" s="54"/>
      <c r="I759" s="54"/>
      <c r="J759" s="54"/>
    </row>
    <row r="760" spans="1:10" ht="13.2" customHeight="1">
      <c r="A760" s="54"/>
      <c r="B760" s="54"/>
      <c r="C760" s="54"/>
      <c r="D760" s="54"/>
      <c r="E760" s="54"/>
      <c r="F760" s="301"/>
      <c r="G760" s="301"/>
      <c r="H760" s="54"/>
      <c r="I760" s="54"/>
      <c r="J760" s="54"/>
    </row>
    <row r="761" spans="1:10" ht="13.2" customHeight="1">
      <c r="A761" s="54"/>
      <c r="B761" s="54"/>
      <c r="C761" s="54"/>
      <c r="D761" s="54"/>
      <c r="E761" s="54"/>
      <c r="F761" s="301"/>
      <c r="G761" s="301"/>
      <c r="H761" s="54"/>
      <c r="I761" s="54"/>
      <c r="J761" s="54"/>
    </row>
    <row r="762" spans="1:10" ht="13.2" customHeight="1">
      <c r="A762" s="54"/>
      <c r="B762" s="54"/>
      <c r="C762" s="54"/>
      <c r="D762" s="54"/>
      <c r="E762" s="54"/>
      <c r="F762" s="301"/>
      <c r="G762" s="301"/>
      <c r="H762" s="54"/>
      <c r="I762" s="54"/>
      <c r="J762" s="54"/>
    </row>
    <row r="763" spans="1:10" ht="13.2" customHeight="1">
      <c r="A763" s="54"/>
      <c r="B763" s="54"/>
      <c r="C763" s="54"/>
      <c r="D763" s="54"/>
      <c r="E763" s="54"/>
      <c r="F763" s="301"/>
      <c r="G763" s="301"/>
      <c r="H763" s="54"/>
      <c r="I763" s="54"/>
      <c r="J763" s="54"/>
    </row>
    <row r="764" spans="1:10" ht="13.2" customHeight="1">
      <c r="A764" s="54"/>
      <c r="B764" s="54"/>
      <c r="C764" s="54"/>
      <c r="D764" s="54"/>
      <c r="E764" s="54"/>
      <c r="F764" s="301"/>
      <c r="G764" s="301"/>
      <c r="H764" s="54"/>
      <c r="I764" s="54"/>
      <c r="J764" s="54"/>
    </row>
    <row r="765" spans="1:10" ht="13.2" customHeight="1">
      <c r="A765" s="54"/>
      <c r="B765" s="54"/>
      <c r="C765" s="54"/>
      <c r="D765" s="54"/>
      <c r="E765" s="54"/>
      <c r="F765" s="301"/>
      <c r="G765" s="301"/>
      <c r="H765" s="54"/>
      <c r="I765" s="54"/>
      <c r="J765" s="54"/>
    </row>
    <row r="766" spans="1:10" ht="13.2" customHeight="1">
      <c r="A766" s="54"/>
      <c r="B766" s="54"/>
      <c r="C766" s="54"/>
      <c r="D766" s="54"/>
      <c r="E766" s="54"/>
      <c r="F766" s="301"/>
      <c r="G766" s="301"/>
      <c r="H766" s="54"/>
      <c r="I766" s="54"/>
      <c r="J766" s="54"/>
    </row>
    <row r="767" spans="1:10" ht="13.2" customHeight="1">
      <c r="A767" s="54"/>
      <c r="B767" s="54"/>
      <c r="C767" s="54"/>
      <c r="D767" s="54"/>
      <c r="E767" s="54"/>
      <c r="F767" s="301"/>
      <c r="G767" s="301"/>
      <c r="H767" s="54"/>
      <c r="I767" s="54"/>
      <c r="J767" s="54"/>
    </row>
    <row r="768" spans="1:10" ht="13.2" customHeight="1">
      <c r="A768" s="54"/>
      <c r="B768" s="54"/>
      <c r="C768" s="54"/>
      <c r="D768" s="54"/>
      <c r="E768" s="54"/>
      <c r="F768" s="301"/>
      <c r="G768" s="301"/>
      <c r="H768" s="54"/>
      <c r="I768" s="54"/>
      <c r="J768" s="54"/>
    </row>
    <row r="769" spans="1:10" ht="13.2" customHeight="1">
      <c r="A769" s="54"/>
      <c r="B769" s="54"/>
      <c r="C769" s="54"/>
      <c r="D769" s="54"/>
      <c r="E769" s="54"/>
      <c r="F769" s="301"/>
      <c r="G769" s="301"/>
      <c r="H769" s="54"/>
      <c r="I769" s="54"/>
      <c r="J769" s="54"/>
    </row>
    <row r="770" spans="1:10" ht="13.2" customHeight="1">
      <c r="A770" s="54"/>
      <c r="B770" s="54"/>
      <c r="C770" s="54"/>
      <c r="D770" s="54"/>
      <c r="E770" s="54"/>
      <c r="F770" s="301"/>
      <c r="G770" s="301"/>
      <c r="H770" s="54"/>
      <c r="I770" s="54"/>
      <c r="J770" s="54"/>
    </row>
    <row r="771" spans="1:10" ht="13.2" customHeight="1">
      <c r="A771" s="54"/>
      <c r="B771" s="54"/>
      <c r="C771" s="54"/>
      <c r="D771" s="54"/>
      <c r="E771" s="54"/>
      <c r="F771" s="301"/>
      <c r="G771" s="301"/>
      <c r="H771" s="54"/>
      <c r="I771" s="54"/>
      <c r="J771" s="54"/>
    </row>
    <row r="772" spans="1:10" ht="13.2" customHeight="1">
      <c r="A772" s="54"/>
      <c r="B772" s="54"/>
      <c r="C772" s="54"/>
      <c r="D772" s="54"/>
      <c r="E772" s="54"/>
      <c r="F772" s="301"/>
      <c r="G772" s="301"/>
      <c r="H772" s="54"/>
      <c r="I772" s="54"/>
      <c r="J772" s="54"/>
    </row>
    <row r="773" spans="1:10" ht="13.2" customHeight="1">
      <c r="A773" s="54"/>
      <c r="B773" s="54"/>
      <c r="C773" s="54"/>
      <c r="D773" s="54"/>
      <c r="E773" s="54"/>
      <c r="F773" s="301"/>
      <c r="G773" s="301"/>
      <c r="H773" s="54"/>
      <c r="I773" s="54"/>
      <c r="J773" s="54"/>
    </row>
    <row r="774" spans="1:10" ht="13.2" customHeight="1">
      <c r="A774" s="54"/>
      <c r="B774" s="54"/>
      <c r="C774" s="54"/>
      <c r="D774" s="54"/>
      <c r="E774" s="54"/>
      <c r="F774" s="301"/>
      <c r="G774" s="301"/>
      <c r="H774" s="54"/>
      <c r="I774" s="54"/>
      <c r="J774" s="54"/>
    </row>
    <row r="775" spans="1:10" ht="13.2" customHeight="1">
      <c r="A775" s="54"/>
      <c r="B775" s="54"/>
      <c r="C775" s="54"/>
      <c r="D775" s="54"/>
      <c r="E775" s="54"/>
      <c r="F775" s="301"/>
      <c r="G775" s="301"/>
      <c r="H775" s="54"/>
      <c r="I775" s="54"/>
      <c r="J775" s="54"/>
    </row>
    <row r="776" spans="1:10" ht="13.2" customHeight="1">
      <c r="A776" s="54"/>
      <c r="B776" s="54"/>
      <c r="C776" s="54"/>
      <c r="D776" s="54"/>
      <c r="E776" s="54"/>
      <c r="F776" s="301"/>
      <c r="G776" s="301"/>
      <c r="H776" s="54"/>
      <c r="I776" s="54"/>
      <c r="J776" s="54"/>
    </row>
    <row r="777" spans="1:10" ht="13.2" customHeight="1">
      <c r="A777" s="54"/>
      <c r="B777" s="54"/>
      <c r="C777" s="54"/>
      <c r="D777" s="54"/>
      <c r="E777" s="54"/>
      <c r="F777" s="301"/>
      <c r="G777" s="301"/>
      <c r="H777" s="54"/>
      <c r="I777" s="54"/>
      <c r="J777" s="54"/>
    </row>
    <row r="778" spans="1:10" ht="13.2" customHeight="1">
      <c r="A778" s="54"/>
      <c r="B778" s="54"/>
      <c r="C778" s="54"/>
      <c r="D778" s="54"/>
      <c r="E778" s="54"/>
      <c r="F778" s="301"/>
      <c r="G778" s="301"/>
      <c r="H778" s="54"/>
      <c r="I778" s="54"/>
      <c r="J778" s="54"/>
    </row>
    <row r="779" spans="1:10" ht="13.2" customHeight="1">
      <c r="A779" s="54"/>
      <c r="B779" s="54"/>
      <c r="C779" s="54"/>
      <c r="D779" s="54"/>
      <c r="E779" s="54"/>
      <c r="F779" s="301"/>
      <c r="G779" s="301"/>
      <c r="H779" s="54"/>
      <c r="I779" s="54"/>
      <c r="J779" s="54"/>
    </row>
    <row r="780" spans="1:10" ht="13.2" customHeight="1">
      <c r="A780" s="54"/>
      <c r="B780" s="54"/>
      <c r="C780" s="54"/>
      <c r="D780" s="54"/>
      <c r="E780" s="54"/>
      <c r="F780" s="301"/>
      <c r="G780" s="301"/>
      <c r="H780" s="54"/>
      <c r="I780" s="54"/>
      <c r="J780" s="54"/>
    </row>
    <row r="781" spans="1:10" ht="13.2" customHeight="1">
      <c r="A781" s="54"/>
      <c r="B781" s="54"/>
      <c r="C781" s="54"/>
      <c r="D781" s="54"/>
      <c r="E781" s="54"/>
      <c r="F781" s="301"/>
      <c r="G781" s="301"/>
      <c r="H781" s="54"/>
      <c r="I781" s="54"/>
      <c r="J781" s="54"/>
    </row>
    <row r="782" spans="1:10" ht="13.2" customHeight="1">
      <c r="A782" s="54"/>
      <c r="B782" s="54"/>
      <c r="C782" s="54"/>
      <c r="D782" s="54"/>
      <c r="E782" s="54"/>
      <c r="F782" s="301"/>
      <c r="G782" s="301"/>
      <c r="H782" s="54"/>
      <c r="I782" s="54"/>
      <c r="J782" s="54"/>
    </row>
    <row r="783" spans="1:10" ht="13.2" customHeight="1">
      <c r="A783" s="54"/>
      <c r="B783" s="54"/>
      <c r="C783" s="54"/>
      <c r="D783" s="54"/>
      <c r="E783" s="54"/>
      <c r="F783" s="301"/>
      <c r="G783" s="301"/>
      <c r="H783" s="54"/>
      <c r="I783" s="54"/>
      <c r="J783" s="54"/>
    </row>
    <row r="784" spans="1:10" ht="13.2" customHeight="1">
      <c r="A784" s="54"/>
      <c r="B784" s="54"/>
      <c r="C784" s="54"/>
      <c r="D784" s="54"/>
      <c r="E784" s="54"/>
      <c r="F784" s="301"/>
      <c r="G784" s="301"/>
      <c r="H784" s="54"/>
      <c r="I784" s="54"/>
      <c r="J784" s="54"/>
    </row>
    <row r="785" spans="1:10" ht="13.2" customHeight="1">
      <c r="A785" s="54"/>
      <c r="B785" s="54"/>
      <c r="C785" s="54"/>
      <c r="D785" s="54"/>
      <c r="E785" s="54"/>
      <c r="F785" s="301"/>
      <c r="G785" s="301"/>
      <c r="H785" s="54"/>
      <c r="I785" s="54"/>
      <c r="J785" s="54"/>
    </row>
    <row r="786" spans="1:10" ht="13.2" customHeight="1">
      <c r="A786" s="54"/>
      <c r="B786" s="54"/>
      <c r="C786" s="54"/>
      <c r="D786" s="54"/>
      <c r="E786" s="54"/>
      <c r="F786" s="301"/>
      <c r="G786" s="301"/>
      <c r="H786" s="54"/>
      <c r="I786" s="54"/>
      <c r="J786" s="54"/>
    </row>
    <row r="787" spans="1:10" ht="13.2" customHeight="1">
      <c r="A787" s="54"/>
      <c r="B787" s="54"/>
      <c r="C787" s="54"/>
      <c r="D787" s="54"/>
      <c r="E787" s="54"/>
      <c r="F787" s="301"/>
      <c r="G787" s="301"/>
      <c r="H787" s="54"/>
      <c r="I787" s="54"/>
      <c r="J787" s="54"/>
    </row>
    <row r="788" spans="1:10" ht="13.2" customHeight="1">
      <c r="A788" s="54"/>
      <c r="B788" s="54"/>
      <c r="C788" s="54"/>
      <c r="D788" s="54"/>
      <c r="E788" s="54"/>
      <c r="F788" s="301"/>
      <c r="G788" s="301"/>
      <c r="H788" s="54"/>
      <c r="I788" s="54"/>
      <c r="J788" s="54"/>
    </row>
    <row r="789" spans="1:10" ht="13.2" customHeight="1">
      <c r="A789" s="54"/>
      <c r="B789" s="54"/>
      <c r="C789" s="54"/>
      <c r="D789" s="54"/>
      <c r="E789" s="54"/>
      <c r="F789" s="301"/>
      <c r="G789" s="301"/>
      <c r="H789" s="54"/>
      <c r="I789" s="54"/>
      <c r="J789" s="54"/>
    </row>
    <row r="790" spans="1:10" ht="13.2" customHeight="1">
      <c r="A790" s="54"/>
      <c r="B790" s="54"/>
      <c r="C790" s="54"/>
      <c r="D790" s="54"/>
      <c r="E790" s="54"/>
      <c r="F790" s="301"/>
      <c r="G790" s="301"/>
      <c r="H790" s="54"/>
      <c r="I790" s="54"/>
      <c r="J790" s="54"/>
    </row>
    <row r="791" spans="1:10" ht="13.2" customHeight="1">
      <c r="A791" s="54"/>
      <c r="B791" s="54"/>
      <c r="C791" s="54"/>
      <c r="D791" s="54"/>
      <c r="E791" s="54"/>
      <c r="F791" s="301"/>
      <c r="G791" s="301"/>
      <c r="H791" s="54"/>
      <c r="I791" s="54"/>
      <c r="J791" s="54"/>
    </row>
    <row r="792" spans="1:10" ht="13.2" customHeight="1">
      <c r="A792" s="54"/>
      <c r="B792" s="54"/>
      <c r="C792" s="54"/>
      <c r="D792" s="54"/>
      <c r="E792" s="54"/>
      <c r="F792" s="301"/>
      <c r="G792" s="301"/>
      <c r="H792" s="54"/>
      <c r="I792" s="54"/>
      <c r="J792" s="54"/>
    </row>
    <row r="793" spans="1:10" ht="13.2" customHeight="1">
      <c r="A793" s="54"/>
      <c r="B793" s="54"/>
      <c r="C793" s="54"/>
      <c r="D793" s="54"/>
      <c r="E793" s="54"/>
      <c r="F793" s="301"/>
      <c r="G793" s="301"/>
      <c r="H793" s="54"/>
      <c r="I793" s="54"/>
      <c r="J793" s="54"/>
    </row>
    <row r="794" spans="1:10" ht="13.2" customHeight="1">
      <c r="A794" s="54"/>
      <c r="B794" s="54"/>
      <c r="C794" s="54"/>
      <c r="D794" s="54"/>
      <c r="E794" s="54"/>
      <c r="F794" s="301"/>
      <c r="G794" s="301"/>
      <c r="H794" s="54"/>
      <c r="I794" s="54"/>
      <c r="J794" s="54"/>
    </row>
    <row r="795" spans="1:10" ht="13.2" customHeight="1">
      <c r="A795" s="54"/>
      <c r="B795" s="54"/>
      <c r="C795" s="54"/>
      <c r="D795" s="54"/>
      <c r="E795" s="54"/>
      <c r="F795" s="301"/>
      <c r="G795" s="301"/>
      <c r="H795" s="54"/>
      <c r="I795" s="54"/>
      <c r="J795" s="54"/>
    </row>
    <row r="796" spans="1:10" ht="13.2" customHeight="1">
      <c r="A796" s="54"/>
      <c r="B796" s="54"/>
      <c r="C796" s="54"/>
      <c r="D796" s="54"/>
      <c r="E796" s="54"/>
      <c r="F796" s="301"/>
      <c r="G796" s="301"/>
      <c r="H796" s="54"/>
      <c r="I796" s="54"/>
      <c r="J796" s="54"/>
    </row>
    <row r="797" spans="1:10" ht="13.2" customHeight="1">
      <c r="A797" s="54"/>
      <c r="B797" s="54"/>
      <c r="C797" s="54"/>
      <c r="D797" s="54"/>
      <c r="E797" s="54"/>
      <c r="F797" s="301"/>
      <c r="G797" s="301"/>
      <c r="H797" s="54"/>
      <c r="I797" s="54"/>
      <c r="J797" s="54"/>
    </row>
    <row r="798" spans="1:10" ht="13.2" customHeight="1">
      <c r="A798" s="54"/>
      <c r="B798" s="54"/>
      <c r="C798" s="54"/>
      <c r="D798" s="54"/>
      <c r="E798" s="54"/>
      <c r="F798" s="301"/>
      <c r="G798" s="301"/>
      <c r="H798" s="54"/>
      <c r="I798" s="54"/>
      <c r="J798" s="54"/>
    </row>
    <row r="799" spans="1:10" ht="13.2" customHeight="1">
      <c r="A799" s="54"/>
      <c r="B799" s="54"/>
      <c r="C799" s="54"/>
      <c r="D799" s="54"/>
      <c r="E799" s="54"/>
      <c r="F799" s="301"/>
      <c r="G799" s="301"/>
      <c r="H799" s="54"/>
      <c r="I799" s="54"/>
      <c r="J799" s="54"/>
    </row>
    <row r="800" spans="1:10" ht="13.2" customHeight="1">
      <c r="A800" s="54"/>
      <c r="B800" s="54"/>
      <c r="C800" s="54"/>
      <c r="D800" s="54"/>
      <c r="E800" s="54"/>
      <c r="F800" s="301"/>
      <c r="G800" s="301"/>
      <c r="H800" s="54"/>
      <c r="I800" s="54"/>
      <c r="J800" s="54"/>
    </row>
    <row r="801" spans="1:10" ht="13.2" customHeight="1">
      <c r="A801" s="54"/>
      <c r="B801" s="54"/>
      <c r="C801" s="54"/>
      <c r="D801" s="54"/>
      <c r="E801" s="54"/>
      <c r="F801" s="301"/>
      <c r="G801" s="301"/>
      <c r="H801" s="54"/>
      <c r="I801" s="54"/>
      <c r="J801" s="54"/>
    </row>
    <row r="802" spans="1:10" ht="13.2" customHeight="1">
      <c r="A802" s="54"/>
      <c r="B802" s="54"/>
      <c r="C802" s="54"/>
      <c r="D802" s="54"/>
      <c r="E802" s="54"/>
      <c r="F802" s="301"/>
      <c r="G802" s="301"/>
      <c r="H802" s="54"/>
      <c r="I802" s="54"/>
      <c r="J802" s="54"/>
    </row>
    <row r="803" spans="1:10" ht="13.2" customHeight="1">
      <c r="A803" s="54"/>
      <c r="B803" s="54"/>
      <c r="C803" s="54"/>
      <c r="D803" s="54"/>
      <c r="E803" s="54"/>
      <c r="F803" s="301"/>
      <c r="G803" s="301"/>
      <c r="H803" s="54"/>
      <c r="I803" s="54"/>
      <c r="J803" s="54"/>
    </row>
    <row r="804" spans="1:10" ht="13.2" customHeight="1">
      <c r="A804" s="54"/>
      <c r="B804" s="54"/>
      <c r="C804" s="54"/>
      <c r="D804" s="54"/>
      <c r="E804" s="54"/>
      <c r="F804" s="301"/>
      <c r="G804" s="301"/>
      <c r="H804" s="54"/>
      <c r="I804" s="54"/>
      <c r="J804" s="54"/>
    </row>
    <row r="805" spans="1:10" ht="13.2" customHeight="1">
      <c r="A805" s="54"/>
      <c r="B805" s="54"/>
      <c r="C805" s="54"/>
      <c r="D805" s="54"/>
      <c r="E805" s="54"/>
      <c r="F805" s="301"/>
      <c r="G805" s="301"/>
      <c r="H805" s="54"/>
      <c r="I805" s="54"/>
      <c r="J805" s="54"/>
    </row>
    <row r="806" spans="1:10" ht="13.2" customHeight="1">
      <c r="A806" s="54"/>
      <c r="B806" s="54"/>
      <c r="C806" s="54"/>
      <c r="D806" s="54"/>
      <c r="E806" s="54"/>
      <c r="F806" s="301"/>
      <c r="G806" s="301"/>
      <c r="H806" s="54"/>
      <c r="I806" s="54"/>
      <c r="J806" s="54"/>
    </row>
    <row r="807" spans="1:10" ht="13.2" customHeight="1">
      <c r="A807" s="54"/>
      <c r="B807" s="54"/>
      <c r="C807" s="54"/>
      <c r="D807" s="54"/>
      <c r="E807" s="54"/>
      <c r="F807" s="301"/>
      <c r="G807" s="301"/>
      <c r="H807" s="54"/>
      <c r="I807" s="54"/>
      <c r="J807" s="54"/>
    </row>
    <row r="808" spans="1:10" ht="13.2" customHeight="1">
      <c r="A808" s="54"/>
      <c r="B808" s="54"/>
      <c r="C808" s="54"/>
      <c r="D808" s="54"/>
      <c r="E808" s="54"/>
      <c r="F808" s="301"/>
      <c r="G808" s="301"/>
      <c r="H808" s="54"/>
      <c r="I808" s="54"/>
      <c r="J808" s="54"/>
    </row>
    <row r="809" spans="1:10" ht="13.2" customHeight="1">
      <c r="A809" s="54"/>
      <c r="B809" s="54"/>
      <c r="C809" s="54"/>
      <c r="D809" s="54"/>
      <c r="E809" s="54"/>
      <c r="F809" s="301"/>
      <c r="G809" s="301"/>
      <c r="H809" s="54"/>
      <c r="I809" s="54"/>
      <c r="J809" s="54"/>
    </row>
    <row r="810" spans="1:10" ht="13.2" customHeight="1">
      <c r="A810" s="54"/>
      <c r="B810" s="54"/>
      <c r="C810" s="54"/>
      <c r="D810" s="54"/>
      <c r="E810" s="54"/>
      <c r="F810" s="301"/>
      <c r="G810" s="301"/>
      <c r="H810" s="54"/>
      <c r="I810" s="54"/>
      <c r="J810" s="54"/>
    </row>
    <row r="811" spans="1:10" ht="13.2" customHeight="1">
      <c r="A811" s="54"/>
      <c r="B811" s="54"/>
      <c r="C811" s="54"/>
      <c r="D811" s="54"/>
      <c r="E811" s="54"/>
      <c r="F811" s="301"/>
      <c r="G811" s="301"/>
      <c r="H811" s="54"/>
      <c r="I811" s="54"/>
      <c r="J811" s="54"/>
    </row>
    <row r="812" spans="1:10" ht="13.2" customHeight="1">
      <c r="A812" s="54"/>
      <c r="B812" s="54"/>
      <c r="C812" s="54"/>
      <c r="D812" s="54"/>
      <c r="E812" s="54"/>
      <c r="F812" s="301"/>
      <c r="G812" s="301"/>
      <c r="H812" s="54"/>
      <c r="I812" s="54"/>
      <c r="J812" s="54"/>
    </row>
    <row r="813" spans="1:10" ht="13.2" customHeight="1">
      <c r="A813" s="54"/>
      <c r="B813" s="54"/>
      <c r="C813" s="54"/>
      <c r="D813" s="54"/>
      <c r="E813" s="54"/>
      <c r="F813" s="301"/>
      <c r="G813" s="301"/>
      <c r="H813" s="54"/>
      <c r="I813" s="54"/>
      <c r="J813" s="54"/>
    </row>
    <row r="814" spans="1:10" ht="13.2" customHeight="1">
      <c r="A814" s="54"/>
      <c r="B814" s="54"/>
      <c r="C814" s="54"/>
      <c r="D814" s="54"/>
      <c r="E814" s="54"/>
      <c r="F814" s="301"/>
      <c r="G814" s="301"/>
      <c r="H814" s="54"/>
      <c r="I814" s="54"/>
      <c r="J814" s="54"/>
    </row>
    <row r="815" spans="1:10" ht="13.2" customHeight="1">
      <c r="A815" s="54"/>
      <c r="B815" s="54"/>
      <c r="C815" s="54"/>
      <c r="D815" s="54"/>
      <c r="E815" s="54"/>
      <c r="F815" s="301"/>
      <c r="G815" s="301"/>
      <c r="H815" s="54"/>
      <c r="I815" s="54"/>
      <c r="J815" s="54"/>
    </row>
    <row r="816" spans="1:10" ht="13.2" customHeight="1">
      <c r="A816" s="54"/>
      <c r="B816" s="54"/>
      <c r="C816" s="54"/>
      <c r="D816" s="54"/>
      <c r="E816" s="54"/>
      <c r="F816" s="301"/>
      <c r="G816" s="301"/>
      <c r="H816" s="54"/>
      <c r="I816" s="54"/>
      <c r="J816" s="54"/>
    </row>
    <row r="817" spans="1:10" ht="13.2" customHeight="1">
      <c r="A817" s="54"/>
      <c r="B817" s="54"/>
      <c r="C817" s="54"/>
      <c r="D817" s="54"/>
      <c r="E817" s="54"/>
      <c r="F817" s="301"/>
      <c r="G817" s="301"/>
      <c r="H817" s="54"/>
      <c r="I817" s="54"/>
      <c r="J817" s="54"/>
    </row>
    <row r="818" spans="1:10" ht="13.2" customHeight="1">
      <c r="A818" s="54"/>
      <c r="B818" s="54"/>
      <c r="C818" s="54"/>
      <c r="D818" s="54"/>
      <c r="E818" s="54"/>
      <c r="F818" s="301"/>
      <c r="G818" s="301"/>
      <c r="H818" s="54"/>
      <c r="I818" s="54"/>
      <c r="J818" s="54"/>
    </row>
    <row r="819" spans="1:10" ht="13.2" customHeight="1">
      <c r="A819" s="54"/>
      <c r="B819" s="54"/>
      <c r="C819" s="54"/>
      <c r="D819" s="54"/>
      <c r="E819" s="54"/>
      <c r="F819" s="301"/>
      <c r="G819" s="301"/>
      <c r="H819" s="54"/>
      <c r="I819" s="54"/>
      <c r="J819" s="54"/>
    </row>
    <row r="820" spans="1:10" ht="13.2" customHeight="1">
      <c r="A820" s="54"/>
      <c r="B820" s="54"/>
      <c r="C820" s="54"/>
      <c r="D820" s="54"/>
      <c r="E820" s="54"/>
      <c r="F820" s="301"/>
      <c r="G820" s="301"/>
      <c r="H820" s="54"/>
      <c r="I820" s="54"/>
      <c r="J820" s="54"/>
    </row>
    <row r="821" spans="1:10" ht="13.2" customHeight="1">
      <c r="A821" s="54"/>
      <c r="B821" s="54"/>
      <c r="C821" s="54"/>
      <c r="D821" s="54"/>
      <c r="E821" s="54"/>
      <c r="F821" s="301"/>
      <c r="G821" s="301"/>
      <c r="H821" s="54"/>
      <c r="I821" s="54"/>
      <c r="J821" s="54"/>
    </row>
    <row r="822" spans="1:10" ht="13.2" customHeight="1">
      <c r="A822" s="54"/>
      <c r="B822" s="54"/>
      <c r="C822" s="54"/>
      <c r="D822" s="54"/>
      <c r="E822" s="54"/>
      <c r="F822" s="301"/>
      <c r="G822" s="301"/>
      <c r="H822" s="54"/>
      <c r="I822" s="54"/>
      <c r="J822" s="54"/>
    </row>
    <row r="823" spans="1:10" ht="13.2" customHeight="1">
      <c r="A823" s="54"/>
      <c r="B823" s="54"/>
      <c r="C823" s="54"/>
      <c r="D823" s="54"/>
      <c r="E823" s="54"/>
      <c r="F823" s="301"/>
      <c r="G823" s="301"/>
      <c r="H823" s="54"/>
      <c r="I823" s="54"/>
      <c r="J823" s="54"/>
    </row>
    <row r="824" spans="1:10" ht="13.2" customHeight="1">
      <c r="A824" s="54"/>
      <c r="B824" s="54"/>
      <c r="C824" s="54"/>
      <c r="D824" s="54"/>
      <c r="E824" s="54"/>
      <c r="F824" s="301"/>
      <c r="G824" s="301"/>
      <c r="H824" s="54"/>
      <c r="I824" s="54"/>
      <c r="J824" s="54"/>
    </row>
    <row r="825" spans="1:10" ht="13.2" customHeight="1">
      <c r="A825" s="54"/>
      <c r="B825" s="54"/>
      <c r="C825" s="54"/>
      <c r="D825" s="54"/>
      <c r="E825" s="54"/>
      <c r="F825" s="301"/>
      <c r="G825" s="301"/>
      <c r="H825" s="54"/>
      <c r="I825" s="54"/>
      <c r="J825" s="54"/>
    </row>
    <row r="826" spans="1:10" ht="13.2" customHeight="1">
      <c r="A826" s="54"/>
      <c r="B826" s="54"/>
      <c r="C826" s="54"/>
      <c r="D826" s="54"/>
      <c r="E826" s="54"/>
      <c r="F826" s="301"/>
      <c r="G826" s="301"/>
      <c r="H826" s="54"/>
      <c r="I826" s="54"/>
      <c r="J826" s="54"/>
    </row>
    <row r="827" spans="1:10" ht="13.2" customHeight="1">
      <c r="A827" s="54"/>
      <c r="B827" s="54"/>
      <c r="C827" s="54"/>
      <c r="D827" s="54"/>
      <c r="E827" s="54"/>
      <c r="F827" s="301"/>
      <c r="G827" s="301"/>
      <c r="H827" s="54"/>
      <c r="I827" s="54"/>
      <c r="J827" s="54"/>
    </row>
    <row r="828" spans="1:10" ht="13.2" customHeight="1">
      <c r="A828" s="54"/>
      <c r="B828" s="54"/>
      <c r="C828" s="54"/>
      <c r="D828" s="54"/>
      <c r="E828" s="54"/>
      <c r="F828" s="301"/>
      <c r="G828" s="301"/>
      <c r="H828" s="54"/>
      <c r="I828" s="54"/>
      <c r="J828" s="54"/>
    </row>
    <row r="829" spans="1:10" ht="13.2" customHeight="1">
      <c r="A829" s="54"/>
      <c r="B829" s="54"/>
      <c r="C829" s="54"/>
      <c r="D829" s="54"/>
      <c r="E829" s="54"/>
      <c r="F829" s="301"/>
      <c r="G829" s="301"/>
      <c r="H829" s="54"/>
      <c r="I829" s="54"/>
      <c r="J829" s="54"/>
    </row>
    <row r="830" spans="1:10" ht="13.2" customHeight="1">
      <c r="A830" s="54"/>
      <c r="B830" s="54"/>
      <c r="C830" s="54"/>
      <c r="D830" s="54"/>
      <c r="E830" s="54"/>
      <c r="F830" s="301"/>
      <c r="G830" s="301"/>
      <c r="H830" s="54"/>
      <c r="I830" s="54"/>
      <c r="J830" s="54"/>
    </row>
    <row r="831" spans="1:10" ht="13.2" customHeight="1">
      <c r="A831" s="54"/>
      <c r="B831" s="54"/>
      <c r="C831" s="54"/>
      <c r="D831" s="54"/>
      <c r="E831" s="54"/>
      <c r="F831" s="301"/>
      <c r="G831" s="301"/>
      <c r="H831" s="54"/>
      <c r="I831" s="54"/>
      <c r="J831" s="54"/>
    </row>
    <row r="832" spans="1:10" ht="13.2" customHeight="1">
      <c r="A832" s="54"/>
      <c r="B832" s="54"/>
      <c r="C832" s="54"/>
      <c r="D832" s="54"/>
      <c r="E832" s="54"/>
      <c r="F832" s="301"/>
      <c r="G832" s="301"/>
      <c r="H832" s="54"/>
      <c r="I832" s="54"/>
      <c r="J832" s="54"/>
    </row>
    <row r="833" spans="1:10" ht="13.2" customHeight="1">
      <c r="A833" s="54"/>
      <c r="B833" s="54"/>
      <c r="C833" s="54"/>
      <c r="D833" s="54"/>
      <c r="E833" s="54"/>
      <c r="F833" s="301"/>
      <c r="G833" s="301"/>
      <c r="H833" s="54"/>
      <c r="I833" s="54"/>
      <c r="J833" s="54"/>
    </row>
    <row r="834" spans="1:10" ht="13.2" customHeight="1">
      <c r="A834" s="54"/>
      <c r="B834" s="54"/>
      <c r="C834" s="54"/>
      <c r="D834" s="54"/>
      <c r="E834" s="54"/>
      <c r="F834" s="301"/>
      <c r="G834" s="301"/>
      <c r="H834" s="54"/>
      <c r="I834" s="54"/>
      <c r="J834" s="54"/>
    </row>
    <row r="835" spans="1:10" ht="13.2" customHeight="1">
      <c r="A835" s="54"/>
      <c r="B835" s="54"/>
      <c r="C835" s="54"/>
      <c r="D835" s="54"/>
      <c r="E835" s="54"/>
      <c r="F835" s="301"/>
      <c r="G835" s="301"/>
      <c r="H835" s="54"/>
      <c r="I835" s="54"/>
      <c r="J835" s="54"/>
    </row>
    <row r="836" spans="1:10" ht="13.2" customHeight="1">
      <c r="A836" s="54"/>
      <c r="B836" s="54"/>
      <c r="C836" s="54"/>
      <c r="D836" s="54"/>
      <c r="E836" s="54"/>
      <c r="F836" s="301"/>
      <c r="G836" s="301"/>
      <c r="H836" s="54"/>
      <c r="I836" s="54"/>
      <c r="J836" s="54"/>
    </row>
    <row r="837" spans="1:10" ht="13.2" customHeight="1">
      <c r="A837" s="54"/>
      <c r="B837" s="54"/>
      <c r="C837" s="54"/>
      <c r="D837" s="54"/>
      <c r="E837" s="54"/>
      <c r="F837" s="301"/>
      <c r="G837" s="301"/>
      <c r="H837" s="54"/>
      <c r="I837" s="54"/>
      <c r="J837" s="54"/>
    </row>
    <row r="838" spans="1:10" ht="13.2" customHeight="1">
      <c r="A838" s="54"/>
      <c r="B838" s="54"/>
      <c r="C838" s="54"/>
      <c r="D838" s="54"/>
      <c r="E838" s="54"/>
      <c r="F838" s="301"/>
      <c r="G838" s="301"/>
      <c r="H838" s="54"/>
      <c r="I838" s="54"/>
      <c r="J838" s="54"/>
    </row>
    <row r="839" spans="1:10" ht="13.2" customHeight="1">
      <c r="A839" s="54"/>
      <c r="B839" s="54"/>
      <c r="C839" s="54"/>
      <c r="D839" s="54"/>
      <c r="E839" s="54"/>
      <c r="F839" s="301"/>
      <c r="G839" s="301"/>
      <c r="H839" s="54"/>
      <c r="I839" s="54"/>
      <c r="J839" s="54"/>
    </row>
    <row r="840" spans="1:10" ht="13.2" customHeight="1">
      <c r="A840" s="54"/>
      <c r="B840" s="54"/>
      <c r="C840" s="54"/>
      <c r="D840" s="54"/>
      <c r="E840" s="54"/>
      <c r="F840" s="301"/>
      <c r="G840" s="301"/>
      <c r="H840" s="54"/>
      <c r="I840" s="54"/>
      <c r="J840" s="54"/>
    </row>
    <row r="841" spans="1:10" ht="13.2" customHeight="1">
      <c r="A841" s="54"/>
      <c r="B841" s="54"/>
      <c r="C841" s="54"/>
      <c r="D841" s="54"/>
      <c r="E841" s="54"/>
      <c r="F841" s="301"/>
      <c r="G841" s="301"/>
      <c r="H841" s="54"/>
      <c r="I841" s="54"/>
      <c r="J841" s="54"/>
    </row>
    <row r="842" spans="1:10" ht="13.2" customHeight="1">
      <c r="A842" s="54"/>
      <c r="B842" s="54"/>
      <c r="C842" s="54"/>
      <c r="D842" s="54"/>
      <c r="E842" s="54"/>
      <c r="F842" s="301"/>
      <c r="G842" s="301"/>
      <c r="H842" s="54"/>
      <c r="I842" s="54"/>
      <c r="J842" s="54"/>
    </row>
    <row r="843" spans="1:10" ht="13.2" customHeight="1">
      <c r="A843" s="54"/>
      <c r="B843" s="54"/>
      <c r="C843" s="54"/>
      <c r="D843" s="54"/>
      <c r="E843" s="54"/>
      <c r="F843" s="301"/>
      <c r="G843" s="301"/>
      <c r="H843" s="54"/>
      <c r="I843" s="54"/>
      <c r="J843" s="54"/>
    </row>
    <row r="844" spans="1:10" ht="13.2" customHeight="1">
      <c r="A844" s="54"/>
      <c r="B844" s="54"/>
      <c r="C844" s="54"/>
      <c r="D844" s="54"/>
      <c r="E844" s="54"/>
      <c r="F844" s="301"/>
      <c r="G844" s="301"/>
      <c r="H844" s="54"/>
      <c r="I844" s="54"/>
      <c r="J844" s="54"/>
    </row>
    <row r="845" spans="1:10" ht="13.2" customHeight="1">
      <c r="A845" s="54"/>
      <c r="B845" s="54"/>
      <c r="C845" s="54"/>
      <c r="D845" s="54"/>
      <c r="E845" s="54"/>
      <c r="F845" s="301"/>
      <c r="G845" s="301"/>
      <c r="H845" s="54"/>
      <c r="I845" s="54"/>
      <c r="J845" s="54"/>
    </row>
    <row r="846" spans="1:10" ht="13.2" customHeight="1">
      <c r="A846" s="54"/>
      <c r="B846" s="54"/>
      <c r="C846" s="54"/>
      <c r="D846" s="54"/>
      <c r="E846" s="54"/>
      <c r="F846" s="301"/>
      <c r="G846" s="301"/>
      <c r="H846" s="54"/>
      <c r="I846" s="54"/>
      <c r="J846" s="54"/>
    </row>
    <row r="847" spans="1:10" ht="13.2" customHeight="1">
      <c r="A847" s="54"/>
      <c r="B847" s="54"/>
      <c r="C847" s="54"/>
      <c r="D847" s="54"/>
      <c r="E847" s="54"/>
      <c r="F847" s="301"/>
      <c r="G847" s="301"/>
      <c r="H847" s="54"/>
      <c r="I847" s="54"/>
      <c r="J847" s="54"/>
    </row>
    <row r="848" spans="1:10" ht="13.2" customHeight="1">
      <c r="A848" s="54"/>
      <c r="B848" s="54"/>
      <c r="C848" s="54"/>
      <c r="D848" s="54"/>
      <c r="E848" s="54"/>
      <c r="F848" s="301"/>
      <c r="G848" s="301"/>
      <c r="H848" s="54"/>
      <c r="I848" s="54"/>
      <c r="J848" s="54"/>
    </row>
    <row r="849" spans="1:10" ht="13.2" customHeight="1">
      <c r="A849" s="54"/>
      <c r="B849" s="54"/>
      <c r="C849" s="54"/>
      <c r="D849" s="54"/>
      <c r="E849" s="54"/>
      <c r="F849" s="301"/>
      <c r="G849" s="301"/>
      <c r="H849" s="54"/>
      <c r="I849" s="54"/>
      <c r="J849" s="54"/>
    </row>
    <row r="850" spans="1:10" ht="13.2" customHeight="1">
      <c r="A850" s="54"/>
      <c r="B850" s="54"/>
      <c r="C850" s="54"/>
      <c r="D850" s="54"/>
      <c r="E850" s="54"/>
      <c r="F850" s="301"/>
      <c r="G850" s="301"/>
      <c r="H850" s="54"/>
      <c r="I850" s="54"/>
      <c r="J850" s="54"/>
    </row>
    <row r="851" spans="1:10" ht="13.2" customHeight="1">
      <c r="A851" s="54"/>
      <c r="B851" s="54"/>
      <c r="C851" s="54"/>
      <c r="D851" s="54"/>
      <c r="E851" s="54"/>
      <c r="F851" s="301"/>
      <c r="G851" s="301"/>
      <c r="H851" s="54"/>
      <c r="I851" s="54"/>
      <c r="J851" s="54"/>
    </row>
    <row r="852" spans="1:10" ht="13.2" customHeight="1">
      <c r="A852" s="54"/>
      <c r="B852" s="54"/>
      <c r="C852" s="54"/>
      <c r="D852" s="54"/>
      <c r="E852" s="54"/>
      <c r="F852" s="301"/>
      <c r="G852" s="301"/>
      <c r="H852" s="54"/>
      <c r="I852" s="54"/>
      <c r="J852" s="54"/>
    </row>
    <row r="853" spans="1:10" ht="13.2" customHeight="1">
      <c r="A853" s="54"/>
      <c r="B853" s="54"/>
      <c r="C853" s="54"/>
      <c r="D853" s="54"/>
      <c r="E853" s="54"/>
      <c r="F853" s="301"/>
      <c r="G853" s="301"/>
      <c r="H853" s="54"/>
      <c r="I853" s="54"/>
      <c r="J853" s="54"/>
    </row>
    <row r="854" spans="1:10" ht="13.2" customHeight="1">
      <c r="A854" s="54"/>
      <c r="B854" s="54"/>
      <c r="C854" s="54"/>
      <c r="D854" s="54"/>
      <c r="E854" s="54"/>
      <c r="F854" s="301"/>
      <c r="G854" s="301"/>
      <c r="H854" s="54"/>
      <c r="I854" s="54"/>
      <c r="J854" s="54"/>
    </row>
    <row r="855" spans="1:10" ht="13.2" customHeight="1">
      <c r="A855" s="54"/>
      <c r="B855" s="54"/>
      <c r="C855" s="54"/>
      <c r="D855" s="54"/>
      <c r="E855" s="54"/>
      <c r="F855" s="301"/>
      <c r="G855" s="301"/>
      <c r="H855" s="54"/>
      <c r="I855" s="54"/>
      <c r="J855" s="54"/>
    </row>
    <row r="856" spans="1:10" ht="13.2" customHeight="1">
      <c r="A856" s="54"/>
      <c r="B856" s="54"/>
      <c r="C856" s="54"/>
      <c r="D856" s="54"/>
      <c r="E856" s="54"/>
      <c r="F856" s="301"/>
      <c r="G856" s="301"/>
      <c r="H856" s="54"/>
      <c r="I856" s="54"/>
      <c r="J856" s="54"/>
    </row>
    <row r="857" spans="1:10" ht="13.2" customHeight="1">
      <c r="A857" s="54"/>
      <c r="B857" s="54"/>
      <c r="C857" s="54"/>
      <c r="D857" s="54"/>
      <c r="E857" s="54"/>
      <c r="F857" s="301"/>
      <c r="G857" s="301"/>
      <c r="H857" s="54"/>
      <c r="I857" s="54"/>
      <c r="J857" s="54"/>
    </row>
    <row r="858" spans="1:10" ht="13.2" customHeight="1">
      <c r="A858" s="54"/>
      <c r="B858" s="54"/>
      <c r="C858" s="54"/>
      <c r="D858" s="54"/>
      <c r="E858" s="54"/>
      <c r="F858" s="301"/>
      <c r="G858" s="301"/>
      <c r="H858" s="54"/>
      <c r="I858" s="54"/>
      <c r="J858" s="54"/>
    </row>
    <row r="859" spans="1:10" ht="13.2" customHeight="1">
      <c r="A859" s="54"/>
      <c r="B859" s="54"/>
      <c r="C859" s="54"/>
      <c r="D859" s="54"/>
      <c r="E859" s="54"/>
      <c r="F859" s="301"/>
      <c r="G859" s="301"/>
      <c r="H859" s="54"/>
      <c r="I859" s="54"/>
      <c r="J859" s="54"/>
    </row>
    <row r="860" spans="1:10" ht="13.2" customHeight="1">
      <c r="A860" s="54"/>
      <c r="B860" s="54"/>
      <c r="C860" s="54"/>
      <c r="D860" s="54"/>
      <c r="E860" s="54"/>
      <c r="F860" s="301"/>
      <c r="G860" s="301"/>
      <c r="H860" s="54"/>
      <c r="I860" s="54"/>
      <c r="J860" s="54"/>
    </row>
    <row r="861" spans="1:10" ht="13.2" customHeight="1">
      <c r="A861" s="54"/>
      <c r="B861" s="54"/>
      <c r="C861" s="54"/>
      <c r="D861" s="54"/>
      <c r="E861" s="54"/>
      <c r="F861" s="301"/>
      <c r="G861" s="301"/>
      <c r="H861" s="54"/>
      <c r="I861" s="54"/>
      <c r="J861" s="54"/>
    </row>
    <row r="862" spans="1:10" ht="13.2" customHeight="1">
      <c r="A862" s="54"/>
      <c r="B862" s="54"/>
      <c r="C862" s="54"/>
      <c r="D862" s="54"/>
      <c r="E862" s="54"/>
      <c r="F862" s="301"/>
      <c r="G862" s="301"/>
      <c r="H862" s="54"/>
      <c r="I862" s="54"/>
      <c r="J862" s="54"/>
    </row>
    <row r="863" spans="1:10" ht="13.2" customHeight="1">
      <c r="A863" s="54"/>
      <c r="B863" s="54"/>
      <c r="C863" s="54"/>
      <c r="D863" s="54"/>
      <c r="E863" s="54"/>
      <c r="F863" s="301"/>
      <c r="G863" s="301"/>
      <c r="H863" s="54"/>
      <c r="I863" s="54"/>
      <c r="J863" s="54"/>
    </row>
    <row r="864" spans="1:10" ht="13.2" customHeight="1">
      <c r="A864" s="54"/>
      <c r="B864" s="54"/>
      <c r="C864" s="54"/>
      <c r="D864" s="54"/>
      <c r="E864" s="54"/>
      <c r="F864" s="301"/>
      <c r="G864" s="301"/>
      <c r="H864" s="54"/>
      <c r="I864" s="54"/>
      <c r="J864" s="54"/>
    </row>
    <row r="865" spans="1:10" ht="13.2" customHeight="1">
      <c r="A865" s="54"/>
      <c r="B865" s="54"/>
      <c r="C865" s="54"/>
      <c r="D865" s="54"/>
      <c r="E865" s="54"/>
      <c r="F865" s="301"/>
      <c r="G865" s="301"/>
      <c r="H865" s="54"/>
      <c r="I865" s="54"/>
      <c r="J865" s="54"/>
    </row>
    <row r="866" spans="1:10" ht="13.2" customHeight="1">
      <c r="A866" s="54"/>
      <c r="B866" s="54"/>
      <c r="C866" s="54"/>
      <c r="D866" s="54"/>
      <c r="E866" s="54"/>
      <c r="F866" s="301"/>
      <c r="G866" s="301"/>
      <c r="H866" s="54"/>
      <c r="I866" s="54"/>
      <c r="J866" s="54"/>
    </row>
    <row r="867" spans="1:10" ht="13.2" customHeight="1">
      <c r="A867" s="54"/>
      <c r="B867" s="54"/>
      <c r="C867" s="54"/>
      <c r="D867" s="54"/>
      <c r="E867" s="54"/>
      <c r="F867" s="301"/>
      <c r="G867" s="301"/>
      <c r="H867" s="54"/>
      <c r="I867" s="54"/>
      <c r="J867" s="54"/>
    </row>
    <row r="868" spans="1:10" ht="13.2" customHeight="1">
      <c r="A868" s="54"/>
      <c r="B868" s="54"/>
      <c r="C868" s="54"/>
      <c r="D868" s="54"/>
      <c r="E868" s="54"/>
      <c r="F868" s="301"/>
      <c r="G868" s="301"/>
      <c r="H868" s="54"/>
      <c r="I868" s="54"/>
      <c r="J868" s="54"/>
    </row>
    <row r="869" spans="1:10" ht="13.2" customHeight="1">
      <c r="A869" s="54"/>
      <c r="B869" s="54"/>
      <c r="C869" s="54"/>
      <c r="D869" s="54"/>
      <c r="E869" s="54"/>
      <c r="F869" s="301"/>
      <c r="G869" s="301"/>
      <c r="H869" s="54"/>
      <c r="I869" s="54"/>
      <c r="J869" s="54"/>
    </row>
    <row r="870" spans="1:10" ht="13.2" customHeight="1">
      <c r="A870" s="54"/>
      <c r="B870" s="54"/>
      <c r="C870" s="54"/>
      <c r="D870" s="54"/>
      <c r="E870" s="54"/>
      <c r="F870" s="301"/>
      <c r="G870" s="301"/>
      <c r="H870" s="54"/>
      <c r="I870" s="54"/>
      <c r="J870" s="54"/>
    </row>
    <row r="871" spans="1:10" ht="13.2" customHeight="1">
      <c r="A871" s="54"/>
      <c r="B871" s="54"/>
      <c r="C871" s="54"/>
      <c r="D871" s="54"/>
      <c r="E871" s="54"/>
      <c r="F871" s="301"/>
      <c r="G871" s="301"/>
      <c r="H871" s="54"/>
      <c r="I871" s="54"/>
      <c r="J871" s="54"/>
    </row>
    <row r="872" spans="1:10" ht="13.2" customHeight="1">
      <c r="A872" s="54"/>
      <c r="B872" s="54"/>
      <c r="C872" s="54"/>
      <c r="D872" s="54"/>
      <c r="E872" s="54"/>
      <c r="F872" s="301"/>
      <c r="G872" s="301"/>
      <c r="H872" s="54"/>
      <c r="I872" s="54"/>
      <c r="J872" s="54"/>
    </row>
    <row r="873" spans="1:10" ht="13.2" customHeight="1">
      <c r="A873" s="54"/>
      <c r="B873" s="54"/>
      <c r="C873" s="54"/>
      <c r="D873" s="54"/>
      <c r="E873" s="54"/>
      <c r="F873" s="301"/>
      <c r="G873" s="301"/>
      <c r="H873" s="54"/>
      <c r="I873" s="54"/>
      <c r="J873" s="54"/>
    </row>
    <row r="874" spans="1:10" ht="13.2" customHeight="1">
      <c r="A874" s="54"/>
      <c r="B874" s="54"/>
      <c r="C874" s="54"/>
      <c r="D874" s="54"/>
      <c r="E874" s="54"/>
      <c r="F874" s="301"/>
      <c r="G874" s="301"/>
      <c r="H874" s="54"/>
      <c r="I874" s="54"/>
      <c r="J874" s="54"/>
    </row>
    <row r="875" spans="1:10" ht="13.2" customHeight="1">
      <c r="A875" s="54"/>
      <c r="B875" s="54"/>
      <c r="C875" s="54"/>
      <c r="D875" s="54"/>
      <c r="E875" s="54"/>
      <c r="F875" s="301"/>
      <c r="G875" s="301"/>
      <c r="H875" s="54"/>
      <c r="I875" s="54"/>
      <c r="J875" s="54"/>
    </row>
    <row r="876" spans="1:10" ht="13.2" customHeight="1">
      <c r="A876" s="54"/>
      <c r="B876" s="54"/>
      <c r="C876" s="54"/>
      <c r="D876" s="54"/>
      <c r="E876" s="54"/>
      <c r="F876" s="301"/>
      <c r="G876" s="301"/>
      <c r="H876" s="54"/>
      <c r="I876" s="54"/>
      <c r="J876" s="54"/>
    </row>
    <row r="877" spans="1:10" ht="13.2" customHeight="1">
      <c r="A877" s="54"/>
      <c r="B877" s="54"/>
      <c r="C877" s="54"/>
      <c r="D877" s="54"/>
      <c r="E877" s="54"/>
      <c r="F877" s="301"/>
      <c r="G877" s="301"/>
      <c r="H877" s="54"/>
      <c r="I877" s="54"/>
      <c r="J877" s="54"/>
    </row>
    <row r="878" spans="1:10" ht="13.2" customHeight="1">
      <c r="A878" s="54"/>
      <c r="B878" s="54"/>
      <c r="C878" s="54"/>
      <c r="D878" s="54"/>
      <c r="E878" s="54"/>
      <c r="F878" s="301"/>
      <c r="G878" s="301"/>
      <c r="H878" s="54"/>
      <c r="I878" s="54"/>
      <c r="J878" s="54"/>
    </row>
    <row r="879" spans="1:10" ht="13.2" customHeight="1">
      <c r="A879" s="54"/>
      <c r="B879" s="54"/>
      <c r="C879" s="54"/>
      <c r="D879" s="54"/>
      <c r="E879" s="54"/>
      <c r="F879" s="301"/>
      <c r="G879" s="301"/>
      <c r="H879" s="54"/>
      <c r="I879" s="54"/>
      <c r="J879" s="54"/>
    </row>
    <row r="880" spans="1:10" ht="13.2" customHeight="1">
      <c r="A880" s="54"/>
      <c r="B880" s="54"/>
      <c r="C880" s="54"/>
      <c r="D880" s="54"/>
      <c r="E880" s="54"/>
      <c r="F880" s="301"/>
      <c r="G880" s="301"/>
      <c r="H880" s="54"/>
      <c r="I880" s="54"/>
      <c r="J880" s="54"/>
    </row>
    <row r="881" spans="1:10" ht="13.2" customHeight="1">
      <c r="A881" s="54"/>
      <c r="B881" s="54"/>
      <c r="C881" s="54"/>
      <c r="D881" s="54"/>
      <c r="E881" s="54"/>
      <c r="F881" s="301"/>
      <c r="G881" s="301"/>
      <c r="H881" s="54"/>
      <c r="I881" s="54"/>
      <c r="J881" s="54"/>
    </row>
    <row r="882" spans="1:10" ht="13.2" customHeight="1">
      <c r="A882" s="54"/>
      <c r="B882" s="54"/>
      <c r="C882" s="54"/>
      <c r="D882" s="54"/>
      <c r="E882" s="54"/>
      <c r="F882" s="301"/>
      <c r="G882" s="301"/>
      <c r="H882" s="54"/>
      <c r="I882" s="54"/>
      <c r="J882" s="54"/>
    </row>
    <row r="883" spans="1:10" ht="13.2" customHeight="1">
      <c r="A883" s="54"/>
      <c r="B883" s="54"/>
      <c r="C883" s="54"/>
      <c r="D883" s="54"/>
      <c r="E883" s="54"/>
      <c r="F883" s="301"/>
      <c r="G883" s="301"/>
      <c r="H883" s="54"/>
      <c r="I883" s="54"/>
      <c r="J883" s="54"/>
    </row>
    <row r="884" spans="1:10" ht="13.2" customHeight="1">
      <c r="A884" s="54"/>
      <c r="B884" s="54"/>
      <c r="C884" s="54"/>
      <c r="D884" s="54"/>
      <c r="E884" s="54"/>
      <c r="F884" s="301"/>
      <c r="G884" s="301"/>
      <c r="H884" s="54"/>
      <c r="I884" s="54"/>
      <c r="J884" s="54"/>
    </row>
    <row r="885" spans="1:10" ht="13.2" customHeight="1">
      <c r="A885" s="54"/>
      <c r="B885" s="54"/>
      <c r="C885" s="54"/>
      <c r="D885" s="54"/>
      <c r="E885" s="54"/>
      <c r="F885" s="301"/>
      <c r="G885" s="301"/>
      <c r="H885" s="54"/>
      <c r="I885" s="54"/>
      <c r="J885" s="54"/>
    </row>
    <row r="886" spans="1:10" ht="13.2" customHeight="1">
      <c r="A886" s="54"/>
      <c r="B886" s="54"/>
      <c r="C886" s="54"/>
      <c r="D886" s="54"/>
      <c r="E886" s="54"/>
      <c r="F886" s="301"/>
      <c r="G886" s="301"/>
      <c r="H886" s="54"/>
      <c r="I886" s="54"/>
      <c r="J886" s="54"/>
    </row>
    <row r="887" spans="1:10" ht="13.2" customHeight="1">
      <c r="A887" s="54"/>
      <c r="B887" s="54"/>
      <c r="C887" s="54"/>
      <c r="D887" s="54"/>
      <c r="E887" s="54"/>
      <c r="F887" s="301"/>
      <c r="G887" s="301"/>
      <c r="H887" s="54"/>
      <c r="I887" s="54"/>
      <c r="J887" s="54"/>
    </row>
    <row r="888" spans="1:10" ht="13.2" customHeight="1">
      <c r="A888" s="54"/>
      <c r="B888" s="54"/>
      <c r="C888" s="54"/>
      <c r="D888" s="54"/>
      <c r="E888" s="54"/>
      <c r="F888" s="301"/>
      <c r="G888" s="301"/>
      <c r="H888" s="54"/>
      <c r="I888" s="54"/>
      <c r="J888" s="54"/>
    </row>
    <row r="889" spans="1:10" ht="13.2" customHeight="1">
      <c r="A889" s="54"/>
      <c r="B889" s="54"/>
      <c r="C889" s="54"/>
      <c r="D889" s="54"/>
      <c r="E889" s="54"/>
      <c r="F889" s="301"/>
      <c r="G889" s="301"/>
      <c r="H889" s="54"/>
      <c r="I889" s="54"/>
      <c r="J889" s="54"/>
    </row>
    <row r="890" spans="1:10" ht="13.2" customHeight="1">
      <c r="A890" s="54"/>
      <c r="B890" s="54"/>
      <c r="C890" s="54"/>
      <c r="D890" s="54"/>
      <c r="E890" s="54"/>
      <c r="F890" s="301"/>
      <c r="G890" s="301"/>
      <c r="H890" s="54"/>
      <c r="I890" s="54"/>
      <c r="J890" s="54"/>
    </row>
    <row r="891" spans="1:10" ht="13.2" customHeight="1">
      <c r="A891" s="54"/>
      <c r="B891" s="54"/>
      <c r="C891" s="54"/>
      <c r="D891" s="54"/>
      <c r="E891" s="54"/>
      <c r="F891" s="301"/>
      <c r="G891" s="301"/>
      <c r="H891" s="54"/>
      <c r="I891" s="54"/>
      <c r="J891" s="54"/>
    </row>
    <row r="892" spans="1:10" ht="13.2" customHeight="1">
      <c r="A892" s="54"/>
      <c r="B892" s="54"/>
      <c r="C892" s="54"/>
      <c r="D892" s="54"/>
      <c r="E892" s="54"/>
      <c r="F892" s="301"/>
      <c r="G892" s="301"/>
      <c r="H892" s="54"/>
      <c r="I892" s="54"/>
      <c r="J892" s="54"/>
    </row>
    <row r="893" spans="1:10" ht="13.2" customHeight="1">
      <c r="A893" s="54"/>
      <c r="B893" s="54"/>
      <c r="C893" s="54"/>
      <c r="D893" s="54"/>
      <c r="E893" s="54"/>
      <c r="F893" s="301"/>
      <c r="G893" s="301"/>
      <c r="H893" s="54"/>
      <c r="I893" s="54"/>
      <c r="J893" s="54"/>
    </row>
    <row r="894" spans="1:10" ht="13.2" customHeight="1">
      <c r="A894" s="54"/>
      <c r="B894" s="54"/>
      <c r="C894" s="54"/>
      <c r="D894" s="54"/>
      <c r="E894" s="54"/>
      <c r="F894" s="301"/>
      <c r="G894" s="301"/>
      <c r="H894" s="54"/>
      <c r="I894" s="54"/>
      <c r="J894" s="54"/>
    </row>
    <row r="895" spans="1:10" ht="13.2" customHeight="1">
      <c r="A895" s="54"/>
      <c r="B895" s="54"/>
      <c r="C895" s="54"/>
      <c r="D895" s="54"/>
      <c r="E895" s="54"/>
      <c r="F895" s="301"/>
      <c r="G895" s="301"/>
      <c r="H895" s="54"/>
      <c r="I895" s="54"/>
      <c r="J895" s="54"/>
    </row>
    <row r="896" spans="1:10" ht="13.2" customHeight="1">
      <c r="A896" s="54"/>
      <c r="B896" s="54"/>
      <c r="C896" s="54"/>
      <c r="D896" s="54"/>
      <c r="E896" s="54"/>
      <c r="F896" s="301"/>
      <c r="G896" s="301"/>
      <c r="H896" s="54"/>
      <c r="I896" s="54"/>
      <c r="J896" s="54"/>
    </row>
    <row r="897" spans="1:10" ht="13.2" customHeight="1">
      <c r="A897" s="54"/>
      <c r="B897" s="54"/>
      <c r="C897" s="54"/>
      <c r="D897" s="54"/>
      <c r="E897" s="54"/>
      <c r="F897" s="301"/>
      <c r="G897" s="301"/>
      <c r="H897" s="54"/>
      <c r="I897" s="54"/>
      <c r="J897" s="54"/>
    </row>
    <row r="898" spans="1:10" ht="13.2" customHeight="1">
      <c r="A898" s="54"/>
      <c r="B898" s="54"/>
      <c r="C898" s="54"/>
      <c r="D898" s="54"/>
      <c r="E898" s="54"/>
      <c r="F898" s="301"/>
      <c r="G898" s="301"/>
      <c r="H898" s="54"/>
      <c r="I898" s="54"/>
      <c r="J898" s="54"/>
    </row>
    <row r="899" spans="1:10" ht="13.2" customHeight="1">
      <c r="A899" s="54"/>
      <c r="B899" s="54"/>
      <c r="C899" s="54"/>
      <c r="D899" s="54"/>
      <c r="E899" s="54"/>
      <c r="F899" s="301"/>
      <c r="G899" s="301"/>
      <c r="H899" s="54"/>
      <c r="I899" s="54"/>
      <c r="J899" s="54"/>
    </row>
    <row r="900" spans="1:10" ht="13.2" customHeight="1">
      <c r="A900" s="54"/>
      <c r="B900" s="54"/>
      <c r="C900" s="54"/>
      <c r="D900" s="54"/>
      <c r="E900" s="54"/>
      <c r="F900" s="301"/>
      <c r="G900" s="301"/>
      <c r="H900" s="54"/>
      <c r="I900" s="54"/>
      <c r="J900" s="54"/>
    </row>
    <row r="901" spans="1:10" ht="13.2" customHeight="1">
      <c r="A901" s="54"/>
      <c r="B901" s="54"/>
      <c r="C901" s="54"/>
      <c r="D901" s="54"/>
      <c r="E901" s="54"/>
      <c r="F901" s="301"/>
      <c r="G901" s="301"/>
      <c r="H901" s="54"/>
      <c r="I901" s="54"/>
      <c r="J901" s="54"/>
    </row>
    <row r="902" spans="1:10" ht="13.2" customHeight="1">
      <c r="A902" s="54"/>
      <c r="B902" s="54"/>
      <c r="C902" s="54"/>
      <c r="D902" s="54"/>
      <c r="E902" s="54"/>
      <c r="F902" s="301"/>
      <c r="G902" s="301"/>
      <c r="H902" s="54"/>
      <c r="I902" s="54"/>
      <c r="J902" s="54"/>
    </row>
    <row r="903" spans="1:10" ht="13.2" customHeight="1">
      <c r="A903" s="54"/>
      <c r="B903" s="54"/>
      <c r="C903" s="54"/>
      <c r="D903" s="54"/>
      <c r="E903" s="54"/>
      <c r="F903" s="301"/>
      <c r="G903" s="301"/>
      <c r="H903" s="54"/>
      <c r="I903" s="54"/>
      <c r="J903" s="54"/>
    </row>
    <row r="904" spans="1:10" ht="13.2" customHeight="1">
      <c r="A904" s="54"/>
      <c r="B904" s="54"/>
      <c r="C904" s="54"/>
      <c r="D904" s="54"/>
      <c r="E904" s="54"/>
      <c r="F904" s="301"/>
      <c r="G904" s="301"/>
      <c r="H904" s="54"/>
      <c r="I904" s="54"/>
      <c r="J904" s="54"/>
    </row>
    <row r="905" spans="1:10" ht="13.2" customHeight="1">
      <c r="A905" s="54"/>
      <c r="B905" s="54"/>
      <c r="C905" s="54"/>
      <c r="D905" s="54"/>
      <c r="E905" s="54"/>
      <c r="F905" s="301"/>
      <c r="G905" s="301"/>
      <c r="H905" s="54"/>
      <c r="I905" s="54"/>
      <c r="J905" s="54"/>
    </row>
    <row r="906" spans="1:10" ht="13.2" customHeight="1">
      <c r="A906" s="54"/>
      <c r="B906" s="54"/>
      <c r="C906" s="54"/>
      <c r="D906" s="54"/>
      <c r="E906" s="54"/>
      <c r="F906" s="301"/>
      <c r="G906" s="301"/>
      <c r="H906" s="54"/>
      <c r="I906" s="54"/>
      <c r="J906" s="54"/>
    </row>
    <row r="907" spans="1:10" ht="13.2" customHeight="1">
      <c r="A907" s="54"/>
      <c r="B907" s="54"/>
      <c r="C907" s="54"/>
      <c r="D907" s="54"/>
      <c r="E907" s="54"/>
      <c r="F907" s="301"/>
      <c r="G907" s="301"/>
      <c r="H907" s="54"/>
      <c r="I907" s="54"/>
      <c r="J907" s="54"/>
    </row>
    <row r="908" spans="1:10" ht="13.2" customHeight="1">
      <c r="A908" s="54"/>
      <c r="B908" s="54"/>
      <c r="C908" s="54"/>
      <c r="D908" s="54"/>
      <c r="E908" s="54"/>
      <c r="F908" s="301"/>
      <c r="G908" s="301"/>
      <c r="H908" s="54"/>
      <c r="I908" s="54"/>
      <c r="J908" s="54"/>
    </row>
    <row r="909" spans="1:10" ht="13.2" customHeight="1">
      <c r="A909" s="54"/>
      <c r="B909" s="54"/>
      <c r="C909" s="54"/>
      <c r="D909" s="54"/>
      <c r="E909" s="54"/>
      <c r="F909" s="301"/>
      <c r="G909" s="301"/>
      <c r="H909" s="54"/>
      <c r="I909" s="54"/>
      <c r="J909" s="54"/>
    </row>
    <row r="910" spans="1:10" ht="13.2" customHeight="1">
      <c r="A910" s="54"/>
      <c r="B910" s="54"/>
      <c r="C910" s="54"/>
      <c r="D910" s="54"/>
      <c r="E910" s="54"/>
      <c r="F910" s="301"/>
      <c r="G910" s="301"/>
      <c r="H910" s="54"/>
      <c r="I910" s="54"/>
      <c r="J910" s="54"/>
    </row>
    <row r="911" spans="1:10" ht="13.2" customHeight="1">
      <c r="A911" s="54"/>
      <c r="B911" s="54"/>
      <c r="C911" s="54"/>
      <c r="D911" s="54"/>
      <c r="E911" s="54"/>
      <c r="F911" s="301"/>
      <c r="G911" s="301"/>
      <c r="H911" s="54"/>
      <c r="I911" s="54"/>
      <c r="J911" s="54"/>
    </row>
    <row r="912" spans="1:10" ht="13.2" customHeight="1">
      <c r="A912" s="54"/>
      <c r="B912" s="54"/>
      <c r="C912" s="54"/>
      <c r="D912" s="54"/>
      <c r="E912" s="54"/>
      <c r="F912" s="301"/>
      <c r="G912" s="301"/>
      <c r="H912" s="54"/>
      <c r="I912" s="54"/>
      <c r="J912" s="54"/>
    </row>
    <row r="913" spans="1:10" ht="13.2" customHeight="1">
      <c r="A913" s="54"/>
      <c r="B913" s="54"/>
      <c r="C913" s="54"/>
      <c r="D913" s="54"/>
      <c r="E913" s="54"/>
      <c r="F913" s="301"/>
      <c r="G913" s="301"/>
      <c r="H913" s="54"/>
      <c r="I913" s="54"/>
      <c r="J913" s="54"/>
    </row>
    <row r="914" spans="1:10" ht="13.2" customHeight="1">
      <c r="A914" s="54"/>
      <c r="B914" s="54"/>
      <c r="C914" s="54"/>
      <c r="D914" s="54"/>
      <c r="E914" s="54"/>
      <c r="F914" s="301"/>
      <c r="G914" s="301"/>
      <c r="H914" s="54"/>
      <c r="I914" s="54"/>
      <c r="J914" s="54"/>
    </row>
    <row r="915" spans="1:10" ht="13.2" customHeight="1">
      <c r="A915" s="54"/>
      <c r="B915" s="54"/>
      <c r="C915" s="54"/>
      <c r="D915" s="54"/>
      <c r="E915" s="54"/>
      <c r="F915" s="301"/>
      <c r="G915" s="301"/>
      <c r="H915" s="54"/>
      <c r="I915" s="54"/>
      <c r="J915" s="54"/>
    </row>
    <row r="916" spans="1:10" ht="13.2" customHeight="1">
      <c r="A916" s="54"/>
      <c r="B916" s="54"/>
      <c r="C916" s="54"/>
      <c r="D916" s="54"/>
      <c r="E916" s="54"/>
      <c r="F916" s="301"/>
      <c r="G916" s="301"/>
      <c r="H916" s="54"/>
      <c r="I916" s="54"/>
      <c r="J916" s="54"/>
    </row>
    <row r="917" spans="1:10" ht="13.2" customHeight="1">
      <c r="A917" s="54"/>
      <c r="B917" s="54"/>
      <c r="C917" s="54"/>
      <c r="D917" s="54"/>
      <c r="E917" s="54"/>
      <c r="F917" s="301"/>
      <c r="G917" s="301"/>
      <c r="H917" s="54"/>
      <c r="I917" s="54"/>
      <c r="J917" s="54"/>
    </row>
    <row r="918" spans="1:10" ht="13.2" customHeight="1">
      <c r="A918" s="54"/>
      <c r="B918" s="54"/>
      <c r="C918" s="54"/>
      <c r="D918" s="54"/>
      <c r="E918" s="54"/>
      <c r="F918" s="301"/>
      <c r="G918" s="301"/>
      <c r="H918" s="54"/>
      <c r="I918" s="54"/>
      <c r="J918" s="54"/>
    </row>
    <row r="919" spans="1:10" ht="13.2" customHeight="1">
      <c r="A919" s="54"/>
      <c r="B919" s="54"/>
      <c r="C919" s="54"/>
      <c r="D919" s="54"/>
      <c r="E919" s="54"/>
      <c r="F919" s="301"/>
      <c r="G919" s="301"/>
      <c r="H919" s="54"/>
      <c r="I919" s="54"/>
      <c r="J919" s="54"/>
    </row>
    <row r="920" spans="1:10" ht="13.2" customHeight="1">
      <c r="A920" s="54"/>
      <c r="B920" s="54"/>
      <c r="C920" s="54"/>
      <c r="D920" s="54"/>
      <c r="E920" s="54"/>
      <c r="F920" s="301"/>
      <c r="G920" s="301"/>
      <c r="H920" s="54"/>
      <c r="I920" s="54"/>
      <c r="J920" s="54"/>
    </row>
    <row r="921" spans="1:10" ht="13.2" customHeight="1">
      <c r="A921" s="54"/>
      <c r="B921" s="54"/>
      <c r="C921" s="54"/>
      <c r="D921" s="54"/>
      <c r="E921" s="54"/>
      <c r="F921" s="301"/>
      <c r="G921" s="301"/>
      <c r="H921" s="54"/>
      <c r="I921" s="54"/>
      <c r="J921" s="54"/>
    </row>
    <row r="922" spans="1:10" ht="13.2" customHeight="1">
      <c r="A922" s="54"/>
      <c r="B922" s="54"/>
      <c r="C922" s="54"/>
      <c r="D922" s="54"/>
      <c r="E922" s="54"/>
      <c r="F922" s="301"/>
      <c r="G922" s="301"/>
      <c r="H922" s="54"/>
      <c r="I922" s="54"/>
      <c r="J922" s="54"/>
    </row>
    <row r="923" spans="1:10" ht="13.2" customHeight="1">
      <c r="A923" s="54"/>
      <c r="B923" s="54"/>
      <c r="C923" s="54"/>
      <c r="D923" s="54"/>
      <c r="E923" s="54"/>
      <c r="F923" s="301"/>
      <c r="G923" s="301"/>
      <c r="H923" s="54"/>
      <c r="I923" s="54"/>
      <c r="J923" s="54"/>
    </row>
    <row r="924" spans="1:10" ht="13.2" customHeight="1">
      <c r="A924" s="54"/>
      <c r="B924" s="54"/>
      <c r="C924" s="54"/>
      <c r="D924" s="54"/>
      <c r="E924" s="54"/>
      <c r="F924" s="301"/>
      <c r="G924" s="301"/>
      <c r="H924" s="54"/>
      <c r="I924" s="54"/>
      <c r="J924" s="54"/>
    </row>
    <row r="925" spans="1:10" ht="13.2" customHeight="1">
      <c r="A925" s="54"/>
      <c r="B925" s="54"/>
      <c r="C925" s="54"/>
      <c r="D925" s="54"/>
      <c r="E925" s="54"/>
      <c r="F925" s="301"/>
      <c r="G925" s="301"/>
      <c r="H925" s="54"/>
      <c r="I925" s="54"/>
      <c r="J925" s="54"/>
    </row>
    <row r="926" spans="1:10" ht="13.2" customHeight="1">
      <c r="A926" s="54"/>
      <c r="B926" s="54"/>
      <c r="C926" s="54"/>
      <c r="D926" s="54"/>
      <c r="E926" s="54"/>
      <c r="F926" s="301"/>
      <c r="G926" s="301"/>
      <c r="H926" s="54"/>
      <c r="I926" s="54"/>
      <c r="J926" s="54"/>
    </row>
    <row r="927" spans="1:10" ht="13.2" customHeight="1">
      <c r="A927" s="54"/>
      <c r="B927" s="54"/>
      <c r="C927" s="54"/>
      <c r="D927" s="54"/>
      <c r="E927" s="54"/>
      <c r="F927" s="301"/>
      <c r="G927" s="301"/>
      <c r="H927" s="54"/>
      <c r="I927" s="54"/>
      <c r="J927" s="54"/>
    </row>
    <row r="928" spans="1:10" ht="13.2" customHeight="1">
      <c r="A928" s="54"/>
      <c r="B928" s="54"/>
      <c r="C928" s="54"/>
      <c r="D928" s="54"/>
      <c r="E928" s="54"/>
      <c r="F928" s="301"/>
      <c r="G928" s="301"/>
      <c r="H928" s="54"/>
      <c r="I928" s="54"/>
      <c r="J928" s="54"/>
    </row>
    <row r="929" spans="1:10" ht="13.2" customHeight="1">
      <c r="A929" s="54"/>
      <c r="B929" s="54"/>
      <c r="C929" s="54"/>
      <c r="D929" s="54"/>
      <c r="E929" s="54"/>
      <c r="F929" s="301"/>
      <c r="G929" s="301"/>
      <c r="H929" s="54"/>
      <c r="I929" s="54"/>
      <c r="J929" s="54"/>
    </row>
    <row r="930" spans="1:10" ht="13.2" customHeight="1">
      <c r="A930" s="54"/>
      <c r="B930" s="54"/>
      <c r="C930" s="54"/>
      <c r="D930" s="54"/>
      <c r="E930" s="54"/>
      <c r="F930" s="301"/>
      <c r="G930" s="301"/>
      <c r="H930" s="54"/>
      <c r="I930" s="54"/>
      <c r="J930" s="54"/>
    </row>
    <row r="931" spans="1:10" ht="13.2" customHeight="1">
      <c r="A931" s="54"/>
      <c r="B931" s="54"/>
      <c r="C931" s="54"/>
      <c r="D931" s="54"/>
      <c r="E931" s="54"/>
      <c r="F931" s="301"/>
      <c r="G931" s="301"/>
      <c r="H931" s="54"/>
      <c r="I931" s="54"/>
      <c r="J931" s="54"/>
    </row>
    <row r="932" spans="1:10" ht="13.2" customHeight="1">
      <c r="A932" s="54"/>
      <c r="B932" s="54"/>
      <c r="C932" s="54"/>
      <c r="D932" s="54"/>
      <c r="E932" s="54"/>
      <c r="F932" s="301"/>
      <c r="G932" s="301"/>
      <c r="H932" s="54"/>
      <c r="I932" s="54"/>
      <c r="J932" s="54"/>
    </row>
    <row r="933" spans="1:10" ht="13.2" customHeight="1">
      <c r="A933" s="54"/>
      <c r="B933" s="54"/>
      <c r="C933" s="54"/>
      <c r="D933" s="54"/>
      <c r="E933" s="54"/>
      <c r="F933" s="301"/>
      <c r="G933" s="301"/>
      <c r="H933" s="54"/>
      <c r="I933" s="54"/>
      <c r="J933" s="54"/>
    </row>
    <row r="934" spans="1:10" ht="13.2" customHeight="1">
      <c r="A934" s="54"/>
      <c r="B934" s="54"/>
      <c r="C934" s="54"/>
      <c r="D934" s="54"/>
      <c r="E934" s="54"/>
      <c r="F934" s="301"/>
      <c r="G934" s="301"/>
      <c r="H934" s="54"/>
      <c r="I934" s="54"/>
      <c r="J934" s="54"/>
    </row>
    <row r="935" spans="1:10" ht="13.2" customHeight="1">
      <c r="A935" s="54"/>
      <c r="B935" s="54"/>
      <c r="C935" s="54"/>
      <c r="D935" s="54"/>
      <c r="E935" s="54"/>
      <c r="F935" s="301"/>
      <c r="G935" s="301"/>
      <c r="H935" s="54"/>
      <c r="I935" s="54"/>
      <c r="J935" s="54"/>
    </row>
    <row r="936" spans="1:10" ht="13.2" customHeight="1">
      <c r="A936" s="54"/>
      <c r="B936" s="54"/>
      <c r="C936" s="54"/>
      <c r="D936" s="54"/>
      <c r="E936" s="54"/>
      <c r="F936" s="301"/>
      <c r="G936" s="301"/>
      <c r="H936" s="54"/>
      <c r="I936" s="54"/>
      <c r="J936" s="54"/>
    </row>
    <row r="937" spans="1:10" ht="13.2" customHeight="1">
      <c r="A937" s="54"/>
      <c r="B937" s="54"/>
      <c r="C937" s="54"/>
      <c r="D937" s="54"/>
      <c r="E937" s="54"/>
      <c r="F937" s="301"/>
      <c r="G937" s="301"/>
      <c r="H937" s="54"/>
      <c r="I937" s="54"/>
      <c r="J937" s="54"/>
    </row>
    <row r="938" spans="1:10" ht="13.2" customHeight="1">
      <c r="A938" s="54"/>
      <c r="B938" s="54"/>
      <c r="C938" s="54"/>
      <c r="D938" s="54"/>
      <c r="E938" s="54"/>
      <c r="F938" s="301"/>
      <c r="G938" s="301"/>
      <c r="H938" s="54"/>
      <c r="I938" s="54"/>
      <c r="J938" s="54"/>
    </row>
    <row r="939" spans="1:10" ht="13.2" customHeight="1">
      <c r="A939" s="54"/>
      <c r="B939" s="54"/>
      <c r="C939" s="54"/>
      <c r="D939" s="54"/>
      <c r="E939" s="54"/>
      <c r="F939" s="301"/>
      <c r="G939" s="301"/>
      <c r="H939" s="54"/>
      <c r="I939" s="54"/>
      <c r="J939" s="54"/>
    </row>
    <row r="940" spans="1:10" ht="13.2" customHeight="1">
      <c r="A940" s="54"/>
      <c r="B940" s="54"/>
      <c r="C940" s="54"/>
      <c r="D940" s="54"/>
      <c r="E940" s="54"/>
      <c r="F940" s="301"/>
      <c r="G940" s="301"/>
      <c r="H940" s="54"/>
      <c r="I940" s="54"/>
      <c r="J940" s="54"/>
    </row>
    <row r="941" spans="1:10" ht="13.2" customHeight="1">
      <c r="A941" s="54"/>
      <c r="B941" s="54"/>
      <c r="C941" s="54"/>
      <c r="D941" s="54"/>
      <c r="E941" s="54"/>
      <c r="F941" s="301"/>
      <c r="G941" s="301"/>
      <c r="H941" s="54"/>
      <c r="I941" s="54"/>
      <c r="J941" s="54"/>
    </row>
    <row r="942" spans="1:10" ht="13.2" customHeight="1">
      <c r="A942" s="54"/>
      <c r="B942" s="54"/>
      <c r="C942" s="54"/>
      <c r="D942" s="54"/>
      <c r="E942" s="54"/>
      <c r="F942" s="301"/>
      <c r="G942" s="301"/>
      <c r="H942" s="54"/>
      <c r="I942" s="54"/>
      <c r="J942" s="54"/>
    </row>
    <row r="943" spans="1:10" ht="13.2" customHeight="1">
      <c r="A943" s="54"/>
      <c r="B943" s="54"/>
      <c r="C943" s="54"/>
      <c r="D943" s="54"/>
      <c r="E943" s="54"/>
      <c r="F943" s="301"/>
      <c r="G943" s="301"/>
      <c r="H943" s="54"/>
      <c r="I943" s="54"/>
      <c r="J943" s="54"/>
    </row>
    <row r="944" spans="1:10" ht="13.2" customHeight="1">
      <c r="A944" s="54"/>
      <c r="B944" s="54"/>
      <c r="C944" s="54"/>
      <c r="D944" s="54"/>
      <c r="E944" s="54"/>
      <c r="F944" s="301"/>
      <c r="G944" s="301"/>
      <c r="H944" s="54"/>
      <c r="I944" s="54"/>
      <c r="J944" s="54"/>
    </row>
    <row r="945" spans="1:10" ht="13.2" customHeight="1">
      <c r="A945" s="54"/>
      <c r="B945" s="54"/>
      <c r="C945" s="54"/>
      <c r="D945" s="54"/>
      <c r="E945" s="54"/>
      <c r="F945" s="301"/>
      <c r="G945" s="301"/>
      <c r="H945" s="54"/>
      <c r="I945" s="54"/>
      <c r="J945" s="54"/>
    </row>
    <row r="946" spans="1:10" ht="13.2" customHeight="1">
      <c r="A946" s="54"/>
      <c r="B946" s="54"/>
      <c r="C946" s="54"/>
      <c r="D946" s="54"/>
      <c r="E946" s="54"/>
      <c r="F946" s="301"/>
      <c r="G946" s="301"/>
      <c r="H946" s="54"/>
      <c r="I946" s="54"/>
      <c r="J946" s="54"/>
    </row>
    <row r="947" spans="1:10" ht="13.2" customHeight="1">
      <c r="A947" s="54"/>
      <c r="B947" s="54"/>
      <c r="C947" s="54"/>
      <c r="D947" s="54"/>
      <c r="E947" s="54"/>
      <c r="F947" s="301"/>
      <c r="G947" s="301"/>
      <c r="H947" s="54"/>
      <c r="I947" s="54"/>
      <c r="J947" s="54"/>
    </row>
    <row r="948" spans="1:10" ht="13.2" customHeight="1">
      <c r="A948" s="54"/>
      <c r="B948" s="54"/>
      <c r="C948" s="54"/>
      <c r="D948" s="54"/>
      <c r="E948" s="54"/>
      <c r="F948" s="301"/>
      <c r="G948" s="301"/>
      <c r="H948" s="54"/>
      <c r="I948" s="54"/>
      <c r="J948" s="54"/>
    </row>
    <row r="949" spans="1:10" ht="13.2" customHeight="1">
      <c r="A949" s="54"/>
      <c r="B949" s="54"/>
      <c r="C949" s="54"/>
      <c r="D949" s="54"/>
      <c r="E949" s="54"/>
      <c r="F949" s="301"/>
      <c r="G949" s="301"/>
      <c r="H949" s="54"/>
      <c r="I949" s="54"/>
      <c r="J949" s="54"/>
    </row>
    <row r="950" spans="1:10" ht="13.2" customHeight="1">
      <c r="A950" s="54"/>
      <c r="B950" s="54"/>
      <c r="C950" s="54"/>
      <c r="D950" s="54"/>
      <c r="E950" s="54"/>
      <c r="F950" s="301"/>
      <c r="G950" s="301"/>
      <c r="H950" s="54"/>
      <c r="I950" s="54"/>
      <c r="J950" s="54"/>
    </row>
    <row r="951" spans="1:10" ht="13.2" customHeight="1">
      <c r="A951" s="54"/>
      <c r="B951" s="54"/>
      <c r="C951" s="54"/>
      <c r="D951" s="54"/>
      <c r="E951" s="54"/>
      <c r="F951" s="301"/>
      <c r="G951" s="301"/>
      <c r="H951" s="54"/>
      <c r="I951" s="54"/>
      <c r="J951" s="54"/>
    </row>
    <row r="952" spans="1:10" ht="13.2" customHeight="1">
      <c r="A952" s="54"/>
      <c r="B952" s="54"/>
      <c r="C952" s="54"/>
      <c r="D952" s="54"/>
      <c r="E952" s="54"/>
      <c r="F952" s="301"/>
      <c r="G952" s="301"/>
      <c r="H952" s="54"/>
      <c r="I952" s="54"/>
      <c r="J952" s="54"/>
    </row>
    <row r="953" spans="1:10" ht="13.2" customHeight="1">
      <c r="A953" s="54"/>
      <c r="B953" s="54"/>
      <c r="C953" s="54"/>
      <c r="D953" s="54"/>
      <c r="E953" s="54"/>
      <c r="F953" s="301"/>
      <c r="G953" s="301"/>
      <c r="H953" s="54"/>
      <c r="I953" s="54"/>
      <c r="J953" s="54"/>
    </row>
    <row r="954" spans="1:10" ht="13.2" customHeight="1">
      <c r="A954" s="54"/>
      <c r="B954" s="54"/>
      <c r="C954" s="54"/>
      <c r="D954" s="54"/>
      <c r="E954" s="54"/>
      <c r="F954" s="301"/>
      <c r="G954" s="301"/>
      <c r="H954" s="54"/>
      <c r="I954" s="54"/>
      <c r="J954" s="54"/>
    </row>
    <row r="955" spans="1:10" ht="13.2" customHeight="1">
      <c r="A955" s="54"/>
      <c r="B955" s="54"/>
      <c r="C955" s="54"/>
      <c r="D955" s="54"/>
      <c r="E955" s="54"/>
      <c r="F955" s="301"/>
      <c r="G955" s="301"/>
      <c r="H955" s="54"/>
      <c r="I955" s="54"/>
      <c r="J955" s="54"/>
    </row>
    <row r="956" spans="1:10" ht="13.2" customHeight="1">
      <c r="A956" s="54"/>
      <c r="B956" s="54"/>
      <c r="C956" s="54"/>
      <c r="D956" s="54"/>
      <c r="E956" s="54"/>
      <c r="F956" s="301"/>
      <c r="G956" s="301"/>
      <c r="H956" s="54"/>
      <c r="I956" s="54"/>
      <c r="J956" s="54"/>
    </row>
    <row r="957" spans="1:10" ht="13.2" customHeight="1">
      <c r="A957" s="54"/>
      <c r="B957" s="54"/>
      <c r="C957" s="54"/>
      <c r="D957" s="54"/>
      <c r="E957" s="54"/>
      <c r="F957" s="301"/>
      <c r="G957" s="301"/>
      <c r="H957" s="54"/>
      <c r="I957" s="54"/>
      <c r="J957" s="54"/>
    </row>
    <row r="958" spans="1:10" ht="13.2" customHeight="1">
      <c r="A958" s="54"/>
      <c r="B958" s="54"/>
      <c r="C958" s="54"/>
      <c r="D958" s="54"/>
      <c r="E958" s="54"/>
      <c r="F958" s="301"/>
      <c r="G958" s="301"/>
      <c r="H958" s="54"/>
      <c r="I958" s="54"/>
      <c r="J958" s="54"/>
    </row>
    <row r="959" spans="1:10" ht="13.2" customHeight="1">
      <c r="A959" s="54"/>
      <c r="B959" s="54"/>
      <c r="C959" s="54"/>
      <c r="D959" s="54"/>
      <c r="E959" s="54"/>
      <c r="F959" s="301"/>
      <c r="G959" s="301"/>
      <c r="H959" s="54"/>
      <c r="I959" s="54"/>
      <c r="J959" s="54"/>
    </row>
    <row r="960" spans="1:10" ht="13.2" customHeight="1">
      <c r="A960" s="54"/>
      <c r="B960" s="54"/>
      <c r="C960" s="54"/>
      <c r="D960" s="54"/>
      <c r="E960" s="54"/>
      <c r="F960" s="301"/>
      <c r="G960" s="301"/>
      <c r="H960" s="54"/>
      <c r="I960" s="54"/>
      <c r="J960" s="54"/>
    </row>
    <row r="961" spans="1:10" ht="13.2" customHeight="1">
      <c r="A961" s="54"/>
      <c r="B961" s="54"/>
      <c r="C961" s="54"/>
      <c r="D961" s="54"/>
      <c r="E961" s="54"/>
      <c r="F961" s="301"/>
      <c r="G961" s="301"/>
      <c r="H961" s="54"/>
      <c r="I961" s="54"/>
      <c r="J961" s="54"/>
    </row>
    <row r="962" spans="1:10" ht="13.2" customHeight="1">
      <c r="A962" s="54"/>
      <c r="B962" s="54"/>
      <c r="C962" s="54"/>
      <c r="D962" s="54"/>
      <c r="E962" s="54"/>
      <c r="F962" s="301"/>
      <c r="G962" s="301"/>
      <c r="H962" s="54"/>
      <c r="I962" s="54"/>
      <c r="J962" s="54"/>
    </row>
    <row r="963" spans="1:10" ht="13.2" customHeight="1">
      <c r="A963" s="54"/>
      <c r="B963" s="54"/>
      <c r="C963" s="54"/>
      <c r="D963" s="54"/>
      <c r="E963" s="54"/>
      <c r="F963" s="301"/>
      <c r="G963" s="301"/>
      <c r="H963" s="54"/>
      <c r="I963" s="54"/>
      <c r="J963" s="54"/>
    </row>
    <row r="964" spans="1:10" ht="13.2" customHeight="1">
      <c r="A964" s="54"/>
      <c r="B964" s="54"/>
      <c r="C964" s="54"/>
      <c r="D964" s="54"/>
      <c r="E964" s="54"/>
      <c r="F964" s="301"/>
      <c r="G964" s="301"/>
      <c r="H964" s="54"/>
      <c r="I964" s="54"/>
      <c r="J964" s="54"/>
    </row>
    <row r="965" spans="1:10" ht="13.2" customHeight="1">
      <c r="A965" s="54"/>
      <c r="B965" s="54"/>
      <c r="C965" s="54"/>
      <c r="D965" s="54"/>
      <c r="E965" s="54"/>
      <c r="F965" s="301"/>
      <c r="G965" s="301"/>
      <c r="H965" s="54"/>
      <c r="I965" s="54"/>
      <c r="J965" s="54"/>
    </row>
    <row r="966" spans="1:10" ht="13.2" customHeight="1">
      <c r="A966" s="54"/>
      <c r="B966" s="54"/>
      <c r="C966" s="54"/>
      <c r="D966" s="54"/>
      <c r="E966" s="54"/>
      <c r="F966" s="301"/>
      <c r="G966" s="301"/>
      <c r="H966" s="54"/>
      <c r="I966" s="54"/>
      <c r="J966" s="54"/>
    </row>
    <row r="967" spans="1:10" ht="13.2" customHeight="1">
      <c r="A967" s="54"/>
      <c r="B967" s="54"/>
      <c r="C967" s="54"/>
      <c r="D967" s="54"/>
      <c r="E967" s="54"/>
      <c r="F967" s="301"/>
      <c r="G967" s="301"/>
      <c r="H967" s="54"/>
      <c r="I967" s="54"/>
      <c r="J967" s="54"/>
    </row>
    <row r="968" spans="1:10" ht="13.2" customHeight="1">
      <c r="A968" s="54"/>
      <c r="B968" s="54"/>
      <c r="C968" s="54"/>
      <c r="D968" s="54"/>
      <c r="E968" s="54"/>
      <c r="F968" s="301"/>
      <c r="G968" s="301"/>
      <c r="H968" s="54"/>
      <c r="I968" s="54"/>
      <c r="J968" s="54"/>
    </row>
    <row r="969" spans="1:10" ht="13.2" customHeight="1">
      <c r="A969" s="54"/>
      <c r="B969" s="54"/>
      <c r="C969" s="54"/>
      <c r="D969" s="54"/>
      <c r="E969" s="54"/>
      <c r="F969" s="301"/>
      <c r="G969" s="301"/>
      <c r="H969" s="54"/>
      <c r="I969" s="54"/>
      <c r="J969" s="54"/>
    </row>
    <row r="970" spans="1:10" ht="13.2" customHeight="1">
      <c r="A970" s="54"/>
      <c r="B970" s="54"/>
      <c r="C970" s="54"/>
      <c r="D970" s="54"/>
      <c r="E970" s="54"/>
      <c r="F970" s="301"/>
      <c r="G970" s="301"/>
      <c r="H970" s="54"/>
      <c r="I970" s="54"/>
      <c r="J970" s="54"/>
    </row>
    <row r="971" spans="1:10" ht="13.2" customHeight="1">
      <c r="A971" s="54"/>
      <c r="B971" s="54"/>
      <c r="C971" s="54"/>
      <c r="D971" s="54"/>
      <c r="E971" s="54"/>
      <c r="F971" s="301"/>
      <c r="G971" s="301"/>
      <c r="H971" s="54"/>
      <c r="I971" s="54"/>
      <c r="J971" s="54"/>
    </row>
    <row r="972" spans="1:10" ht="13.2" customHeight="1">
      <c r="A972" s="54"/>
      <c r="B972" s="54"/>
      <c r="C972" s="54"/>
      <c r="D972" s="54"/>
      <c r="E972" s="54"/>
      <c r="F972" s="301"/>
      <c r="G972" s="301"/>
      <c r="H972" s="54"/>
      <c r="I972" s="54"/>
      <c r="J972" s="54"/>
    </row>
    <row r="973" spans="1:10" ht="13.2" customHeight="1">
      <c r="A973" s="54"/>
      <c r="B973" s="54"/>
      <c r="C973" s="54"/>
      <c r="D973" s="54"/>
      <c r="E973" s="54"/>
      <c r="F973" s="301"/>
      <c r="G973" s="301"/>
      <c r="H973" s="54"/>
      <c r="I973" s="54"/>
      <c r="J973" s="54"/>
    </row>
    <row r="974" spans="1:10" ht="13.2" customHeight="1">
      <c r="A974" s="54"/>
      <c r="B974" s="54"/>
      <c r="C974" s="54"/>
      <c r="D974" s="54"/>
      <c r="E974" s="54"/>
      <c r="F974" s="301"/>
      <c r="G974" s="301"/>
      <c r="H974" s="54"/>
      <c r="I974" s="54"/>
      <c r="J974" s="54"/>
    </row>
    <row r="975" spans="1:10" ht="13.2" customHeight="1">
      <c r="A975" s="54"/>
      <c r="B975" s="54"/>
      <c r="C975" s="54"/>
      <c r="D975" s="54"/>
      <c r="E975" s="54"/>
      <c r="F975" s="301"/>
      <c r="G975" s="301"/>
      <c r="H975" s="54"/>
      <c r="I975" s="54"/>
      <c r="J975" s="54"/>
    </row>
    <row r="976" spans="1:10" ht="13.2" customHeight="1">
      <c r="A976" s="54"/>
      <c r="B976" s="54"/>
      <c r="C976" s="54"/>
      <c r="D976" s="54"/>
      <c r="E976" s="54"/>
      <c r="F976" s="301"/>
      <c r="G976" s="301"/>
      <c r="H976" s="54"/>
      <c r="I976" s="54"/>
      <c r="J976" s="54"/>
    </row>
    <row r="977" spans="1:10" ht="13.2" customHeight="1">
      <c r="A977" s="54"/>
      <c r="B977" s="54"/>
      <c r="C977" s="54"/>
      <c r="D977" s="54"/>
      <c r="E977" s="54"/>
      <c r="F977" s="301"/>
      <c r="G977" s="301"/>
      <c r="H977" s="54"/>
      <c r="I977" s="54"/>
      <c r="J977" s="54"/>
    </row>
    <row r="978" spans="1:10" ht="13.2" customHeight="1">
      <c r="A978" s="54"/>
      <c r="B978" s="54"/>
      <c r="C978" s="54"/>
      <c r="D978" s="54"/>
      <c r="E978" s="54"/>
      <c r="F978" s="301"/>
      <c r="G978" s="301"/>
      <c r="H978" s="54"/>
      <c r="I978" s="54"/>
      <c r="J978" s="54"/>
    </row>
    <row r="979" spans="1:10" ht="13.2" customHeight="1">
      <c r="A979" s="54"/>
      <c r="B979" s="54"/>
      <c r="C979" s="54"/>
      <c r="D979" s="54"/>
      <c r="E979" s="54"/>
      <c r="F979" s="301"/>
      <c r="G979" s="301"/>
      <c r="H979" s="54"/>
      <c r="I979" s="54"/>
      <c r="J979" s="54"/>
    </row>
    <row r="980" spans="1:10" ht="13.2" customHeight="1">
      <c r="A980" s="54"/>
      <c r="B980" s="54"/>
      <c r="C980" s="54"/>
      <c r="D980" s="54"/>
      <c r="E980" s="54"/>
      <c r="F980" s="301"/>
      <c r="G980" s="301"/>
      <c r="H980" s="54"/>
      <c r="I980" s="54"/>
      <c r="J980" s="54"/>
    </row>
    <row r="981" spans="1:10" ht="13.2" customHeight="1">
      <c r="A981" s="54"/>
      <c r="B981" s="54"/>
      <c r="C981" s="54"/>
      <c r="D981" s="54"/>
      <c r="E981" s="54"/>
      <c r="F981" s="301"/>
      <c r="G981" s="301"/>
      <c r="H981" s="54"/>
      <c r="I981" s="54"/>
      <c r="J981" s="54"/>
    </row>
    <row r="982" spans="1:10" ht="13.2" customHeight="1">
      <c r="A982" s="54"/>
      <c r="B982" s="54"/>
      <c r="C982" s="54"/>
      <c r="D982" s="54"/>
      <c r="E982" s="54"/>
      <c r="F982" s="301"/>
      <c r="G982" s="301"/>
      <c r="H982" s="54"/>
      <c r="I982" s="54"/>
      <c r="J982" s="54"/>
    </row>
    <row r="983" spans="1:10" ht="13.2" customHeight="1">
      <c r="A983" s="54"/>
      <c r="B983" s="54"/>
      <c r="C983" s="54"/>
      <c r="D983" s="54"/>
      <c r="E983" s="54"/>
      <c r="F983" s="301"/>
      <c r="G983" s="301"/>
      <c r="H983" s="54"/>
      <c r="I983" s="54"/>
      <c r="J983" s="54"/>
    </row>
    <row r="984" spans="1:10" ht="13.2" customHeight="1">
      <c r="A984" s="54"/>
      <c r="B984" s="54"/>
      <c r="C984" s="54"/>
      <c r="D984" s="54"/>
      <c r="E984" s="54"/>
      <c r="F984" s="301"/>
      <c r="G984" s="301"/>
      <c r="H984" s="54"/>
      <c r="I984" s="54"/>
      <c r="J984" s="54"/>
    </row>
    <row r="985" spans="1:10" ht="13.2" customHeight="1">
      <c r="A985" s="54"/>
      <c r="B985" s="54"/>
      <c r="C985" s="54"/>
      <c r="D985" s="54"/>
      <c r="E985" s="54"/>
      <c r="F985" s="301"/>
      <c r="G985" s="301"/>
      <c r="H985" s="54"/>
      <c r="I985" s="54"/>
      <c r="J985" s="54"/>
    </row>
    <row r="986" spans="1:10" ht="13.2" customHeight="1">
      <c r="A986" s="54"/>
      <c r="B986" s="54"/>
      <c r="C986" s="54"/>
      <c r="D986" s="54"/>
      <c r="E986" s="54"/>
      <c r="F986" s="301"/>
      <c r="G986" s="301"/>
      <c r="H986" s="54"/>
      <c r="I986" s="54"/>
      <c r="J986" s="54"/>
    </row>
    <row r="987" spans="1:10" ht="13.2" customHeight="1">
      <c r="A987" s="54"/>
      <c r="B987" s="54"/>
      <c r="C987" s="54"/>
      <c r="D987" s="54"/>
      <c r="E987" s="54"/>
      <c r="F987" s="301"/>
      <c r="G987" s="301"/>
      <c r="H987" s="54"/>
      <c r="I987" s="54"/>
      <c r="J987" s="54"/>
    </row>
    <row r="988" spans="1:10" ht="13.2" customHeight="1">
      <c r="A988" s="54"/>
      <c r="B988" s="54"/>
      <c r="C988" s="54"/>
      <c r="D988" s="54"/>
      <c r="E988" s="54"/>
      <c r="F988" s="301"/>
      <c r="G988" s="301"/>
      <c r="H988" s="54"/>
      <c r="I988" s="54"/>
      <c r="J988" s="54"/>
    </row>
    <row r="989" spans="1:10" ht="13.2" customHeight="1">
      <c r="A989" s="54"/>
      <c r="B989" s="54"/>
      <c r="C989" s="54"/>
      <c r="D989" s="54"/>
      <c r="E989" s="54"/>
      <c r="F989" s="301"/>
      <c r="G989" s="301"/>
      <c r="H989" s="54"/>
      <c r="I989" s="54"/>
      <c r="J989" s="54"/>
    </row>
    <row r="990" spans="1:10" ht="13.2" customHeight="1">
      <c r="A990" s="54"/>
      <c r="B990" s="54"/>
      <c r="C990" s="54"/>
      <c r="D990" s="54"/>
      <c r="E990" s="54"/>
      <c r="F990" s="301"/>
      <c r="G990" s="301"/>
      <c r="H990" s="54"/>
      <c r="I990" s="54"/>
      <c r="J990" s="54"/>
    </row>
    <row r="991" spans="1:10" ht="13.2" customHeight="1">
      <c r="A991" s="54"/>
      <c r="B991" s="54"/>
      <c r="C991" s="54"/>
      <c r="D991" s="54"/>
      <c r="E991" s="54"/>
      <c r="F991" s="301"/>
      <c r="G991" s="301"/>
      <c r="H991" s="54"/>
      <c r="I991" s="54"/>
      <c r="J991" s="54"/>
    </row>
    <row r="992" spans="1:10" ht="13.2" customHeight="1">
      <c r="A992" s="54"/>
      <c r="B992" s="54"/>
      <c r="C992" s="54"/>
      <c r="D992" s="54"/>
      <c r="E992" s="54"/>
      <c r="F992" s="301"/>
      <c r="G992" s="301"/>
      <c r="H992" s="54"/>
      <c r="I992" s="54"/>
      <c r="J992" s="54"/>
    </row>
    <row r="993" spans="1:10" ht="13.2" customHeight="1">
      <c r="A993" s="54"/>
      <c r="B993" s="54"/>
      <c r="C993" s="54"/>
      <c r="D993" s="54"/>
      <c r="E993" s="54"/>
      <c r="F993" s="301"/>
      <c r="G993" s="301"/>
      <c r="H993" s="54"/>
      <c r="I993" s="54"/>
      <c r="J993" s="54"/>
    </row>
    <row r="994" spans="1:10" ht="13.2" customHeight="1">
      <c r="A994" s="54"/>
      <c r="B994" s="54"/>
      <c r="C994" s="54"/>
      <c r="D994" s="54"/>
      <c r="E994" s="54"/>
      <c r="F994" s="301"/>
      <c r="G994" s="301"/>
      <c r="H994" s="54"/>
      <c r="I994" s="54"/>
      <c r="J994" s="54"/>
    </row>
    <row r="995" spans="1:10" ht="13.2" customHeight="1">
      <c r="A995" s="54"/>
      <c r="B995" s="54"/>
      <c r="C995" s="54"/>
      <c r="D995" s="54"/>
      <c r="E995" s="54"/>
      <c r="F995" s="301"/>
      <c r="G995" s="301"/>
      <c r="H995" s="54"/>
      <c r="I995" s="54"/>
      <c r="J995" s="54"/>
    </row>
    <row r="996" spans="1:10" ht="13.2" customHeight="1">
      <c r="A996" s="54"/>
      <c r="B996" s="54"/>
      <c r="C996" s="54"/>
      <c r="D996" s="54"/>
      <c r="E996" s="54"/>
      <c r="F996" s="301"/>
      <c r="G996" s="301"/>
      <c r="H996" s="54"/>
      <c r="I996" s="54"/>
      <c r="J996" s="54"/>
    </row>
    <row r="997" spans="1:10" ht="13.2" customHeight="1">
      <c r="A997" s="54"/>
      <c r="B997" s="54"/>
      <c r="C997" s="54"/>
      <c r="D997" s="54"/>
      <c r="E997" s="54"/>
      <c r="F997" s="301"/>
      <c r="G997" s="301"/>
      <c r="H997" s="54"/>
      <c r="I997" s="54"/>
      <c r="J997" s="54"/>
    </row>
    <row r="998" spans="1:10" ht="13.2" customHeight="1">
      <c r="A998" s="54"/>
      <c r="B998" s="54"/>
      <c r="C998" s="54"/>
      <c r="D998" s="54"/>
      <c r="E998" s="54"/>
      <c r="F998" s="301"/>
      <c r="G998" s="301"/>
      <c r="H998" s="54"/>
      <c r="I998" s="54"/>
      <c r="J998" s="54"/>
    </row>
    <row r="999" spans="1:10" ht="13.2" customHeight="1">
      <c r="A999" s="54"/>
      <c r="B999" s="54"/>
      <c r="C999" s="54"/>
      <c r="D999" s="54"/>
      <c r="E999" s="54"/>
      <c r="F999" s="301"/>
      <c r="G999" s="301"/>
      <c r="H999" s="54"/>
      <c r="I999" s="54"/>
      <c r="J999" s="54"/>
    </row>
    <row r="1000" spans="1:10" ht="13.2" customHeight="1">
      <c r="A1000" s="54"/>
      <c r="B1000" s="54"/>
      <c r="C1000" s="54"/>
      <c r="D1000" s="54"/>
      <c r="E1000" s="54"/>
      <c r="F1000" s="301"/>
      <c r="G1000" s="301"/>
      <c r="H1000" s="54"/>
      <c r="I1000" s="54"/>
      <c r="J1000" s="54"/>
    </row>
    <row r="1001" spans="1:10" ht="13.2" customHeight="1">
      <c r="A1001" s="54"/>
      <c r="B1001" s="54"/>
      <c r="C1001" s="54"/>
      <c r="D1001" s="54"/>
      <c r="E1001" s="54"/>
      <c r="F1001" s="301"/>
      <c r="G1001" s="301"/>
      <c r="H1001" s="54"/>
      <c r="I1001" s="54"/>
      <c r="J1001" s="54"/>
    </row>
    <row r="1002" spans="1:10" ht="13.2" customHeight="1">
      <c r="A1002" s="54"/>
      <c r="B1002" s="54"/>
      <c r="C1002" s="54"/>
      <c r="D1002" s="54"/>
      <c r="E1002" s="54"/>
      <c r="F1002" s="301"/>
      <c r="G1002" s="301"/>
      <c r="H1002" s="54"/>
      <c r="I1002" s="54"/>
      <c r="J1002" s="54"/>
    </row>
  </sheetData>
  <mergeCells count="28">
    <mergeCell ref="K1:N1"/>
    <mergeCell ref="B24:B27"/>
    <mergeCell ref="B36:B39"/>
    <mergeCell ref="A44:A47"/>
    <mergeCell ref="B20:B23"/>
    <mergeCell ref="A28:A31"/>
    <mergeCell ref="H20:H23"/>
    <mergeCell ref="A24:A27"/>
    <mergeCell ref="B16:B19"/>
    <mergeCell ref="B32:B35"/>
    <mergeCell ref="A40:A43"/>
    <mergeCell ref="B44:B47"/>
    <mergeCell ref="B40:B43"/>
    <mergeCell ref="H29:H31"/>
    <mergeCell ref="A8:A11"/>
    <mergeCell ref="H25:H27"/>
    <mergeCell ref="A20:A23"/>
    <mergeCell ref="A36:A39"/>
    <mergeCell ref="B12:B15"/>
    <mergeCell ref="H3:H7"/>
    <mergeCell ref="A16:A19"/>
    <mergeCell ref="H12:H14"/>
    <mergeCell ref="B8:B11"/>
    <mergeCell ref="A12:A15"/>
    <mergeCell ref="B2:B7"/>
    <mergeCell ref="B28:B31"/>
    <mergeCell ref="A32:A35"/>
    <mergeCell ref="A2:A7"/>
  </mergeCells>
  <hyperlinks>
    <hyperlink ref="G2" r:id="rId1"/>
    <hyperlink ref="I2" r:id="rId2"/>
    <hyperlink ref="G3" r:id="rId3"/>
    <hyperlink ref="I3" r:id="rId4"/>
    <hyperlink ref="G4" r:id="rId5"/>
    <hyperlink ref="I4" r:id="rId6"/>
    <hyperlink ref="G5" r:id="rId7"/>
    <hyperlink ref="I5" r:id="rId8"/>
    <hyperlink ref="I6" r:id="rId9"/>
    <hyperlink ref="I7" r:id="rId10"/>
    <hyperlink ref="G8" r:id="rId11"/>
    <hyperlink ref="G9" r:id="rId12"/>
    <hyperlink ref="G12" r:id="rId13"/>
    <hyperlink ref="I12" r:id="rId14"/>
    <hyperlink ref="G13" r:id="rId15"/>
    <hyperlink ref="I13" r:id="rId16"/>
    <hyperlink ref="G14" r:id="rId17"/>
    <hyperlink ref="I14" r:id="rId18"/>
    <hyperlink ref="I15" r:id="rId19"/>
    <hyperlink ref="G16" r:id="rId20"/>
    <hyperlink ref="I16" r:id="rId21"/>
    <hyperlink ref="G17" r:id="rId22"/>
    <hyperlink ref="I17" r:id="rId23"/>
    <hyperlink ref="G18" r:id="rId24"/>
    <hyperlink ref="I18" r:id="rId25"/>
    <hyperlink ref="I19" r:id="rId26" display="https://adsmanager.facebook.com/adsmanager/?act=632315609796394&amp;business_id=1274247713762131&amp;nav_entry_point=fbs_ad_account_open_in_ads_manager_button&amp;nav_source=facebook_business_suite"/>
    <hyperlink ref="G20" r:id="rId27"/>
    <hyperlink ref="I20" r:id="rId28"/>
    <hyperlink ref="G21" r:id="rId29"/>
    <hyperlink ref="I21" r:id="rId30"/>
    <hyperlink ref="G22" r:id="rId31"/>
    <hyperlink ref="I22" r:id="rId32"/>
    <hyperlink ref="G23" r:id="rId33"/>
    <hyperlink ref="I23" r:id="rId34"/>
    <hyperlink ref="G24" r:id="rId35"/>
    <hyperlink ref="I24" r:id="rId36"/>
    <hyperlink ref="G25" r:id="rId37"/>
    <hyperlink ref="I25" r:id="rId38"/>
    <hyperlink ref="I26" r:id="rId39"/>
    <hyperlink ref="I27" r:id="rId40"/>
    <hyperlink ref="G28" r:id="rId41"/>
    <hyperlink ref="I28" r:id="rId42"/>
    <hyperlink ref="I29" r:id="rId43"/>
    <hyperlink ref="I30" r:id="rId44"/>
    <hyperlink ref="I31" r:id="rId4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132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2.6640625" defaultRowHeight="15.75" customHeight="1"/>
  <cols>
    <col min="1" max="1" width="6.88671875" style="323" customWidth="1"/>
    <col min="2" max="2" width="22.88671875" style="323" customWidth="1"/>
    <col min="3" max="3" width="17.88671875" style="323" customWidth="1"/>
    <col min="5" max="18" width="16.33203125" style="323" customWidth="1"/>
    <col min="19" max="19" width="20.88671875" style="323" customWidth="1"/>
    <col min="20" max="20" width="23.6640625" style="323" customWidth="1"/>
    <col min="21" max="21" width="19.77734375" style="323" customWidth="1"/>
  </cols>
  <sheetData>
    <row r="1" spans="1:31" ht="20.399999999999999" customHeight="1">
      <c r="A1" s="387" t="s">
        <v>115</v>
      </c>
      <c r="B1" s="380"/>
      <c r="C1" s="380"/>
      <c r="D1" s="380"/>
      <c r="E1" s="324"/>
      <c r="F1" s="324"/>
      <c r="G1" s="324"/>
      <c r="H1" s="324"/>
    </row>
    <row r="2" spans="1:31" ht="52.2" customHeight="1">
      <c r="A2" s="91" t="s">
        <v>0</v>
      </c>
      <c r="B2" s="91" t="s">
        <v>19</v>
      </c>
      <c r="C2" s="14" t="s">
        <v>7</v>
      </c>
      <c r="D2" s="154" t="s">
        <v>8</v>
      </c>
      <c r="E2" s="92" t="s">
        <v>116</v>
      </c>
      <c r="F2" s="92" t="s">
        <v>117</v>
      </c>
      <c r="G2" s="18" t="s">
        <v>118</v>
      </c>
      <c r="H2" s="19" t="s">
        <v>119</v>
      </c>
      <c r="I2" s="20" t="s">
        <v>120</v>
      </c>
      <c r="J2" s="22" t="s">
        <v>121</v>
      </c>
      <c r="K2" s="24" t="s">
        <v>122</v>
      </c>
      <c r="L2" s="28" t="s">
        <v>5</v>
      </c>
      <c r="M2" s="154" t="s">
        <v>123</v>
      </c>
      <c r="N2" s="154" t="s">
        <v>124</v>
      </c>
      <c r="O2" s="31" t="s">
        <v>125</v>
      </c>
      <c r="P2" s="32" t="s">
        <v>126</v>
      </c>
      <c r="Q2" s="31" t="s">
        <v>124</v>
      </c>
    </row>
    <row r="3" spans="1:31" ht="15.6" customHeight="1">
      <c r="A3" s="54">
        <v>1</v>
      </c>
      <c r="B3" s="33" t="s">
        <v>29</v>
      </c>
      <c r="C3" s="49" t="s">
        <v>127</v>
      </c>
      <c r="D3" s="50">
        <v>7923</v>
      </c>
      <c r="E3" s="38">
        <f t="shared" ref="E3:E10" si="0">SUM(G3+H3+I3+J3+K3)</f>
        <v>0</v>
      </c>
      <c r="F3" s="38">
        <f t="shared" ref="F3:F10" si="1">E3/31</f>
        <v>0</v>
      </c>
      <c r="G3" s="38"/>
      <c r="H3" s="38"/>
      <c r="I3" s="38"/>
      <c r="J3" s="38"/>
      <c r="K3" s="38"/>
      <c r="L3" s="38"/>
      <c r="M3" s="38">
        <f t="shared" ref="M3:M10" si="2">L3/31</f>
        <v>0</v>
      </c>
      <c r="N3" s="40" t="e">
        <f t="shared" ref="N3:N11" si="3">E3/L3</f>
        <v>#DIV/0!</v>
      </c>
      <c r="O3" s="43">
        <f>'NH Anh T'!F3</f>
        <v>1124484021</v>
      </c>
      <c r="P3" s="43">
        <f>'NH Anh T'!D3</f>
        <v>798099147.27272689</v>
      </c>
      <c r="Q3" s="41">
        <f t="shared" ref="Q3:Q11" si="4">P3/O3</f>
        <v>0.7097469882791041</v>
      </c>
    </row>
    <row r="4" spans="1:31" ht="15.6" customHeight="1">
      <c r="A4" s="54">
        <v>2</v>
      </c>
      <c r="B4" s="33" t="s">
        <v>54</v>
      </c>
      <c r="C4" s="49" t="s">
        <v>128</v>
      </c>
      <c r="D4" s="50">
        <v>9793</v>
      </c>
      <c r="E4" s="38">
        <f t="shared" si="0"/>
        <v>0</v>
      </c>
      <c r="F4" s="38">
        <f t="shared" si="1"/>
        <v>0</v>
      </c>
      <c r="G4" s="38"/>
      <c r="H4" s="38"/>
      <c r="I4" s="38"/>
      <c r="J4" s="38"/>
      <c r="K4" s="38"/>
      <c r="L4" s="38"/>
      <c r="M4" s="38">
        <f t="shared" si="2"/>
        <v>0</v>
      </c>
      <c r="N4" s="40" t="e">
        <f t="shared" si="3"/>
        <v>#DIV/0!</v>
      </c>
      <c r="O4" s="43">
        <f>'BQ Anh T'!F3</f>
        <v>520556882</v>
      </c>
      <c r="P4" s="43">
        <f>'BQ Anh T'!D3</f>
        <v>272545755.45454544</v>
      </c>
      <c r="Q4" s="41">
        <f t="shared" si="4"/>
        <v>0.52356575213723799</v>
      </c>
    </row>
    <row r="5" spans="1:31" ht="15.6" customHeight="1">
      <c r="A5" s="54">
        <v>3</v>
      </c>
      <c r="B5" s="33" t="s">
        <v>79</v>
      </c>
      <c r="C5" s="49" t="s">
        <v>129</v>
      </c>
      <c r="D5" s="50">
        <v>8384</v>
      </c>
      <c r="E5" s="38">
        <f t="shared" si="0"/>
        <v>0</v>
      </c>
      <c r="F5" s="38">
        <f t="shared" si="1"/>
        <v>0</v>
      </c>
      <c r="G5" s="38"/>
      <c r="H5" s="38"/>
      <c r="I5" s="38"/>
      <c r="J5" s="38"/>
      <c r="K5" s="38"/>
      <c r="L5" s="38"/>
      <c r="M5" s="38">
        <f t="shared" si="2"/>
        <v>0</v>
      </c>
      <c r="N5" s="40" t="e">
        <f t="shared" si="3"/>
        <v>#DIV/0!</v>
      </c>
      <c r="O5" s="43">
        <f>'TQ Huy T'!F3</f>
        <v>408820000</v>
      </c>
      <c r="P5" s="43">
        <f>'TQ Huy T'!D3</f>
        <v>310757428.18181813</v>
      </c>
      <c r="Q5" s="41">
        <f t="shared" si="4"/>
        <v>0.76013264561865401</v>
      </c>
    </row>
    <row r="6" spans="1:31" ht="15.6" customHeight="1">
      <c r="A6" s="54">
        <v>4</v>
      </c>
      <c r="B6" s="33" t="s">
        <v>67</v>
      </c>
      <c r="C6" s="49" t="s">
        <v>130</v>
      </c>
      <c r="D6" s="50">
        <v>8879</v>
      </c>
      <c r="E6" s="38">
        <f t="shared" si="0"/>
        <v>0</v>
      </c>
      <c r="F6" s="38">
        <f t="shared" si="1"/>
        <v>0</v>
      </c>
      <c r="G6" s="38"/>
      <c r="H6" s="38"/>
      <c r="I6" s="38"/>
      <c r="J6" s="38"/>
      <c r="K6" s="38"/>
      <c r="L6" s="38"/>
      <c r="M6" s="38">
        <f t="shared" si="2"/>
        <v>0</v>
      </c>
      <c r="N6" s="40" t="e">
        <f t="shared" si="3"/>
        <v>#DIV/0!</v>
      </c>
      <c r="O6" s="43">
        <f>'PT Hải T'!F3</f>
        <v>366845000</v>
      </c>
      <c r="P6" s="43">
        <f>'PT Hải T'!D3</f>
        <v>270534090</v>
      </c>
      <c r="Q6" s="41">
        <f t="shared" si="4"/>
        <v>0.7374615709632133</v>
      </c>
    </row>
    <row r="7" spans="1:31" ht="15.6" customHeight="1">
      <c r="A7" s="54">
        <v>5</v>
      </c>
      <c r="B7" s="33" t="s">
        <v>106</v>
      </c>
      <c r="C7" s="49" t="s">
        <v>131</v>
      </c>
      <c r="D7" s="50">
        <v>1695</v>
      </c>
      <c r="E7" s="38">
        <f t="shared" si="0"/>
        <v>0</v>
      </c>
      <c r="F7" s="38">
        <f t="shared" si="1"/>
        <v>0</v>
      </c>
      <c r="G7" s="38"/>
      <c r="H7" s="38"/>
      <c r="I7" s="38"/>
      <c r="J7" s="38"/>
      <c r="K7" s="38"/>
      <c r="L7" s="38"/>
      <c r="M7" s="38">
        <f t="shared" si="2"/>
        <v>0</v>
      </c>
      <c r="N7" s="40" t="e">
        <f t="shared" si="3"/>
        <v>#DIV/0!</v>
      </c>
      <c r="O7" s="43">
        <f>'NV Lý T'!F3</f>
        <v>47700000</v>
      </c>
      <c r="P7" s="43">
        <f>'NV Lý T'!D3</f>
        <v>35685694.545454547</v>
      </c>
      <c r="Q7" s="41">
        <f t="shared" si="4"/>
        <v>0.74812776824852301</v>
      </c>
    </row>
    <row r="8" spans="1:31" ht="15.6" customHeight="1">
      <c r="A8" s="54">
        <v>6</v>
      </c>
      <c r="B8" s="33" t="s">
        <v>94</v>
      </c>
      <c r="C8" s="49" t="s">
        <v>132</v>
      </c>
      <c r="D8" s="50">
        <v>9330</v>
      </c>
      <c r="E8" s="38">
        <f t="shared" si="0"/>
        <v>0</v>
      </c>
      <c r="F8" s="38">
        <f t="shared" si="1"/>
        <v>0</v>
      </c>
      <c r="G8" s="38"/>
      <c r="H8" s="38"/>
      <c r="I8" s="38"/>
      <c r="J8" s="38"/>
      <c r="K8" s="38"/>
      <c r="L8" s="38"/>
      <c r="M8" s="38">
        <f t="shared" si="2"/>
        <v>0</v>
      </c>
      <c r="N8" s="40" t="e">
        <f t="shared" si="3"/>
        <v>#DIV/0!</v>
      </c>
      <c r="O8" s="43">
        <f>'ĐQ Anh T'!F3</f>
        <v>170205000</v>
      </c>
      <c r="P8" s="43">
        <f>'ĐQ Anh T'!D3</f>
        <v>91629631.818181783</v>
      </c>
      <c r="Q8" s="41">
        <f t="shared" si="4"/>
        <v>0.53834864908893265</v>
      </c>
    </row>
    <row r="9" spans="1:31" ht="17.399999999999999" customHeight="1">
      <c r="A9" s="54">
        <v>7</v>
      </c>
      <c r="B9" s="48"/>
      <c r="C9" s="49"/>
      <c r="D9" s="50"/>
      <c r="E9" s="38">
        <f t="shared" si="0"/>
        <v>0</v>
      </c>
      <c r="F9" s="38">
        <f t="shared" si="1"/>
        <v>0</v>
      </c>
      <c r="G9" s="38"/>
      <c r="H9" s="38"/>
      <c r="I9" s="38"/>
      <c r="J9" s="38"/>
      <c r="K9" s="38"/>
      <c r="L9" s="38"/>
      <c r="M9" s="38">
        <f t="shared" si="2"/>
        <v>0</v>
      </c>
      <c r="N9" s="40" t="e">
        <f t="shared" si="3"/>
        <v>#DIV/0!</v>
      </c>
      <c r="O9" s="43"/>
      <c r="P9" s="43"/>
      <c r="Q9" s="41" t="e">
        <f t="shared" si="4"/>
        <v>#DIV/0!</v>
      </c>
    </row>
    <row r="10" spans="1:31" ht="15.6" customHeight="1">
      <c r="A10" s="54">
        <v>8</v>
      </c>
      <c r="B10" s="54"/>
      <c r="C10" s="49"/>
      <c r="D10" s="50"/>
      <c r="E10" s="38">
        <f t="shared" si="0"/>
        <v>0</v>
      </c>
      <c r="F10" s="38">
        <f t="shared" si="1"/>
        <v>0</v>
      </c>
      <c r="G10" s="38"/>
      <c r="H10" s="38"/>
      <c r="I10" s="38"/>
      <c r="J10" s="38"/>
      <c r="K10" s="38"/>
      <c r="L10" s="38"/>
      <c r="M10" s="38">
        <f t="shared" si="2"/>
        <v>0</v>
      </c>
      <c r="N10" s="40" t="e">
        <f t="shared" si="3"/>
        <v>#DIV/0!</v>
      </c>
      <c r="O10" s="43"/>
      <c r="P10" s="43"/>
      <c r="Q10" s="41" t="e">
        <f t="shared" si="4"/>
        <v>#DIV/0!</v>
      </c>
    </row>
    <row r="11" spans="1:31" ht="13.8" customHeight="1">
      <c r="A11" s="383" t="s">
        <v>133</v>
      </c>
      <c r="B11" s="384"/>
      <c r="C11" s="55"/>
      <c r="D11" s="252"/>
      <c r="E11" s="56">
        <f t="shared" ref="E11:M11" si="5">SUM(E3:E10)</f>
        <v>0</v>
      </c>
      <c r="F11" s="56">
        <f t="shared" si="5"/>
        <v>0</v>
      </c>
      <c r="G11" s="56">
        <f t="shared" si="5"/>
        <v>0</v>
      </c>
      <c r="H11" s="56">
        <f t="shared" si="5"/>
        <v>0</v>
      </c>
      <c r="I11" s="56">
        <f t="shared" si="5"/>
        <v>0</v>
      </c>
      <c r="J11" s="56">
        <f t="shared" si="5"/>
        <v>0</v>
      </c>
      <c r="K11" s="56">
        <f t="shared" si="5"/>
        <v>0</v>
      </c>
      <c r="L11" s="56">
        <f t="shared" si="5"/>
        <v>0</v>
      </c>
      <c r="M11" s="56">
        <f t="shared" si="5"/>
        <v>0</v>
      </c>
      <c r="N11" s="59" t="e">
        <f t="shared" si="3"/>
        <v>#DIV/0!</v>
      </c>
      <c r="O11" s="56">
        <f>SUM(O3:O10)</f>
        <v>2638610903</v>
      </c>
      <c r="P11" s="56">
        <f>SUM(P3:P10)</f>
        <v>1779251747.2727268</v>
      </c>
      <c r="Q11" s="60">
        <f t="shared" si="4"/>
        <v>0.6743138009661771</v>
      </c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</row>
    <row r="12" spans="1:31" ht="13.2" customHeight="1">
      <c r="E12" s="63"/>
      <c r="F12" s="63"/>
      <c r="G12" s="63"/>
      <c r="H12" s="63"/>
      <c r="I12" s="63"/>
      <c r="J12" s="63"/>
      <c r="K12" s="63"/>
      <c r="L12" s="63"/>
      <c r="M12" s="63"/>
      <c r="N12" s="64"/>
      <c r="O12" s="65"/>
      <c r="P12" s="65"/>
      <c r="Q12" s="66"/>
    </row>
    <row r="13" spans="1:31" ht="15.6" customHeight="1">
      <c r="A13" s="54">
        <v>1</v>
      </c>
      <c r="B13" s="69" t="s">
        <v>46</v>
      </c>
      <c r="C13" s="54"/>
      <c r="D13" s="54">
        <v>2156</v>
      </c>
      <c r="E13" s="38">
        <f>SUM(G13+H13+I13+J13+K13)</f>
        <v>0</v>
      </c>
      <c r="F13" s="38">
        <f>E13/31</f>
        <v>0</v>
      </c>
      <c r="G13" s="38"/>
      <c r="H13" s="38"/>
      <c r="I13" s="38"/>
      <c r="J13" s="38"/>
      <c r="K13" s="38"/>
      <c r="L13" s="38"/>
      <c r="M13" s="38">
        <f>L13/31</f>
        <v>0</v>
      </c>
      <c r="N13" s="40" t="e">
        <f t="shared" ref="N13:N18" si="6">E13/L13</f>
        <v>#DIV/0!</v>
      </c>
      <c r="O13" s="43">
        <f>'NT Thưởng T'!F3</f>
        <v>93210000</v>
      </c>
      <c r="P13" s="43">
        <f>'NT Thưởng T'!D3</f>
        <v>114284079.99999997</v>
      </c>
      <c r="Q13" s="41">
        <f t="shared" ref="Q13:Q18" si="7">P13/O13</f>
        <v>1.2260924793477093</v>
      </c>
    </row>
    <row r="14" spans="1:31" ht="13.2" customHeight="1">
      <c r="A14" s="54">
        <v>2</v>
      </c>
      <c r="B14" s="54"/>
      <c r="C14" s="54"/>
      <c r="D14" s="54"/>
      <c r="E14" s="38">
        <f>SUM(G14+H14+I14+J14+K14)</f>
        <v>0</v>
      </c>
      <c r="F14" s="38">
        <f>E14/31</f>
        <v>0</v>
      </c>
      <c r="G14" s="38"/>
      <c r="H14" s="38"/>
      <c r="I14" s="38"/>
      <c r="J14" s="38"/>
      <c r="K14" s="38"/>
      <c r="L14" s="38"/>
      <c r="M14" s="38">
        <f>L14/31</f>
        <v>0</v>
      </c>
      <c r="N14" s="40" t="e">
        <f t="shared" si="6"/>
        <v>#DIV/0!</v>
      </c>
      <c r="O14" s="43"/>
      <c r="P14" s="43"/>
      <c r="Q14" s="41" t="e">
        <f t="shared" si="7"/>
        <v>#DIV/0!</v>
      </c>
    </row>
    <row r="15" spans="1:31" ht="13.2" customHeight="1">
      <c r="A15" s="54">
        <v>3</v>
      </c>
      <c r="B15" s="54"/>
      <c r="C15" s="54"/>
      <c r="D15" s="54"/>
      <c r="E15" s="38">
        <f>SUM(G15+H15+I15+J15+K15)</f>
        <v>0</v>
      </c>
      <c r="F15" s="38">
        <f>E15/31</f>
        <v>0</v>
      </c>
      <c r="G15" s="38"/>
      <c r="H15" s="38"/>
      <c r="I15" s="38"/>
      <c r="J15" s="38"/>
      <c r="K15" s="38"/>
      <c r="L15" s="38"/>
      <c r="M15" s="38">
        <f>L15/31</f>
        <v>0</v>
      </c>
      <c r="N15" s="40" t="e">
        <f t="shared" si="6"/>
        <v>#DIV/0!</v>
      </c>
      <c r="O15" s="43"/>
      <c r="P15" s="43"/>
      <c r="Q15" s="41" t="e">
        <f t="shared" si="7"/>
        <v>#DIV/0!</v>
      </c>
    </row>
    <row r="16" spans="1:31" ht="13.2" customHeight="1">
      <c r="A16" s="54">
        <v>4</v>
      </c>
      <c r="B16" s="54"/>
      <c r="C16" s="54"/>
      <c r="D16" s="54"/>
      <c r="E16" s="38">
        <f>SUM(G16+H16+I16+J16+K16)</f>
        <v>0</v>
      </c>
      <c r="F16" s="38">
        <f>E16/31</f>
        <v>0</v>
      </c>
      <c r="G16" s="38"/>
      <c r="H16" s="38"/>
      <c r="I16" s="38"/>
      <c r="J16" s="38"/>
      <c r="K16" s="38"/>
      <c r="L16" s="38"/>
      <c r="M16" s="38">
        <f>L16/31</f>
        <v>0</v>
      </c>
      <c r="N16" s="40" t="e">
        <f t="shared" si="6"/>
        <v>#DIV/0!</v>
      </c>
      <c r="O16" s="43"/>
      <c r="P16" s="43"/>
      <c r="Q16" s="41" t="e">
        <f t="shared" si="7"/>
        <v>#DIV/0!</v>
      </c>
    </row>
    <row r="17" spans="1:31" ht="13.2" customHeight="1">
      <c r="A17" s="54">
        <v>5</v>
      </c>
      <c r="B17" s="54"/>
      <c r="C17" s="54"/>
      <c r="D17" s="54"/>
      <c r="E17" s="38">
        <f>SUM(G17+H17+I17+J17+K17)</f>
        <v>0</v>
      </c>
      <c r="F17" s="38">
        <f>E17/31</f>
        <v>0</v>
      </c>
      <c r="G17" s="38"/>
      <c r="H17" s="38"/>
      <c r="I17" s="38"/>
      <c r="J17" s="38"/>
      <c r="K17" s="38"/>
      <c r="L17" s="38"/>
      <c r="M17" s="38">
        <f>L17/31</f>
        <v>0</v>
      </c>
      <c r="N17" s="40" t="e">
        <f t="shared" si="6"/>
        <v>#DIV/0!</v>
      </c>
      <c r="O17" s="43"/>
      <c r="P17" s="43"/>
      <c r="Q17" s="41" t="e">
        <f t="shared" si="7"/>
        <v>#DIV/0!</v>
      </c>
    </row>
    <row r="18" spans="1:31" ht="13.8" customHeight="1">
      <c r="A18" s="383" t="s">
        <v>134</v>
      </c>
      <c r="B18" s="384"/>
      <c r="C18" s="80"/>
      <c r="D18" s="80"/>
      <c r="E18" s="56">
        <f t="shared" ref="E18:M18" si="8">SUM(E13:E17)</f>
        <v>0</v>
      </c>
      <c r="F18" s="56">
        <f t="shared" si="8"/>
        <v>0</v>
      </c>
      <c r="G18" s="56">
        <f t="shared" si="8"/>
        <v>0</v>
      </c>
      <c r="H18" s="56">
        <f t="shared" si="8"/>
        <v>0</v>
      </c>
      <c r="I18" s="56">
        <f t="shared" si="8"/>
        <v>0</v>
      </c>
      <c r="J18" s="56">
        <f t="shared" si="8"/>
        <v>0</v>
      </c>
      <c r="K18" s="56">
        <f t="shared" si="8"/>
        <v>0</v>
      </c>
      <c r="L18" s="56">
        <f t="shared" si="8"/>
        <v>0</v>
      </c>
      <c r="M18" s="56">
        <f t="shared" si="8"/>
        <v>0</v>
      </c>
      <c r="N18" s="59" t="e">
        <f t="shared" si="6"/>
        <v>#DIV/0!</v>
      </c>
      <c r="O18" s="56">
        <f>SUM(O13:O17)</f>
        <v>93210000</v>
      </c>
      <c r="P18" s="56">
        <f>SUM(P13:P17)</f>
        <v>114284079.99999997</v>
      </c>
      <c r="Q18" s="60">
        <f t="shared" si="7"/>
        <v>1.2260924793477093</v>
      </c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</row>
    <row r="19" spans="1:31" ht="13.2" customHeight="1">
      <c r="E19" s="63"/>
      <c r="F19" s="63"/>
      <c r="G19" s="63"/>
      <c r="H19" s="63"/>
      <c r="I19" s="63"/>
      <c r="J19" s="63"/>
      <c r="K19" s="63"/>
      <c r="L19" s="63"/>
      <c r="M19" s="63"/>
      <c r="N19" s="64"/>
      <c r="O19" s="65"/>
      <c r="P19" s="65"/>
      <c r="Q19" s="66"/>
    </row>
    <row r="20" spans="1:31" ht="23.25" customHeight="1">
      <c r="A20" s="385" t="s">
        <v>135</v>
      </c>
      <c r="B20" s="384"/>
      <c r="C20" s="82"/>
      <c r="D20" s="82"/>
      <c r="E20" s="84">
        <f t="shared" ref="E20:M20" si="9">E18+E11</f>
        <v>0</v>
      </c>
      <c r="F20" s="84">
        <f t="shared" si="9"/>
        <v>0</v>
      </c>
      <c r="G20" s="84">
        <f t="shared" si="9"/>
        <v>0</v>
      </c>
      <c r="H20" s="84">
        <f t="shared" si="9"/>
        <v>0</v>
      </c>
      <c r="I20" s="84">
        <f t="shared" si="9"/>
        <v>0</v>
      </c>
      <c r="J20" s="84">
        <f t="shared" si="9"/>
        <v>0</v>
      </c>
      <c r="K20" s="84">
        <f t="shared" si="9"/>
        <v>0</v>
      </c>
      <c r="L20" s="84">
        <f t="shared" si="9"/>
        <v>0</v>
      </c>
      <c r="M20" s="84">
        <f t="shared" si="9"/>
        <v>0</v>
      </c>
      <c r="N20" s="87" t="e">
        <f>E20/L20</f>
        <v>#DIV/0!</v>
      </c>
      <c r="O20" s="84">
        <f>O18+O11</f>
        <v>2731820903</v>
      </c>
      <c r="P20" s="84">
        <f>P18+P11</f>
        <v>1893535827.2727268</v>
      </c>
      <c r="Q20" s="88">
        <f>P20/O20</f>
        <v>0.69314054416719084</v>
      </c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</row>
    <row r="24" spans="1:31" ht="13.2" customHeight="1">
      <c r="A24" s="386" t="s">
        <v>136</v>
      </c>
      <c r="B24" s="380"/>
      <c r="C24" s="380"/>
      <c r="D24" s="380"/>
    </row>
    <row r="25" spans="1:31" ht="52.2" customHeight="1">
      <c r="A25" s="90" t="s">
        <v>0</v>
      </c>
      <c r="B25" s="91" t="s">
        <v>19</v>
      </c>
      <c r="C25" s="14" t="s">
        <v>7</v>
      </c>
      <c r="D25" s="154" t="s">
        <v>8</v>
      </c>
      <c r="E25" s="92" t="s">
        <v>137</v>
      </c>
      <c r="F25" s="93" t="s">
        <v>138</v>
      </c>
      <c r="G25" s="94" t="s">
        <v>139</v>
      </c>
      <c r="H25" s="95" t="s">
        <v>140</v>
      </c>
      <c r="I25" s="96" t="s">
        <v>141</v>
      </c>
      <c r="J25" s="97" t="s">
        <v>142</v>
      </c>
      <c r="K25" s="98" t="s">
        <v>143</v>
      </c>
      <c r="L25" s="99" t="s">
        <v>144</v>
      </c>
      <c r="M25" s="100" t="s">
        <v>145</v>
      </c>
      <c r="N25" s="101" t="s">
        <v>146</v>
      </c>
      <c r="O25" s="101" t="s">
        <v>124</v>
      </c>
      <c r="P25" s="102" t="s">
        <v>125</v>
      </c>
      <c r="Q25" s="103" t="s">
        <v>126</v>
      </c>
      <c r="R25" s="102" t="s">
        <v>124</v>
      </c>
      <c r="S25" s="104" t="s">
        <v>147</v>
      </c>
      <c r="T25" s="104" t="s">
        <v>148</v>
      </c>
      <c r="U25" s="105"/>
    </row>
    <row r="26" spans="1:31" ht="15.6" customHeight="1">
      <c r="A26" s="54">
        <v>1</v>
      </c>
      <c r="B26" s="33" t="s">
        <v>29</v>
      </c>
      <c r="C26" s="49" t="s">
        <v>127</v>
      </c>
      <c r="D26" s="50">
        <v>7923</v>
      </c>
      <c r="E26" s="202">
        <f t="shared" ref="E26:E33" si="10">F26+G26+H26+I26+J26+K26+L26</f>
        <v>110000000</v>
      </c>
      <c r="F26" s="107">
        <v>0</v>
      </c>
      <c r="G26" s="107">
        <v>0</v>
      </c>
      <c r="H26" s="107">
        <v>22000000</v>
      </c>
      <c r="I26" s="107">
        <v>22000000</v>
      </c>
      <c r="J26" s="107">
        <v>22000000</v>
      </c>
      <c r="K26" s="107">
        <v>22000000</v>
      </c>
      <c r="L26" s="107">
        <v>22000000</v>
      </c>
      <c r="M26" s="107">
        <v>300000000</v>
      </c>
      <c r="N26" s="107">
        <f t="shared" ref="N26:N34" si="11">M26/7</f>
        <v>42857142.857142858</v>
      </c>
      <c r="O26" s="108">
        <f t="shared" ref="O26:O34" si="12">IFERROR(E26/M26,0)</f>
        <v>0.36666666666666664</v>
      </c>
      <c r="P26" s="109">
        <f>'Tổng tuần'!H3</f>
        <v>196595000</v>
      </c>
      <c r="Q26" s="109">
        <f>'Tổng tuần'!F3</f>
        <v>145473416.36363634</v>
      </c>
      <c r="R26" s="41">
        <f t="shared" ref="R26:R34" si="13">Q26/P26</f>
        <v>0.73996498569971947</v>
      </c>
      <c r="S26" s="112">
        <f t="shared" ref="S26:S34" si="14">SUM(F26:I26)</f>
        <v>44000000</v>
      </c>
      <c r="T26" s="112">
        <f t="shared" ref="T26:T34" si="15">SUM(J26:L26)</f>
        <v>66000000</v>
      </c>
    </row>
    <row r="27" spans="1:31" ht="15.6" customHeight="1">
      <c r="A27" s="54">
        <v>2</v>
      </c>
      <c r="B27" s="33" t="s">
        <v>54</v>
      </c>
      <c r="C27" s="49" t="s">
        <v>128</v>
      </c>
      <c r="D27" s="50">
        <v>9793</v>
      </c>
      <c r="E27" s="202">
        <f t="shared" si="10"/>
        <v>60000000</v>
      </c>
      <c r="F27" s="107">
        <v>0</v>
      </c>
      <c r="G27" s="107">
        <v>0</v>
      </c>
      <c r="H27" s="107">
        <v>12000000</v>
      </c>
      <c r="I27" s="107">
        <v>12000000</v>
      </c>
      <c r="J27" s="107">
        <v>12000000</v>
      </c>
      <c r="K27" s="107">
        <v>12000000</v>
      </c>
      <c r="L27" s="107">
        <v>12000000</v>
      </c>
      <c r="M27" s="107">
        <v>170000000</v>
      </c>
      <c r="N27" s="107">
        <f t="shared" si="11"/>
        <v>24285714.285714287</v>
      </c>
      <c r="O27" s="108">
        <f t="shared" si="12"/>
        <v>0.35294117647058826</v>
      </c>
      <c r="P27" s="109">
        <f>'Tổng tuần'!H4</f>
        <v>42660000</v>
      </c>
      <c r="Q27" s="109">
        <f>'Tổng tuần'!F4</f>
        <v>64363970.909090906</v>
      </c>
      <c r="R27" s="41">
        <f t="shared" si="13"/>
        <v>1.5087663129182116</v>
      </c>
      <c r="S27" s="112">
        <f t="shared" si="14"/>
        <v>24000000</v>
      </c>
      <c r="T27" s="112">
        <f t="shared" si="15"/>
        <v>36000000</v>
      </c>
    </row>
    <row r="28" spans="1:31" ht="15.6" customHeight="1">
      <c r="A28" s="54">
        <v>3</v>
      </c>
      <c r="B28" s="33" t="s">
        <v>79</v>
      </c>
      <c r="C28" s="49" t="s">
        <v>129</v>
      </c>
      <c r="D28" s="50">
        <v>8384</v>
      </c>
      <c r="E28" s="202">
        <f t="shared" si="10"/>
        <v>75000000</v>
      </c>
      <c r="F28" s="107">
        <v>0</v>
      </c>
      <c r="G28" s="107">
        <v>0</v>
      </c>
      <c r="H28" s="107">
        <v>15000000</v>
      </c>
      <c r="I28" s="107">
        <v>15000000</v>
      </c>
      <c r="J28" s="107">
        <v>15000000</v>
      </c>
      <c r="K28" s="107">
        <v>15000000</v>
      </c>
      <c r="L28" s="107">
        <v>15000000</v>
      </c>
      <c r="M28" s="107">
        <v>200000000</v>
      </c>
      <c r="N28" s="107">
        <f t="shared" si="11"/>
        <v>28571428.571428571</v>
      </c>
      <c r="O28" s="108">
        <f t="shared" si="12"/>
        <v>0.375</v>
      </c>
      <c r="P28" s="109">
        <f>'Tổng tuần'!H5</f>
        <v>69345000</v>
      </c>
      <c r="Q28" s="109">
        <f>'Tổng tuần'!F5</f>
        <v>54895216.36363636</v>
      </c>
      <c r="R28" s="41">
        <f t="shared" si="13"/>
        <v>0.79162472223860925</v>
      </c>
      <c r="S28" s="112">
        <f t="shared" si="14"/>
        <v>30000000</v>
      </c>
      <c r="T28" s="112">
        <f t="shared" si="15"/>
        <v>45000000</v>
      </c>
    </row>
    <row r="29" spans="1:31" ht="15.6" customHeight="1">
      <c r="A29" s="54">
        <v>4</v>
      </c>
      <c r="B29" s="33" t="s">
        <v>67</v>
      </c>
      <c r="C29" s="49" t="s">
        <v>130</v>
      </c>
      <c r="D29" s="50">
        <v>8879</v>
      </c>
      <c r="E29" s="202">
        <f t="shared" si="10"/>
        <v>60000000</v>
      </c>
      <c r="F29" s="107">
        <v>0</v>
      </c>
      <c r="G29" s="107">
        <v>0</v>
      </c>
      <c r="H29" s="107">
        <v>12000000</v>
      </c>
      <c r="I29" s="107">
        <v>12000000</v>
      </c>
      <c r="J29" s="107">
        <v>12000000</v>
      </c>
      <c r="K29" s="107">
        <v>12000000</v>
      </c>
      <c r="L29" s="107">
        <v>12000000</v>
      </c>
      <c r="M29" s="107">
        <v>160000000</v>
      </c>
      <c r="N29" s="107">
        <f t="shared" si="11"/>
        <v>22857142.857142858</v>
      </c>
      <c r="O29" s="108">
        <f t="shared" si="12"/>
        <v>0.375</v>
      </c>
      <c r="P29" s="109">
        <f>'Tổng tuần'!H6</f>
        <v>37740000</v>
      </c>
      <c r="Q29" s="109">
        <f>'Tổng tuần'!F6</f>
        <v>42710587.272727273</v>
      </c>
      <c r="R29" s="41">
        <f t="shared" si="13"/>
        <v>1.1317060750590162</v>
      </c>
      <c r="S29" s="112">
        <f t="shared" si="14"/>
        <v>24000000</v>
      </c>
      <c r="T29" s="112">
        <f t="shared" si="15"/>
        <v>36000000</v>
      </c>
    </row>
    <row r="30" spans="1:31" ht="15.6" customHeight="1">
      <c r="A30" s="54">
        <v>5</v>
      </c>
      <c r="B30" s="33" t="s">
        <v>106</v>
      </c>
      <c r="C30" s="49" t="s">
        <v>131</v>
      </c>
      <c r="D30" s="50">
        <v>1695</v>
      </c>
      <c r="E30" s="202">
        <f t="shared" si="10"/>
        <v>35000000</v>
      </c>
      <c r="F30" s="107">
        <v>0</v>
      </c>
      <c r="G30" s="107">
        <v>0</v>
      </c>
      <c r="H30" s="107">
        <v>7000000</v>
      </c>
      <c r="I30" s="107">
        <v>7000000</v>
      </c>
      <c r="J30" s="107">
        <v>7000000</v>
      </c>
      <c r="K30" s="107">
        <v>7000000</v>
      </c>
      <c r="L30" s="107">
        <v>7000000</v>
      </c>
      <c r="M30" s="107">
        <v>90000000</v>
      </c>
      <c r="N30" s="107">
        <f t="shared" si="11"/>
        <v>12857142.857142856</v>
      </c>
      <c r="O30" s="108">
        <f t="shared" si="12"/>
        <v>0.3888888888888889</v>
      </c>
      <c r="P30" s="109">
        <f>'Tổng tuần'!H7</f>
        <v>20025000</v>
      </c>
      <c r="Q30" s="109">
        <f>'Tổng tuần'!F7</f>
        <v>13879712.727272727</v>
      </c>
      <c r="R30" s="41">
        <f t="shared" si="13"/>
        <v>0.6931192373169901</v>
      </c>
      <c r="S30" s="112">
        <f t="shared" si="14"/>
        <v>14000000</v>
      </c>
      <c r="T30" s="112">
        <f t="shared" si="15"/>
        <v>21000000</v>
      </c>
    </row>
    <row r="31" spans="1:31" ht="15.6" customHeight="1">
      <c r="A31" s="54">
        <v>6</v>
      </c>
      <c r="B31" s="33" t="s">
        <v>94</v>
      </c>
      <c r="C31" s="49" t="s">
        <v>132</v>
      </c>
      <c r="D31" s="50">
        <v>9330</v>
      </c>
      <c r="E31" s="202">
        <f t="shared" si="10"/>
        <v>25000000</v>
      </c>
      <c r="F31" s="107">
        <v>0</v>
      </c>
      <c r="G31" s="107">
        <v>0</v>
      </c>
      <c r="H31" s="107">
        <v>5000000</v>
      </c>
      <c r="I31" s="107">
        <v>5000000</v>
      </c>
      <c r="J31" s="107">
        <v>5000000</v>
      </c>
      <c r="K31" s="107">
        <v>5000000</v>
      </c>
      <c r="L31" s="107">
        <v>5000000</v>
      </c>
      <c r="M31" s="107">
        <v>70000000</v>
      </c>
      <c r="N31" s="107">
        <f t="shared" si="11"/>
        <v>10000000</v>
      </c>
      <c r="O31" s="108">
        <f t="shared" si="12"/>
        <v>0.35714285714285715</v>
      </c>
      <c r="P31" s="109">
        <f>'Tổng tuần'!H8</f>
        <v>37855000</v>
      </c>
      <c r="Q31" s="109">
        <f>'Tổng tuần'!F8</f>
        <v>22099760</v>
      </c>
      <c r="R31" s="41">
        <f t="shared" si="13"/>
        <v>0.58380029058248584</v>
      </c>
      <c r="S31" s="112">
        <f t="shared" si="14"/>
        <v>10000000</v>
      </c>
      <c r="T31" s="112">
        <f t="shared" si="15"/>
        <v>15000000</v>
      </c>
    </row>
    <row r="32" spans="1:31" ht="17.399999999999999" hidden="1" customHeight="1">
      <c r="A32" s="54">
        <v>7</v>
      </c>
      <c r="B32" s="48"/>
      <c r="C32" s="54"/>
      <c r="D32" s="54"/>
      <c r="E32" s="202">
        <f t="shared" si="10"/>
        <v>0</v>
      </c>
      <c r="F32" s="107"/>
      <c r="G32" s="107"/>
      <c r="H32" s="107"/>
      <c r="I32" s="107"/>
      <c r="J32" s="107"/>
      <c r="K32" s="107"/>
      <c r="L32" s="107"/>
      <c r="M32" s="107"/>
      <c r="N32" s="107">
        <f t="shared" si="11"/>
        <v>0</v>
      </c>
      <c r="O32" s="108">
        <f t="shared" si="12"/>
        <v>0</v>
      </c>
      <c r="P32" s="121"/>
      <c r="Q32" s="121"/>
      <c r="R32" s="41" t="e">
        <f t="shared" si="13"/>
        <v>#DIV/0!</v>
      </c>
      <c r="S32" s="112">
        <f t="shared" si="14"/>
        <v>0</v>
      </c>
      <c r="T32" s="112">
        <f t="shared" si="15"/>
        <v>0</v>
      </c>
    </row>
    <row r="33" spans="1:31" ht="13.2" hidden="1" customHeight="1">
      <c r="A33" s="54">
        <v>8</v>
      </c>
      <c r="B33" s="54"/>
      <c r="C33" s="54"/>
      <c r="D33" s="54"/>
      <c r="E33" s="202">
        <f t="shared" si="10"/>
        <v>0</v>
      </c>
      <c r="F33" s="107"/>
      <c r="G33" s="107"/>
      <c r="H33" s="107"/>
      <c r="I33" s="107"/>
      <c r="J33" s="107"/>
      <c r="K33" s="107"/>
      <c r="L33" s="107"/>
      <c r="M33" s="107"/>
      <c r="N33" s="107">
        <f t="shared" si="11"/>
        <v>0</v>
      </c>
      <c r="O33" s="108">
        <f t="shared" si="12"/>
        <v>0</v>
      </c>
      <c r="P33" s="121"/>
      <c r="Q33" s="121"/>
      <c r="R33" s="41" t="e">
        <f t="shared" si="13"/>
        <v>#DIV/0!</v>
      </c>
      <c r="S33" s="112">
        <f t="shared" si="14"/>
        <v>0</v>
      </c>
      <c r="T33" s="112">
        <f t="shared" si="15"/>
        <v>0</v>
      </c>
    </row>
    <row r="34" spans="1:31" ht="13.8" customHeight="1">
      <c r="A34" s="383" t="s">
        <v>133</v>
      </c>
      <c r="B34" s="384"/>
      <c r="C34" s="125"/>
      <c r="D34" s="125"/>
      <c r="E34" s="127">
        <f t="shared" ref="E34:M34" si="16">SUM(E26:E33)</f>
        <v>365000000</v>
      </c>
      <c r="F34" s="127">
        <f t="shared" si="16"/>
        <v>0</v>
      </c>
      <c r="G34" s="127">
        <f t="shared" si="16"/>
        <v>0</v>
      </c>
      <c r="H34" s="127">
        <f t="shared" si="16"/>
        <v>73000000</v>
      </c>
      <c r="I34" s="127">
        <f t="shared" si="16"/>
        <v>73000000</v>
      </c>
      <c r="J34" s="127">
        <f t="shared" si="16"/>
        <v>73000000</v>
      </c>
      <c r="K34" s="127">
        <f t="shared" si="16"/>
        <v>73000000</v>
      </c>
      <c r="L34" s="127">
        <f t="shared" si="16"/>
        <v>73000000</v>
      </c>
      <c r="M34" s="130">
        <f t="shared" si="16"/>
        <v>990000000</v>
      </c>
      <c r="N34" s="127">
        <f t="shared" si="11"/>
        <v>141428571.42857143</v>
      </c>
      <c r="O34" s="129">
        <f t="shared" si="12"/>
        <v>0.36868686868686867</v>
      </c>
      <c r="P34" s="121"/>
      <c r="Q34" s="121"/>
      <c r="R34" s="41" t="e">
        <f t="shared" si="13"/>
        <v>#DIV/0!</v>
      </c>
      <c r="S34" s="130">
        <f t="shared" si="14"/>
        <v>146000000</v>
      </c>
      <c r="T34" s="130">
        <f t="shared" si="15"/>
        <v>219000000</v>
      </c>
      <c r="U34" s="325"/>
      <c r="V34" s="325"/>
      <c r="W34" s="325"/>
      <c r="X34" s="325"/>
      <c r="Y34" s="325"/>
      <c r="Z34" s="325"/>
      <c r="AA34" s="325"/>
      <c r="AB34" s="325"/>
      <c r="AC34" s="325"/>
      <c r="AD34" s="325"/>
      <c r="AE34" s="325"/>
    </row>
    <row r="35" spans="1:31" ht="13.2" customHeight="1">
      <c r="P35" s="325"/>
      <c r="Q35" s="325"/>
      <c r="R35" s="325"/>
      <c r="T35" s="54"/>
    </row>
    <row r="36" spans="1:31" ht="15.6" customHeight="1">
      <c r="A36" s="54">
        <v>1</v>
      </c>
      <c r="B36" s="69" t="s">
        <v>46</v>
      </c>
      <c r="C36" s="54"/>
      <c r="D36" s="54"/>
      <c r="E36" s="54">
        <f>F36+G36+H36+I36+J36+K36+L36</f>
        <v>0</v>
      </c>
      <c r="F36" s="131"/>
      <c r="G36" s="131"/>
      <c r="H36" s="131"/>
      <c r="I36" s="131"/>
      <c r="J36" s="131"/>
      <c r="K36" s="131"/>
      <c r="L36" s="131"/>
      <c r="M36" s="131"/>
      <c r="N36" s="131">
        <f t="shared" ref="N36:N41" si="17">M36/7</f>
        <v>0</v>
      </c>
      <c r="O36" s="131" t="e">
        <f t="shared" ref="O36:O41" si="18">E36/M36</f>
        <v>#DIV/0!</v>
      </c>
      <c r="P36" s="109">
        <f>'Tổng tuần'!H13</f>
        <v>31780000</v>
      </c>
      <c r="Q36" s="109">
        <f>'Tổng tuần'!F13</f>
        <v>19610390.909090906</v>
      </c>
      <c r="R36" s="133">
        <f t="shared" ref="R36:R41" si="19">Q36/P36</f>
        <v>0.61706705189084032</v>
      </c>
      <c r="S36" s="131"/>
      <c r="T36" s="131"/>
    </row>
    <row r="37" spans="1:31" ht="13.2" customHeight="1">
      <c r="A37" s="54">
        <v>2</v>
      </c>
      <c r="B37" s="54"/>
      <c r="C37" s="54"/>
      <c r="D37" s="54"/>
      <c r="E37" s="54">
        <f>F37+G37+H37+I37+J37+K37+L37</f>
        <v>0</v>
      </c>
      <c r="F37" s="131"/>
      <c r="G37" s="131"/>
      <c r="H37" s="131"/>
      <c r="I37" s="131"/>
      <c r="J37" s="131"/>
      <c r="K37" s="131"/>
      <c r="L37" s="131"/>
      <c r="M37" s="131"/>
      <c r="N37" s="131">
        <f t="shared" si="17"/>
        <v>0</v>
      </c>
      <c r="O37" s="131" t="e">
        <f t="shared" si="18"/>
        <v>#DIV/0!</v>
      </c>
      <c r="P37" s="121"/>
      <c r="Q37" s="121"/>
      <c r="R37" s="133" t="e">
        <f t="shared" si="19"/>
        <v>#DIV/0!</v>
      </c>
      <c r="S37" s="131"/>
      <c r="T37" s="131"/>
    </row>
    <row r="38" spans="1:31" ht="13.2" customHeight="1">
      <c r="A38" s="54">
        <v>3</v>
      </c>
      <c r="B38" s="54"/>
      <c r="C38" s="54"/>
      <c r="D38" s="54"/>
      <c r="E38" s="54">
        <f>F38+G38+H38+I38+J38+K38+L38</f>
        <v>0</v>
      </c>
      <c r="F38" s="131"/>
      <c r="G38" s="131"/>
      <c r="H38" s="131"/>
      <c r="I38" s="131"/>
      <c r="J38" s="131"/>
      <c r="K38" s="131"/>
      <c r="L38" s="131"/>
      <c r="M38" s="131"/>
      <c r="N38" s="131">
        <f t="shared" si="17"/>
        <v>0</v>
      </c>
      <c r="O38" s="131" t="e">
        <f t="shared" si="18"/>
        <v>#DIV/0!</v>
      </c>
      <c r="P38" s="121"/>
      <c r="Q38" s="121"/>
      <c r="R38" s="133" t="e">
        <f t="shared" si="19"/>
        <v>#DIV/0!</v>
      </c>
      <c r="S38" s="131"/>
      <c r="T38" s="131"/>
    </row>
    <row r="39" spans="1:31" ht="13.2" customHeight="1">
      <c r="A39" s="54">
        <v>4</v>
      </c>
      <c r="B39" s="54"/>
      <c r="C39" s="54"/>
      <c r="D39" s="54"/>
      <c r="E39" s="54">
        <f>F39+G39+H39+I39+J39+K39+L39</f>
        <v>0</v>
      </c>
      <c r="F39" s="131"/>
      <c r="G39" s="131"/>
      <c r="H39" s="131"/>
      <c r="I39" s="131"/>
      <c r="J39" s="131"/>
      <c r="K39" s="131"/>
      <c r="L39" s="131"/>
      <c r="M39" s="131"/>
      <c r="N39" s="131">
        <f t="shared" si="17"/>
        <v>0</v>
      </c>
      <c r="O39" s="131" t="e">
        <f t="shared" si="18"/>
        <v>#DIV/0!</v>
      </c>
      <c r="P39" s="121"/>
      <c r="Q39" s="121"/>
      <c r="R39" s="133" t="e">
        <f t="shared" si="19"/>
        <v>#DIV/0!</v>
      </c>
      <c r="S39" s="131"/>
      <c r="T39" s="131"/>
    </row>
    <row r="40" spans="1:31" ht="13.2" customHeight="1">
      <c r="A40" s="54">
        <v>5</v>
      </c>
      <c r="B40" s="54"/>
      <c r="C40" s="54"/>
      <c r="D40" s="54"/>
      <c r="E40" s="54">
        <f>F40+G40+H40+I40+J40+K40+L40</f>
        <v>0</v>
      </c>
      <c r="F40" s="131"/>
      <c r="G40" s="131"/>
      <c r="H40" s="131"/>
      <c r="I40" s="131"/>
      <c r="J40" s="131"/>
      <c r="K40" s="131"/>
      <c r="L40" s="131"/>
      <c r="M40" s="131"/>
      <c r="N40" s="131">
        <f t="shared" si="17"/>
        <v>0</v>
      </c>
      <c r="O40" s="131" t="e">
        <f t="shared" si="18"/>
        <v>#DIV/0!</v>
      </c>
      <c r="P40" s="121"/>
      <c r="Q40" s="121"/>
      <c r="R40" s="133" t="e">
        <f t="shared" si="19"/>
        <v>#DIV/0!</v>
      </c>
      <c r="S40" s="131"/>
      <c r="T40" s="131"/>
    </row>
    <row r="41" spans="1:31" ht="13.8" customHeight="1">
      <c r="A41" s="383" t="s">
        <v>134</v>
      </c>
      <c r="B41" s="384"/>
      <c r="C41" s="125"/>
      <c r="D41" s="125"/>
      <c r="E41" s="125">
        <f t="shared" ref="E41:M41" si="20">SUM(E36:E40)</f>
        <v>0</v>
      </c>
      <c r="F41" s="125">
        <f t="shared" si="20"/>
        <v>0</v>
      </c>
      <c r="G41" s="125">
        <f t="shared" si="20"/>
        <v>0</v>
      </c>
      <c r="H41" s="125">
        <f t="shared" si="20"/>
        <v>0</v>
      </c>
      <c r="I41" s="125">
        <f t="shared" si="20"/>
        <v>0</v>
      </c>
      <c r="J41" s="125">
        <f t="shared" si="20"/>
        <v>0</v>
      </c>
      <c r="K41" s="125">
        <f t="shared" si="20"/>
        <v>0</v>
      </c>
      <c r="L41" s="125">
        <f t="shared" si="20"/>
        <v>0</v>
      </c>
      <c r="M41" s="125">
        <f t="shared" si="20"/>
        <v>0</v>
      </c>
      <c r="N41" s="138">
        <f t="shared" si="17"/>
        <v>0</v>
      </c>
      <c r="O41" s="138" t="e">
        <f t="shared" si="18"/>
        <v>#DIV/0!</v>
      </c>
      <c r="P41" s="125"/>
      <c r="Q41" s="125"/>
      <c r="R41" s="41" t="e">
        <f t="shared" si="19"/>
        <v>#DIV/0!</v>
      </c>
      <c r="S41" s="125"/>
      <c r="T41" s="125"/>
      <c r="U41" s="325"/>
      <c r="V41" s="325"/>
      <c r="W41" s="325"/>
      <c r="X41" s="325"/>
      <c r="Y41" s="325"/>
      <c r="Z41" s="325"/>
      <c r="AA41" s="325"/>
      <c r="AB41" s="325"/>
      <c r="AC41" s="325"/>
      <c r="AD41" s="325"/>
      <c r="AE41" s="325"/>
    </row>
    <row r="42" spans="1:31" ht="13.2" customHeight="1">
      <c r="P42" s="325"/>
      <c r="Q42" s="325"/>
      <c r="R42" s="325"/>
      <c r="T42" s="54"/>
    </row>
    <row r="43" spans="1:31" ht="23.25" customHeight="1">
      <c r="A43" s="385" t="s">
        <v>135</v>
      </c>
      <c r="B43" s="384"/>
      <c r="C43" s="141"/>
      <c r="D43" s="141"/>
      <c r="E43" s="84">
        <f t="shared" ref="E43:N43" si="21">E41+E34</f>
        <v>365000000</v>
      </c>
      <c r="F43" s="84">
        <f t="shared" si="21"/>
        <v>0</v>
      </c>
      <c r="G43" s="84">
        <f t="shared" si="21"/>
        <v>0</v>
      </c>
      <c r="H43" s="84">
        <f t="shared" si="21"/>
        <v>73000000</v>
      </c>
      <c r="I43" s="84">
        <f t="shared" si="21"/>
        <v>73000000</v>
      </c>
      <c r="J43" s="84">
        <f t="shared" si="21"/>
        <v>73000000</v>
      </c>
      <c r="K43" s="84">
        <f t="shared" si="21"/>
        <v>73000000</v>
      </c>
      <c r="L43" s="84">
        <f t="shared" si="21"/>
        <v>73000000</v>
      </c>
      <c r="M43" s="84">
        <f t="shared" si="21"/>
        <v>990000000</v>
      </c>
      <c r="N43" s="84">
        <f t="shared" si="21"/>
        <v>141428571.42857143</v>
      </c>
      <c r="O43" s="145">
        <f>E43/M43</f>
        <v>0.36868686868686867</v>
      </c>
      <c r="P43" s="84">
        <f>P41+P34</f>
        <v>0</v>
      </c>
      <c r="Q43" s="84">
        <f>Q41+Q34</f>
        <v>0</v>
      </c>
      <c r="R43" s="146" t="e">
        <f>Q43/P43</f>
        <v>#DIV/0!</v>
      </c>
      <c r="S43" s="84">
        <f>S41+S34</f>
        <v>146000000</v>
      </c>
      <c r="T43" s="84">
        <f>T41+T34</f>
        <v>219000000</v>
      </c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</row>
    <row r="46" spans="1:31" ht="13.2" customHeight="1">
      <c r="A46" s="386" t="s">
        <v>149</v>
      </c>
      <c r="B46" s="380"/>
      <c r="C46" s="380"/>
      <c r="D46" s="380"/>
    </row>
    <row r="47" spans="1:31" ht="52.2" customHeight="1">
      <c r="A47" s="90" t="s">
        <v>0</v>
      </c>
      <c r="B47" s="91" t="s">
        <v>19</v>
      </c>
      <c r="C47" s="14" t="s">
        <v>7</v>
      </c>
      <c r="D47" s="154" t="s">
        <v>8</v>
      </c>
      <c r="E47" s="92" t="s">
        <v>137</v>
      </c>
      <c r="F47" s="93" t="s">
        <v>138</v>
      </c>
      <c r="G47" s="94" t="s">
        <v>139</v>
      </c>
      <c r="H47" s="95" t="s">
        <v>140</v>
      </c>
      <c r="I47" s="96" t="s">
        <v>141</v>
      </c>
      <c r="J47" s="97" t="s">
        <v>142</v>
      </c>
      <c r="K47" s="98" t="s">
        <v>143</v>
      </c>
      <c r="L47" s="148" t="s">
        <v>144</v>
      </c>
      <c r="M47" s="100" t="s">
        <v>145</v>
      </c>
      <c r="N47" s="101" t="s">
        <v>146</v>
      </c>
      <c r="O47" s="101" t="s">
        <v>124</v>
      </c>
      <c r="P47" s="102" t="s">
        <v>125</v>
      </c>
      <c r="Q47" s="103" t="s">
        <v>126</v>
      </c>
      <c r="R47" s="102" t="s">
        <v>124</v>
      </c>
      <c r="S47" s="104" t="s">
        <v>150</v>
      </c>
      <c r="T47" s="104" t="s">
        <v>151</v>
      </c>
      <c r="U47" s="105"/>
    </row>
    <row r="48" spans="1:31" ht="15.6" customHeight="1">
      <c r="A48" s="54">
        <v>1</v>
      </c>
      <c r="B48" s="33" t="s">
        <v>29</v>
      </c>
      <c r="C48" s="49" t="s">
        <v>127</v>
      </c>
      <c r="D48" s="50">
        <v>7923</v>
      </c>
      <c r="E48" s="202">
        <f t="shared" ref="E48:E55" si="22">F48+G48+H48+I48+J48+K48+L48</f>
        <v>154000000</v>
      </c>
      <c r="F48" s="107">
        <v>22000000</v>
      </c>
      <c r="G48" s="107">
        <v>22000000</v>
      </c>
      <c r="H48" s="107">
        <v>22000000</v>
      </c>
      <c r="I48" s="107">
        <v>22000000</v>
      </c>
      <c r="J48" s="107">
        <v>22000000</v>
      </c>
      <c r="K48" s="107">
        <v>22000000</v>
      </c>
      <c r="L48" s="107">
        <v>22000000</v>
      </c>
      <c r="M48" s="107">
        <v>300000000</v>
      </c>
      <c r="N48" s="107">
        <f t="shared" ref="N48:N56" si="23">M48/7</f>
        <v>42857142.857142858</v>
      </c>
      <c r="O48" s="108">
        <f t="shared" ref="O48:O56" si="24">E48/M48</f>
        <v>0.51333333333333331</v>
      </c>
      <c r="P48" s="109">
        <f>'Tổng tuần'!M3</f>
        <v>273120000</v>
      </c>
      <c r="Q48" s="109">
        <f>'Tổng tuần'!K3</f>
        <v>190718432.72727275</v>
      </c>
      <c r="R48" s="133">
        <f t="shared" ref="R48:R56" si="25">Q48/P48</f>
        <v>0.69829537466048897</v>
      </c>
      <c r="S48" s="112">
        <f t="shared" ref="S48:S54" si="26">SUM(F48:I48)</f>
        <v>88000000</v>
      </c>
      <c r="T48" s="112">
        <f t="shared" ref="T48:T53" si="27">SUM(J48:L48)</f>
        <v>66000000</v>
      </c>
    </row>
    <row r="49" spans="1:31" ht="15.6" customHeight="1">
      <c r="A49" s="54">
        <v>2</v>
      </c>
      <c r="B49" s="33" t="s">
        <v>54</v>
      </c>
      <c r="C49" s="49" t="s">
        <v>128</v>
      </c>
      <c r="D49" s="50">
        <v>9793</v>
      </c>
      <c r="E49" s="202">
        <f t="shared" si="22"/>
        <v>93000000</v>
      </c>
      <c r="F49" s="107">
        <v>12000000</v>
      </c>
      <c r="G49" s="107">
        <v>12000000</v>
      </c>
      <c r="H49" s="107">
        <v>12000000</v>
      </c>
      <c r="I49" s="107">
        <v>12000000</v>
      </c>
      <c r="J49" s="107">
        <v>15000000</v>
      </c>
      <c r="K49" s="107">
        <v>15000000</v>
      </c>
      <c r="L49" s="107">
        <v>15000000</v>
      </c>
      <c r="M49" s="107">
        <v>200000000</v>
      </c>
      <c r="N49" s="107">
        <f t="shared" si="23"/>
        <v>28571428.571428571</v>
      </c>
      <c r="O49" s="108">
        <f t="shared" si="24"/>
        <v>0.46500000000000002</v>
      </c>
      <c r="P49" s="109">
        <f>'Tổng tuần'!M4</f>
        <v>138775000</v>
      </c>
      <c r="Q49" s="109">
        <f>'Tổng tuần'!K4</f>
        <v>71726646.36363636</v>
      </c>
      <c r="R49" s="133">
        <f t="shared" si="25"/>
        <v>0.5168556754720689</v>
      </c>
      <c r="S49" s="112">
        <f t="shared" si="26"/>
        <v>48000000</v>
      </c>
      <c r="T49" s="112">
        <f t="shared" si="27"/>
        <v>45000000</v>
      </c>
    </row>
    <row r="50" spans="1:31" ht="15.6" customHeight="1">
      <c r="A50" s="54">
        <v>3</v>
      </c>
      <c r="B50" s="33" t="s">
        <v>79</v>
      </c>
      <c r="C50" s="49" t="s">
        <v>129</v>
      </c>
      <c r="D50" s="50">
        <v>8384</v>
      </c>
      <c r="E50" s="202">
        <f t="shared" si="22"/>
        <v>105000000</v>
      </c>
      <c r="F50" s="107">
        <v>15000000</v>
      </c>
      <c r="G50" s="107">
        <v>15000000</v>
      </c>
      <c r="H50" s="107">
        <v>15000000</v>
      </c>
      <c r="I50" s="107">
        <v>15000000</v>
      </c>
      <c r="J50" s="107">
        <v>15000000</v>
      </c>
      <c r="K50" s="107">
        <v>15000000</v>
      </c>
      <c r="L50" s="107">
        <v>15000000</v>
      </c>
      <c r="M50" s="107">
        <v>200000000</v>
      </c>
      <c r="N50" s="107">
        <f t="shared" si="23"/>
        <v>28571428.571428571</v>
      </c>
      <c r="O50" s="108">
        <f t="shared" si="24"/>
        <v>0.52500000000000002</v>
      </c>
      <c r="P50" s="109">
        <f>'Tổng tuần'!M5</f>
        <v>77165000</v>
      </c>
      <c r="Q50" s="109">
        <f>'Tổng tuần'!K5</f>
        <v>66971430.909090906</v>
      </c>
      <c r="R50" s="133">
        <f t="shared" si="25"/>
        <v>0.86789905927675637</v>
      </c>
      <c r="S50" s="112">
        <f t="shared" si="26"/>
        <v>60000000</v>
      </c>
      <c r="T50" s="112">
        <f t="shared" si="27"/>
        <v>45000000</v>
      </c>
    </row>
    <row r="51" spans="1:31" ht="15.6" customHeight="1">
      <c r="A51" s="54">
        <v>4</v>
      </c>
      <c r="B51" s="33" t="s">
        <v>67</v>
      </c>
      <c r="C51" s="49" t="s">
        <v>130</v>
      </c>
      <c r="D51" s="50">
        <v>8879</v>
      </c>
      <c r="E51" s="202">
        <f t="shared" si="22"/>
        <v>84000000</v>
      </c>
      <c r="F51" s="107">
        <v>12000000</v>
      </c>
      <c r="G51" s="107">
        <v>12000000</v>
      </c>
      <c r="H51" s="107">
        <v>12000000</v>
      </c>
      <c r="I51" s="107">
        <v>12000000</v>
      </c>
      <c r="J51" s="107">
        <v>12000000</v>
      </c>
      <c r="K51" s="107">
        <v>12000000</v>
      </c>
      <c r="L51" s="107">
        <v>12000000</v>
      </c>
      <c r="M51" s="107">
        <v>160000000</v>
      </c>
      <c r="N51" s="107">
        <f t="shared" si="23"/>
        <v>22857142.857142858</v>
      </c>
      <c r="O51" s="108">
        <f t="shared" si="24"/>
        <v>0.52500000000000002</v>
      </c>
      <c r="P51" s="109">
        <f>'Tổng tuần'!M6</f>
        <v>64845000</v>
      </c>
      <c r="Q51" s="109">
        <f>'Tổng tuần'!K6</f>
        <v>55419126.363636352</v>
      </c>
      <c r="R51" s="133">
        <f t="shared" si="25"/>
        <v>0.85463993158510831</v>
      </c>
      <c r="S51" s="112">
        <f t="shared" si="26"/>
        <v>48000000</v>
      </c>
      <c r="T51" s="112">
        <f t="shared" si="27"/>
        <v>36000000</v>
      </c>
    </row>
    <row r="52" spans="1:31" ht="15.6" customHeight="1">
      <c r="A52" s="54">
        <v>5</v>
      </c>
      <c r="B52" s="33" t="s">
        <v>106</v>
      </c>
      <c r="C52" s="49" t="s">
        <v>131</v>
      </c>
      <c r="D52" s="50">
        <v>1695</v>
      </c>
      <c r="E52" s="202">
        <f t="shared" si="22"/>
        <v>49000000</v>
      </c>
      <c r="F52" s="107">
        <v>7000000</v>
      </c>
      <c r="G52" s="107">
        <v>7000000</v>
      </c>
      <c r="H52" s="107">
        <v>7000000</v>
      </c>
      <c r="I52" s="107">
        <v>7000000</v>
      </c>
      <c r="J52" s="107">
        <v>7000000</v>
      </c>
      <c r="K52" s="107">
        <v>7000000</v>
      </c>
      <c r="L52" s="107">
        <v>7000000</v>
      </c>
      <c r="M52" s="107">
        <v>90000000</v>
      </c>
      <c r="N52" s="107">
        <f t="shared" si="23"/>
        <v>12857142.857142856</v>
      </c>
      <c r="O52" s="108">
        <f t="shared" si="24"/>
        <v>0.5444444444444444</v>
      </c>
      <c r="P52" s="109">
        <f>'Tổng tuần'!M7</f>
        <v>20935000</v>
      </c>
      <c r="Q52" s="109">
        <f>'Tổng tuần'!K7</f>
        <v>21805981.818181816</v>
      </c>
      <c r="R52" s="133">
        <f t="shared" si="25"/>
        <v>1.041604099268298</v>
      </c>
      <c r="S52" s="112">
        <f t="shared" si="26"/>
        <v>28000000</v>
      </c>
      <c r="T52" s="112">
        <f t="shared" si="27"/>
        <v>21000000</v>
      </c>
    </row>
    <row r="53" spans="1:31" ht="15.6" customHeight="1">
      <c r="A53" s="54">
        <v>6</v>
      </c>
      <c r="B53" s="33" t="s">
        <v>94</v>
      </c>
      <c r="C53" s="49" t="s">
        <v>132</v>
      </c>
      <c r="D53" s="50">
        <v>9330</v>
      </c>
      <c r="E53" s="202">
        <f t="shared" si="22"/>
        <v>35000000</v>
      </c>
      <c r="F53" s="107">
        <v>5000000</v>
      </c>
      <c r="G53" s="107">
        <v>5000000</v>
      </c>
      <c r="H53" s="107">
        <v>5000000</v>
      </c>
      <c r="I53" s="107">
        <v>5000000</v>
      </c>
      <c r="J53" s="107">
        <v>5000000</v>
      </c>
      <c r="K53" s="107">
        <v>5000000</v>
      </c>
      <c r="L53" s="107">
        <v>5000000</v>
      </c>
      <c r="M53" s="107">
        <v>70000000</v>
      </c>
      <c r="N53" s="107">
        <f t="shared" si="23"/>
        <v>10000000</v>
      </c>
      <c r="O53" s="107">
        <f t="shared" si="24"/>
        <v>0.5</v>
      </c>
      <c r="P53" s="109">
        <f>'Tổng tuần'!M8</f>
        <v>47040000</v>
      </c>
      <c r="Q53" s="109">
        <f>'Tổng tuần'!K8</f>
        <v>29074899.090909086</v>
      </c>
      <c r="R53" s="133">
        <f t="shared" si="25"/>
        <v>0.61808884121830543</v>
      </c>
      <c r="S53" s="112">
        <f t="shared" si="26"/>
        <v>20000000</v>
      </c>
      <c r="T53" s="112">
        <f t="shared" si="27"/>
        <v>15000000</v>
      </c>
    </row>
    <row r="54" spans="1:31" ht="17.399999999999999" hidden="1" customHeight="1">
      <c r="A54" s="54">
        <v>7</v>
      </c>
      <c r="B54" s="48"/>
      <c r="C54" s="54"/>
      <c r="D54" s="54"/>
      <c r="E54" s="202">
        <f t="shared" si="22"/>
        <v>0</v>
      </c>
      <c r="F54" s="131"/>
      <c r="G54" s="131"/>
      <c r="H54" s="131"/>
      <c r="I54" s="107"/>
      <c r="J54" s="107"/>
      <c r="K54" s="107"/>
      <c r="L54" s="107"/>
      <c r="M54" s="107"/>
      <c r="N54" s="107">
        <f t="shared" si="23"/>
        <v>0</v>
      </c>
      <c r="O54" s="107" t="e">
        <f t="shared" si="24"/>
        <v>#DIV/0!</v>
      </c>
      <c r="P54" s="121"/>
      <c r="Q54" s="121"/>
      <c r="R54" s="133" t="e">
        <f t="shared" si="25"/>
        <v>#DIV/0!</v>
      </c>
      <c r="S54" s="112">
        <f t="shared" si="26"/>
        <v>0</v>
      </c>
      <c r="T54" s="112"/>
    </row>
    <row r="55" spans="1:31" ht="13.2" hidden="1" customHeight="1">
      <c r="A55" s="54">
        <v>8</v>
      </c>
      <c r="B55" s="54"/>
      <c r="C55" s="54"/>
      <c r="D55" s="54"/>
      <c r="E55" s="202">
        <f t="shared" si="22"/>
        <v>0</v>
      </c>
      <c r="F55" s="131"/>
      <c r="G55" s="131"/>
      <c r="H55" s="131"/>
      <c r="I55" s="107"/>
      <c r="J55" s="107"/>
      <c r="K55" s="107"/>
      <c r="L55" s="107"/>
      <c r="M55" s="107"/>
      <c r="N55" s="107">
        <f t="shared" si="23"/>
        <v>0</v>
      </c>
      <c r="O55" s="107" t="e">
        <f t="shared" si="24"/>
        <v>#DIV/0!</v>
      </c>
      <c r="P55" s="121"/>
      <c r="Q55" s="121"/>
      <c r="R55" s="133" t="e">
        <f t="shared" si="25"/>
        <v>#DIV/0!</v>
      </c>
      <c r="S55" s="112"/>
      <c r="T55" s="112"/>
    </row>
    <row r="56" spans="1:31" ht="13.8" customHeight="1">
      <c r="A56" s="383" t="s">
        <v>133</v>
      </c>
      <c r="B56" s="384"/>
      <c r="C56" s="125"/>
      <c r="D56" s="125"/>
      <c r="E56" s="127">
        <f t="shared" ref="E56:M56" si="28">SUM(E48:E55)</f>
        <v>520000000</v>
      </c>
      <c r="F56" s="127">
        <f t="shared" si="28"/>
        <v>73000000</v>
      </c>
      <c r="G56" s="127">
        <f t="shared" si="28"/>
        <v>73000000</v>
      </c>
      <c r="H56" s="127">
        <f t="shared" si="28"/>
        <v>73000000</v>
      </c>
      <c r="I56" s="107">
        <f t="shared" si="28"/>
        <v>73000000</v>
      </c>
      <c r="J56" s="107">
        <f t="shared" si="28"/>
        <v>76000000</v>
      </c>
      <c r="K56" s="107">
        <f t="shared" si="28"/>
        <v>76000000</v>
      </c>
      <c r="L56" s="107">
        <f t="shared" si="28"/>
        <v>76000000</v>
      </c>
      <c r="M56" s="107">
        <f t="shared" si="28"/>
        <v>1020000000</v>
      </c>
      <c r="N56" s="107">
        <f t="shared" si="23"/>
        <v>145714285.7142857</v>
      </c>
      <c r="O56" s="107">
        <f t="shared" si="24"/>
        <v>0.50980392156862742</v>
      </c>
      <c r="P56" s="125"/>
      <c r="Q56" s="125"/>
      <c r="R56" s="41" t="e">
        <f t="shared" si="25"/>
        <v>#DIV/0!</v>
      </c>
      <c r="S56" s="130">
        <f>SUM(S48:S53)</f>
        <v>292000000</v>
      </c>
      <c r="T56" s="130">
        <f>SUM(T48:T53)</f>
        <v>228000000</v>
      </c>
      <c r="U56" s="325"/>
      <c r="V56" s="325"/>
      <c r="W56" s="325"/>
      <c r="X56" s="325"/>
      <c r="Y56" s="325"/>
      <c r="Z56" s="325"/>
      <c r="AA56" s="325"/>
      <c r="AB56" s="325"/>
      <c r="AC56" s="325"/>
      <c r="AD56" s="325"/>
      <c r="AE56" s="325"/>
    </row>
    <row r="57" spans="1:31" ht="13.2" customHeight="1">
      <c r="I57" s="107"/>
      <c r="J57" s="107"/>
      <c r="K57" s="107"/>
      <c r="L57" s="107"/>
      <c r="M57" s="107"/>
      <c r="N57" s="107"/>
      <c r="O57" s="107"/>
      <c r="P57" s="325"/>
      <c r="Q57" s="325"/>
      <c r="R57" s="325"/>
      <c r="T57" s="54"/>
    </row>
    <row r="58" spans="1:31" ht="15.6" customHeight="1">
      <c r="A58" s="54">
        <v>1</v>
      </c>
      <c r="B58" s="69" t="s">
        <v>46</v>
      </c>
      <c r="C58" s="54"/>
      <c r="D58" s="54"/>
      <c r="E58" s="54">
        <f>F58+G58+H58+I58+J58+K58+L58</f>
        <v>0</v>
      </c>
      <c r="F58" s="54"/>
      <c r="G58" s="54"/>
      <c r="H58" s="54"/>
      <c r="I58" s="54"/>
      <c r="J58" s="54"/>
      <c r="K58" s="54"/>
      <c r="L58" s="54"/>
      <c r="M58" s="54"/>
      <c r="N58" s="54">
        <f t="shared" ref="N58:N63" si="29">M58/7</f>
        <v>0</v>
      </c>
      <c r="O58" s="54" t="e">
        <f t="shared" ref="O58:O63" si="30">E58/M58</f>
        <v>#DIV/0!</v>
      </c>
      <c r="P58" s="43">
        <f>'Tổng tuần'!M13</f>
        <v>12290000</v>
      </c>
      <c r="Q58" s="43">
        <f>'Tổng tuần'!K13</f>
        <v>27648778.18181818</v>
      </c>
      <c r="R58" s="41">
        <f t="shared" ref="R58:R63" si="31">Q58/P58</f>
        <v>2.2496971669502179</v>
      </c>
      <c r="S58" s="54"/>
      <c r="T58" s="54"/>
    </row>
    <row r="59" spans="1:31" ht="13.2" customHeight="1">
      <c r="A59" s="54">
        <v>2</v>
      </c>
      <c r="B59" s="54"/>
      <c r="C59" s="54"/>
      <c r="D59" s="54"/>
      <c r="E59" s="54">
        <f>F59+G59+H59+I59+J59+K59+L59</f>
        <v>0</v>
      </c>
      <c r="F59" s="54"/>
      <c r="G59" s="54"/>
      <c r="H59" s="54"/>
      <c r="I59" s="54"/>
      <c r="J59" s="54"/>
      <c r="K59" s="54"/>
      <c r="L59" s="54"/>
      <c r="M59" s="54"/>
      <c r="N59" s="54">
        <f t="shared" si="29"/>
        <v>0</v>
      </c>
      <c r="O59" s="54" t="e">
        <f t="shared" si="30"/>
        <v>#DIV/0!</v>
      </c>
      <c r="P59" s="125"/>
      <c r="Q59" s="125"/>
      <c r="R59" s="41" t="e">
        <f t="shared" si="31"/>
        <v>#DIV/0!</v>
      </c>
      <c r="S59" s="54"/>
      <c r="T59" s="54"/>
    </row>
    <row r="60" spans="1:31" ht="13.2" customHeight="1">
      <c r="A60" s="54">
        <v>3</v>
      </c>
      <c r="B60" s="54"/>
      <c r="C60" s="54"/>
      <c r="D60" s="54"/>
      <c r="E60" s="54">
        <f>F60+G60+H60+I60+J60+K60+L60</f>
        <v>0</v>
      </c>
      <c r="F60" s="54"/>
      <c r="G60" s="54"/>
      <c r="H60" s="54"/>
      <c r="I60" s="54"/>
      <c r="J60" s="54"/>
      <c r="K60" s="54"/>
      <c r="L60" s="54"/>
      <c r="M60" s="54"/>
      <c r="N60" s="54">
        <f t="shared" si="29"/>
        <v>0</v>
      </c>
      <c r="O60" s="54" t="e">
        <f t="shared" si="30"/>
        <v>#DIV/0!</v>
      </c>
      <c r="P60" s="125"/>
      <c r="Q60" s="125"/>
      <c r="R60" s="41" t="e">
        <f t="shared" si="31"/>
        <v>#DIV/0!</v>
      </c>
      <c r="S60" s="54"/>
      <c r="T60" s="54"/>
    </row>
    <row r="61" spans="1:31" ht="13.2" customHeight="1">
      <c r="A61" s="54">
        <v>4</v>
      </c>
      <c r="B61" s="54"/>
      <c r="C61" s="54"/>
      <c r="D61" s="54"/>
      <c r="E61" s="54">
        <f>F61+G61+H61+I61+J61+K61+L61</f>
        <v>0</v>
      </c>
      <c r="F61" s="54"/>
      <c r="G61" s="54"/>
      <c r="H61" s="54"/>
      <c r="I61" s="54"/>
      <c r="J61" s="54"/>
      <c r="K61" s="54"/>
      <c r="L61" s="54"/>
      <c r="M61" s="54"/>
      <c r="N61" s="54">
        <f t="shared" si="29"/>
        <v>0</v>
      </c>
      <c r="O61" s="54" t="e">
        <f t="shared" si="30"/>
        <v>#DIV/0!</v>
      </c>
      <c r="P61" s="125"/>
      <c r="Q61" s="125"/>
      <c r="R61" s="41" t="e">
        <f t="shared" si="31"/>
        <v>#DIV/0!</v>
      </c>
      <c r="S61" s="54"/>
      <c r="T61" s="54"/>
    </row>
    <row r="62" spans="1:31" ht="13.2" customHeight="1">
      <c r="A62" s="54">
        <v>5</v>
      </c>
      <c r="B62" s="54"/>
      <c r="C62" s="54"/>
      <c r="D62" s="54"/>
      <c r="E62" s="54">
        <f>F62+G62+H62+I62+J62+K62+L62</f>
        <v>0</v>
      </c>
      <c r="F62" s="54"/>
      <c r="G62" s="54"/>
      <c r="H62" s="54"/>
      <c r="I62" s="54"/>
      <c r="J62" s="54"/>
      <c r="K62" s="54"/>
      <c r="L62" s="54"/>
      <c r="M62" s="54"/>
      <c r="N62" s="54">
        <f t="shared" si="29"/>
        <v>0</v>
      </c>
      <c r="O62" s="54" t="e">
        <f t="shared" si="30"/>
        <v>#DIV/0!</v>
      </c>
      <c r="P62" s="125"/>
      <c r="Q62" s="125"/>
      <c r="R62" s="41" t="e">
        <f t="shared" si="31"/>
        <v>#DIV/0!</v>
      </c>
      <c r="S62" s="54"/>
      <c r="T62" s="54"/>
    </row>
    <row r="63" spans="1:31" ht="13.8" customHeight="1">
      <c r="A63" s="383" t="s">
        <v>134</v>
      </c>
      <c r="B63" s="384"/>
      <c r="C63" s="125"/>
      <c r="D63" s="125"/>
      <c r="E63" s="125">
        <f t="shared" ref="E63:M63" si="32">SUM(E58:E62)</f>
        <v>0</v>
      </c>
      <c r="F63" s="125">
        <f t="shared" si="32"/>
        <v>0</v>
      </c>
      <c r="G63" s="125">
        <f t="shared" si="32"/>
        <v>0</v>
      </c>
      <c r="H63" s="125">
        <f t="shared" si="32"/>
        <v>0</v>
      </c>
      <c r="I63" s="125">
        <f t="shared" si="32"/>
        <v>0</v>
      </c>
      <c r="J63" s="125">
        <f t="shared" si="32"/>
        <v>0</v>
      </c>
      <c r="K63" s="125">
        <f t="shared" si="32"/>
        <v>0</v>
      </c>
      <c r="L63" s="125">
        <f t="shared" si="32"/>
        <v>0</v>
      </c>
      <c r="M63" s="125">
        <f t="shared" si="32"/>
        <v>0</v>
      </c>
      <c r="N63" s="138">
        <f t="shared" si="29"/>
        <v>0</v>
      </c>
      <c r="O63" s="138" t="e">
        <f t="shared" si="30"/>
        <v>#DIV/0!</v>
      </c>
      <c r="P63" s="125"/>
      <c r="Q63" s="125"/>
      <c r="R63" s="41" t="e">
        <f t="shared" si="31"/>
        <v>#DIV/0!</v>
      </c>
      <c r="S63" s="125"/>
      <c r="T63" s="125"/>
      <c r="U63" s="325"/>
      <c r="V63" s="325"/>
      <c r="W63" s="325"/>
      <c r="X63" s="325"/>
      <c r="Y63" s="325"/>
      <c r="Z63" s="325"/>
      <c r="AA63" s="325"/>
      <c r="AB63" s="325"/>
      <c r="AC63" s="325"/>
      <c r="AD63" s="325"/>
      <c r="AE63" s="325"/>
    </row>
    <row r="64" spans="1:31" ht="13.2" customHeight="1">
      <c r="P64" s="325"/>
      <c r="Q64" s="325"/>
      <c r="R64" s="325"/>
      <c r="T64" s="54"/>
    </row>
    <row r="65" spans="1:31" ht="23.25" customHeight="1">
      <c r="A65" s="385" t="s">
        <v>135</v>
      </c>
      <c r="B65" s="384"/>
      <c r="C65" s="141"/>
      <c r="D65" s="141"/>
      <c r="E65" s="84">
        <f t="shared" ref="E65:N65" si="33">E63+E56</f>
        <v>520000000</v>
      </c>
      <c r="F65" s="84">
        <f t="shared" si="33"/>
        <v>73000000</v>
      </c>
      <c r="G65" s="84">
        <f t="shared" si="33"/>
        <v>73000000</v>
      </c>
      <c r="H65" s="84">
        <f t="shared" si="33"/>
        <v>73000000</v>
      </c>
      <c r="I65" s="84">
        <f t="shared" si="33"/>
        <v>73000000</v>
      </c>
      <c r="J65" s="84">
        <f t="shared" si="33"/>
        <v>76000000</v>
      </c>
      <c r="K65" s="84">
        <f t="shared" si="33"/>
        <v>76000000</v>
      </c>
      <c r="L65" s="84">
        <f t="shared" si="33"/>
        <v>76000000</v>
      </c>
      <c r="M65" s="84">
        <f t="shared" si="33"/>
        <v>1020000000</v>
      </c>
      <c r="N65" s="84">
        <f t="shared" si="33"/>
        <v>145714285.7142857</v>
      </c>
      <c r="O65" s="145">
        <f>E65/M65</f>
        <v>0.50980392156862742</v>
      </c>
      <c r="P65" s="84">
        <f>P63+P56</f>
        <v>0</v>
      </c>
      <c r="Q65" s="84">
        <f>Q63+Q56</f>
        <v>0</v>
      </c>
      <c r="R65" s="146" t="e">
        <f>Q65/P65</f>
        <v>#DIV/0!</v>
      </c>
      <c r="S65" s="84">
        <f>S63+S56</f>
        <v>292000000</v>
      </c>
      <c r="T65" s="84">
        <f>T63+T56</f>
        <v>228000000</v>
      </c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</row>
    <row r="68" spans="1:31" ht="13.2" customHeight="1">
      <c r="A68" s="386" t="s">
        <v>152</v>
      </c>
      <c r="B68" s="380"/>
      <c r="C68" s="380"/>
      <c r="D68" s="380"/>
    </row>
    <row r="69" spans="1:31" ht="52.2" customHeight="1">
      <c r="A69" s="90" t="s">
        <v>0</v>
      </c>
      <c r="B69" s="91" t="s">
        <v>19</v>
      </c>
      <c r="C69" s="14" t="s">
        <v>7</v>
      </c>
      <c r="D69" s="154" t="s">
        <v>8</v>
      </c>
      <c r="E69" s="92" t="s">
        <v>137</v>
      </c>
      <c r="F69" s="93" t="s">
        <v>138</v>
      </c>
      <c r="G69" s="94" t="s">
        <v>139</v>
      </c>
      <c r="H69" s="95" t="s">
        <v>140</v>
      </c>
      <c r="I69" s="96" t="s">
        <v>141</v>
      </c>
      <c r="J69" s="97" t="s">
        <v>142</v>
      </c>
      <c r="K69" s="98" t="s">
        <v>143</v>
      </c>
      <c r="L69" s="148" t="s">
        <v>144</v>
      </c>
      <c r="M69" s="100" t="s">
        <v>145</v>
      </c>
      <c r="N69" s="154" t="s">
        <v>146</v>
      </c>
      <c r="O69" s="154" t="s">
        <v>124</v>
      </c>
      <c r="P69" s="31" t="s">
        <v>125</v>
      </c>
      <c r="Q69" s="32" t="s">
        <v>126</v>
      </c>
      <c r="R69" s="31" t="s">
        <v>124</v>
      </c>
      <c r="S69" s="104" t="s">
        <v>153</v>
      </c>
      <c r="T69" s="104" t="s">
        <v>154</v>
      </c>
      <c r="U69" s="105"/>
    </row>
    <row r="70" spans="1:31" ht="15.6" customHeight="1">
      <c r="A70" s="54">
        <v>1</v>
      </c>
      <c r="B70" s="33" t="s">
        <v>29</v>
      </c>
      <c r="C70" s="49" t="s">
        <v>127</v>
      </c>
      <c r="D70" s="50">
        <v>7923</v>
      </c>
      <c r="E70" s="202">
        <f t="shared" ref="E70:E77" si="34">F70+G70+H70+I70+J70+K70+L70</f>
        <v>140000000</v>
      </c>
      <c r="F70" s="107">
        <v>20000000</v>
      </c>
      <c r="G70" s="107">
        <v>20000000</v>
      </c>
      <c r="H70" s="107">
        <v>20000000</v>
      </c>
      <c r="I70" s="107">
        <v>20000000</v>
      </c>
      <c r="J70" s="107">
        <v>20000000</v>
      </c>
      <c r="K70" s="107">
        <v>20000000</v>
      </c>
      <c r="L70" s="107">
        <v>20000000</v>
      </c>
      <c r="M70" s="107">
        <v>260000000</v>
      </c>
      <c r="N70" s="107">
        <f t="shared" ref="N70:N78" si="35">M70/7</f>
        <v>37142857.142857142</v>
      </c>
      <c r="O70" s="108">
        <f t="shared" ref="O70:O78" si="36">E70/M70</f>
        <v>0.53846153846153844</v>
      </c>
      <c r="P70" s="43">
        <f>'Tổng tuần'!R3</f>
        <v>299595000</v>
      </c>
      <c r="Q70" s="43">
        <f>'Tổng tuần'!P3</f>
        <v>170132001.81818178</v>
      </c>
      <c r="R70" s="41">
        <f t="shared" ref="R70:R78" si="37">Q70/P70</f>
        <v>0.56787330168454675</v>
      </c>
      <c r="S70" s="112">
        <f t="shared" ref="S70:S75" si="38">SUM(F70:I70)</f>
        <v>80000000</v>
      </c>
      <c r="T70" s="112">
        <f t="shared" ref="T70:T75" si="39">SUM(J70:L70)</f>
        <v>60000000</v>
      </c>
    </row>
    <row r="71" spans="1:31" ht="15.6" customHeight="1">
      <c r="A71" s="54">
        <v>2</v>
      </c>
      <c r="B71" s="33" t="s">
        <v>54</v>
      </c>
      <c r="C71" s="49" t="s">
        <v>128</v>
      </c>
      <c r="D71" s="50">
        <v>9793</v>
      </c>
      <c r="E71" s="202">
        <f t="shared" si="34"/>
        <v>105000000</v>
      </c>
      <c r="F71" s="107">
        <v>15000000</v>
      </c>
      <c r="G71" s="107">
        <v>15000000</v>
      </c>
      <c r="H71" s="107">
        <v>15000000</v>
      </c>
      <c r="I71" s="107">
        <v>15000000</v>
      </c>
      <c r="J71" s="107">
        <v>15000000</v>
      </c>
      <c r="K71" s="107">
        <v>15000000</v>
      </c>
      <c r="L71" s="107">
        <v>15000000</v>
      </c>
      <c r="M71" s="107">
        <v>200000000</v>
      </c>
      <c r="N71" s="107">
        <f t="shared" si="35"/>
        <v>28571428.571428571</v>
      </c>
      <c r="O71" s="108">
        <f t="shared" si="36"/>
        <v>0.52500000000000002</v>
      </c>
      <c r="P71" s="43">
        <f>'Tổng tuần'!R4</f>
        <v>68880000</v>
      </c>
      <c r="Q71" s="43">
        <f>'Tổng tuần'!P4</f>
        <v>57009800.909090906</v>
      </c>
      <c r="R71" s="41">
        <f t="shared" si="37"/>
        <v>0.82766842202512936</v>
      </c>
      <c r="S71" s="112">
        <f t="shared" si="38"/>
        <v>60000000</v>
      </c>
      <c r="T71" s="112">
        <f t="shared" si="39"/>
        <v>45000000</v>
      </c>
    </row>
    <row r="72" spans="1:31" ht="15.6" customHeight="1">
      <c r="A72" s="54">
        <v>3</v>
      </c>
      <c r="B72" s="33" t="s">
        <v>79</v>
      </c>
      <c r="C72" s="49" t="s">
        <v>129</v>
      </c>
      <c r="D72" s="50">
        <v>8384</v>
      </c>
      <c r="E72" s="202">
        <f t="shared" si="34"/>
        <v>84000000</v>
      </c>
      <c r="F72" s="107">
        <v>12000000</v>
      </c>
      <c r="G72" s="107">
        <v>12000000</v>
      </c>
      <c r="H72" s="107">
        <v>12000000</v>
      </c>
      <c r="I72" s="107">
        <v>12000000</v>
      </c>
      <c r="J72" s="107">
        <v>12000000</v>
      </c>
      <c r="K72" s="107">
        <v>12000000</v>
      </c>
      <c r="L72" s="107">
        <v>12000000</v>
      </c>
      <c r="M72" s="107">
        <v>160000000</v>
      </c>
      <c r="N72" s="107">
        <f t="shared" si="35"/>
        <v>22857142.857142858</v>
      </c>
      <c r="O72" s="108">
        <f t="shared" si="36"/>
        <v>0.52500000000000002</v>
      </c>
      <c r="P72" s="43">
        <f>'Tổng tuần'!R5</f>
        <v>85635000</v>
      </c>
      <c r="Q72" s="43">
        <f>'Tổng tuần'!P5</f>
        <v>68898529.090909079</v>
      </c>
      <c r="R72" s="41">
        <f t="shared" si="37"/>
        <v>0.80456039108902999</v>
      </c>
      <c r="S72" s="112">
        <f t="shared" si="38"/>
        <v>48000000</v>
      </c>
      <c r="T72" s="112">
        <f t="shared" si="39"/>
        <v>36000000</v>
      </c>
    </row>
    <row r="73" spans="1:31" ht="15.6" customHeight="1">
      <c r="A73" s="54">
        <v>4</v>
      </c>
      <c r="B73" s="33" t="s">
        <v>67</v>
      </c>
      <c r="C73" s="49" t="s">
        <v>130</v>
      </c>
      <c r="D73" s="50">
        <v>8879</v>
      </c>
      <c r="E73" s="202">
        <f t="shared" si="34"/>
        <v>84000000</v>
      </c>
      <c r="F73" s="107">
        <v>12000000</v>
      </c>
      <c r="G73" s="107">
        <v>12000000</v>
      </c>
      <c r="H73" s="107">
        <v>12000000</v>
      </c>
      <c r="I73" s="107">
        <v>12000000</v>
      </c>
      <c r="J73" s="107">
        <v>12000000</v>
      </c>
      <c r="K73" s="107">
        <v>12000000</v>
      </c>
      <c r="L73" s="107">
        <v>12000000</v>
      </c>
      <c r="M73" s="107">
        <v>160000000</v>
      </c>
      <c r="N73" s="107">
        <f t="shared" si="35"/>
        <v>22857142.857142858</v>
      </c>
      <c r="O73" s="108">
        <f t="shared" si="36"/>
        <v>0.52500000000000002</v>
      </c>
      <c r="P73" s="43">
        <f>'Tổng tuần'!R6</f>
        <v>58745000</v>
      </c>
      <c r="Q73" s="43">
        <f>'Tổng tuần'!P6</f>
        <v>54678749.090909079</v>
      </c>
      <c r="R73" s="41">
        <f t="shared" si="37"/>
        <v>0.93078132761782417</v>
      </c>
      <c r="S73" s="112">
        <f t="shared" si="38"/>
        <v>48000000</v>
      </c>
      <c r="T73" s="112">
        <f t="shared" si="39"/>
        <v>36000000</v>
      </c>
    </row>
    <row r="74" spans="1:31" ht="15.6" hidden="1" customHeight="1">
      <c r="A74" s="54">
        <v>5</v>
      </c>
      <c r="B74" s="33" t="s">
        <v>106</v>
      </c>
      <c r="C74" s="49" t="s">
        <v>131</v>
      </c>
      <c r="D74" s="50">
        <v>1695</v>
      </c>
      <c r="E74" s="202">
        <f t="shared" si="34"/>
        <v>8000000</v>
      </c>
      <c r="F74" s="107">
        <v>2000000</v>
      </c>
      <c r="G74" s="107">
        <v>2000000</v>
      </c>
      <c r="H74" s="107">
        <v>2000000</v>
      </c>
      <c r="I74" s="107">
        <v>2000000</v>
      </c>
      <c r="J74" s="107">
        <v>0</v>
      </c>
      <c r="K74" s="107">
        <v>0</v>
      </c>
      <c r="L74" s="107">
        <v>0</v>
      </c>
      <c r="M74" s="107">
        <v>25000000</v>
      </c>
      <c r="N74" s="107">
        <f t="shared" si="35"/>
        <v>3571428.5714285714</v>
      </c>
      <c r="O74" s="108">
        <f t="shared" si="36"/>
        <v>0.32</v>
      </c>
      <c r="P74" s="43">
        <f>'Tổng tuần'!R7</f>
        <v>6740000</v>
      </c>
      <c r="Q74" s="43">
        <f>'Tổng tuần'!P7</f>
        <v>0</v>
      </c>
      <c r="R74" s="41">
        <f t="shared" si="37"/>
        <v>0</v>
      </c>
      <c r="S74" s="112">
        <f t="shared" si="38"/>
        <v>8000000</v>
      </c>
      <c r="T74" s="112">
        <f t="shared" si="39"/>
        <v>0</v>
      </c>
    </row>
    <row r="75" spans="1:31" ht="15.6" customHeight="1">
      <c r="A75" s="54">
        <v>6</v>
      </c>
      <c r="B75" s="33" t="s">
        <v>94</v>
      </c>
      <c r="C75" s="49" t="s">
        <v>132</v>
      </c>
      <c r="D75" s="50">
        <v>9330</v>
      </c>
      <c r="E75" s="202">
        <f t="shared" si="34"/>
        <v>28000000</v>
      </c>
      <c r="F75" s="107">
        <v>4000000</v>
      </c>
      <c r="G75" s="107">
        <v>4000000</v>
      </c>
      <c r="H75" s="107">
        <v>4000000</v>
      </c>
      <c r="I75" s="107">
        <v>4000000</v>
      </c>
      <c r="J75" s="107">
        <v>4000000</v>
      </c>
      <c r="K75" s="107">
        <v>4000000</v>
      </c>
      <c r="L75" s="107">
        <v>4000000</v>
      </c>
      <c r="M75" s="107">
        <v>50000000</v>
      </c>
      <c r="N75" s="107">
        <f t="shared" si="35"/>
        <v>7142857.1428571427</v>
      </c>
      <c r="O75" s="108">
        <f t="shared" si="36"/>
        <v>0.56000000000000005</v>
      </c>
      <c r="P75" s="43">
        <f>'Tổng tuần'!R8</f>
        <v>36270000</v>
      </c>
      <c r="Q75" s="43">
        <f>'Tổng tuần'!P8</f>
        <v>18771074.545454547</v>
      </c>
      <c r="R75" s="41">
        <f t="shared" si="37"/>
        <v>0.51753720831140193</v>
      </c>
      <c r="S75" s="112">
        <f t="shared" si="38"/>
        <v>16000000</v>
      </c>
      <c r="T75" s="112">
        <f t="shared" si="39"/>
        <v>12000000</v>
      </c>
    </row>
    <row r="76" spans="1:31" ht="17.399999999999999" hidden="1" customHeight="1">
      <c r="A76" s="54">
        <v>7</v>
      </c>
      <c r="B76" s="48"/>
      <c r="C76" s="54"/>
      <c r="D76" s="54"/>
      <c r="E76" s="54">
        <f t="shared" si="34"/>
        <v>0</v>
      </c>
      <c r="F76" s="54"/>
      <c r="G76" s="54"/>
      <c r="H76" s="54"/>
      <c r="I76" s="54"/>
      <c r="J76" s="54"/>
      <c r="K76" s="54"/>
      <c r="L76" s="54"/>
      <c r="M76" s="54"/>
      <c r="N76" s="54">
        <f t="shared" si="35"/>
        <v>0</v>
      </c>
      <c r="O76" s="54" t="e">
        <f t="shared" si="36"/>
        <v>#DIV/0!</v>
      </c>
      <c r="P76" s="125"/>
      <c r="Q76" s="125"/>
      <c r="R76" s="41" t="e">
        <f t="shared" si="37"/>
        <v>#DIV/0!</v>
      </c>
      <c r="S76" s="112"/>
      <c r="T76" s="112"/>
    </row>
    <row r="77" spans="1:31" ht="13.2" hidden="1" customHeight="1">
      <c r="A77" s="54">
        <v>8</v>
      </c>
      <c r="B77" s="54"/>
      <c r="C77" s="54"/>
      <c r="D77" s="54"/>
      <c r="E77" s="54">
        <f t="shared" si="34"/>
        <v>0</v>
      </c>
      <c r="F77" s="54"/>
      <c r="G77" s="54"/>
      <c r="H77" s="54"/>
      <c r="I77" s="54"/>
      <c r="J77" s="54"/>
      <c r="K77" s="54"/>
      <c r="L77" s="54"/>
      <c r="M77" s="54"/>
      <c r="N77" s="54">
        <f t="shared" si="35"/>
        <v>0</v>
      </c>
      <c r="O77" s="54" t="e">
        <f t="shared" si="36"/>
        <v>#DIV/0!</v>
      </c>
      <c r="P77" s="125"/>
      <c r="Q77" s="125"/>
      <c r="R77" s="41" t="e">
        <f t="shared" si="37"/>
        <v>#DIV/0!</v>
      </c>
      <c r="S77" s="112"/>
      <c r="T77" s="112"/>
    </row>
    <row r="78" spans="1:31" ht="13.8" customHeight="1">
      <c r="A78" s="383" t="s">
        <v>133</v>
      </c>
      <c r="B78" s="384"/>
      <c r="C78" s="125"/>
      <c r="D78" s="125"/>
      <c r="E78" s="127">
        <f t="shared" ref="E78:M78" si="40">SUM(E70:E77)</f>
        <v>449000000</v>
      </c>
      <c r="F78" s="127">
        <f t="shared" si="40"/>
        <v>65000000</v>
      </c>
      <c r="G78" s="127">
        <f t="shared" si="40"/>
        <v>65000000</v>
      </c>
      <c r="H78" s="127">
        <f t="shared" si="40"/>
        <v>65000000</v>
      </c>
      <c r="I78" s="127">
        <f t="shared" si="40"/>
        <v>65000000</v>
      </c>
      <c r="J78" s="127">
        <f t="shared" si="40"/>
        <v>63000000</v>
      </c>
      <c r="K78" s="127">
        <f t="shared" si="40"/>
        <v>63000000</v>
      </c>
      <c r="L78" s="127">
        <f t="shared" si="40"/>
        <v>63000000</v>
      </c>
      <c r="M78" s="127">
        <f t="shared" si="40"/>
        <v>855000000</v>
      </c>
      <c r="N78" s="127">
        <f t="shared" si="35"/>
        <v>122142857.14285715</v>
      </c>
      <c r="O78" s="129">
        <f t="shared" si="36"/>
        <v>0.52514619883040936</v>
      </c>
      <c r="P78" s="125"/>
      <c r="Q78" s="125"/>
      <c r="R78" s="41" t="e">
        <f t="shared" si="37"/>
        <v>#DIV/0!</v>
      </c>
      <c r="S78" s="130">
        <f>SUM(S70:S77)</f>
        <v>260000000</v>
      </c>
      <c r="T78" s="130">
        <f>SUM(T70:T77)</f>
        <v>189000000</v>
      </c>
      <c r="U78" s="325"/>
      <c r="V78" s="325"/>
      <c r="W78" s="325"/>
      <c r="X78" s="325"/>
      <c r="Y78" s="325"/>
      <c r="Z78" s="325"/>
      <c r="AA78" s="325"/>
      <c r="AB78" s="325"/>
      <c r="AC78" s="325"/>
      <c r="AD78" s="325"/>
      <c r="AE78" s="325"/>
    </row>
    <row r="79" spans="1:31" ht="13.2" customHeight="1">
      <c r="P79" s="325"/>
      <c r="Q79" s="325"/>
      <c r="R79" s="325"/>
      <c r="T79" s="54"/>
    </row>
    <row r="80" spans="1:31" ht="15.6" customHeight="1">
      <c r="A80" s="54">
        <v>1</v>
      </c>
      <c r="B80" s="69" t="s">
        <v>46</v>
      </c>
      <c r="C80" s="54"/>
      <c r="D80" s="54"/>
      <c r="E80" s="54">
        <f>F80+G80+H80+I80+J80+K80+L80</f>
        <v>0</v>
      </c>
      <c r="F80" s="54"/>
      <c r="G80" s="54"/>
      <c r="H80" s="54"/>
      <c r="I80" s="54"/>
      <c r="J80" s="54"/>
      <c r="K80" s="54"/>
      <c r="L80" s="54"/>
      <c r="M80" s="54"/>
      <c r="N80" s="54">
        <f t="shared" ref="N80:N85" si="41">M80/7</f>
        <v>0</v>
      </c>
      <c r="O80" s="54" t="e">
        <f t="shared" ref="O80:O85" si="42">E80/M80</f>
        <v>#DIV/0!</v>
      </c>
      <c r="P80" s="43">
        <f>'Tổng tuần'!R13</f>
        <v>20115000</v>
      </c>
      <c r="Q80" s="43">
        <f>'Tổng tuần'!P13</f>
        <v>16293302.727272727</v>
      </c>
      <c r="R80" s="41">
        <f t="shared" ref="R80:R85" si="43">Q80/P80</f>
        <v>0.8100075927055792</v>
      </c>
      <c r="S80" s="54"/>
      <c r="T80" s="54"/>
    </row>
    <row r="81" spans="1:31" ht="13.2" customHeight="1">
      <c r="A81" s="54">
        <v>2</v>
      </c>
      <c r="B81" s="54"/>
      <c r="C81" s="54"/>
      <c r="D81" s="54"/>
      <c r="E81" s="54">
        <f>F81+G81+H81+I81+J81+K81+L81</f>
        <v>0</v>
      </c>
      <c r="F81" s="54"/>
      <c r="G81" s="54"/>
      <c r="H81" s="54"/>
      <c r="I81" s="54"/>
      <c r="J81" s="54"/>
      <c r="K81" s="54"/>
      <c r="L81" s="54"/>
      <c r="M81" s="54"/>
      <c r="N81" s="54">
        <f t="shared" si="41"/>
        <v>0</v>
      </c>
      <c r="O81" s="54" t="e">
        <f t="shared" si="42"/>
        <v>#DIV/0!</v>
      </c>
      <c r="P81" s="125"/>
      <c r="Q81" s="125"/>
      <c r="R81" s="41" t="e">
        <f t="shared" si="43"/>
        <v>#DIV/0!</v>
      </c>
      <c r="S81" s="54"/>
      <c r="T81" s="54"/>
    </row>
    <row r="82" spans="1:31" ht="13.2" customHeight="1">
      <c r="A82" s="54">
        <v>3</v>
      </c>
      <c r="B82" s="54"/>
      <c r="C82" s="54"/>
      <c r="D82" s="54"/>
      <c r="E82" s="54">
        <f>F82+G82+H82+I82+J82+K82+L82</f>
        <v>0</v>
      </c>
      <c r="F82" s="54"/>
      <c r="G82" s="54"/>
      <c r="H82" s="54"/>
      <c r="I82" s="54"/>
      <c r="J82" s="54"/>
      <c r="K82" s="54"/>
      <c r="L82" s="54"/>
      <c r="M82" s="54"/>
      <c r="N82" s="54">
        <f t="shared" si="41"/>
        <v>0</v>
      </c>
      <c r="O82" s="54" t="e">
        <f t="shared" si="42"/>
        <v>#DIV/0!</v>
      </c>
      <c r="P82" s="125"/>
      <c r="Q82" s="125"/>
      <c r="R82" s="41" t="e">
        <f t="shared" si="43"/>
        <v>#DIV/0!</v>
      </c>
      <c r="S82" s="54"/>
      <c r="T82" s="54"/>
    </row>
    <row r="83" spans="1:31" ht="13.2" customHeight="1">
      <c r="A83" s="54">
        <v>4</v>
      </c>
      <c r="B83" s="54"/>
      <c r="C83" s="54"/>
      <c r="D83" s="54"/>
      <c r="E83" s="54">
        <f>F83+G83+H83+I83+J83+K83+L83</f>
        <v>0</v>
      </c>
      <c r="F83" s="54"/>
      <c r="G83" s="54"/>
      <c r="H83" s="54"/>
      <c r="I83" s="54"/>
      <c r="J83" s="54"/>
      <c r="K83" s="54"/>
      <c r="L83" s="54"/>
      <c r="M83" s="54"/>
      <c r="N83" s="54">
        <f t="shared" si="41"/>
        <v>0</v>
      </c>
      <c r="O83" s="54" t="e">
        <f t="shared" si="42"/>
        <v>#DIV/0!</v>
      </c>
      <c r="P83" s="125"/>
      <c r="Q83" s="125"/>
      <c r="R83" s="41" t="e">
        <f t="shared" si="43"/>
        <v>#DIV/0!</v>
      </c>
      <c r="S83" s="54"/>
      <c r="T83" s="54"/>
    </row>
    <row r="84" spans="1:31" ht="13.2" customHeight="1">
      <c r="A84" s="54">
        <v>5</v>
      </c>
      <c r="B84" s="54"/>
      <c r="C84" s="54"/>
      <c r="D84" s="54"/>
      <c r="E84" s="54">
        <f>F84+G84+H84+I84+J84+K84+L84</f>
        <v>0</v>
      </c>
      <c r="F84" s="54"/>
      <c r="G84" s="54"/>
      <c r="H84" s="54"/>
      <c r="I84" s="54"/>
      <c r="J84" s="54"/>
      <c r="K84" s="54"/>
      <c r="L84" s="54"/>
      <c r="M84" s="54"/>
      <c r="N84" s="54">
        <f t="shared" si="41"/>
        <v>0</v>
      </c>
      <c r="O84" s="54" t="e">
        <f t="shared" si="42"/>
        <v>#DIV/0!</v>
      </c>
      <c r="P84" s="125"/>
      <c r="Q84" s="125"/>
      <c r="R84" s="41" t="e">
        <f t="shared" si="43"/>
        <v>#DIV/0!</v>
      </c>
      <c r="S84" s="54"/>
      <c r="T84" s="54"/>
    </row>
    <row r="85" spans="1:31" ht="13.8" customHeight="1">
      <c r="A85" s="383" t="s">
        <v>134</v>
      </c>
      <c r="B85" s="384"/>
      <c r="C85" s="125"/>
      <c r="D85" s="125"/>
      <c r="E85" s="125">
        <f t="shared" ref="E85:M85" si="44">SUM(E80:E84)</f>
        <v>0</v>
      </c>
      <c r="F85" s="125">
        <f t="shared" si="44"/>
        <v>0</v>
      </c>
      <c r="G85" s="125">
        <f t="shared" si="44"/>
        <v>0</v>
      </c>
      <c r="H85" s="125">
        <f t="shared" si="44"/>
        <v>0</v>
      </c>
      <c r="I85" s="125">
        <f t="shared" si="44"/>
        <v>0</v>
      </c>
      <c r="J85" s="125">
        <f t="shared" si="44"/>
        <v>0</v>
      </c>
      <c r="K85" s="125">
        <f t="shared" si="44"/>
        <v>0</v>
      </c>
      <c r="L85" s="125">
        <f t="shared" si="44"/>
        <v>0</v>
      </c>
      <c r="M85" s="125">
        <f t="shared" si="44"/>
        <v>0</v>
      </c>
      <c r="N85" s="138">
        <f t="shared" si="41"/>
        <v>0</v>
      </c>
      <c r="O85" s="138" t="e">
        <f t="shared" si="42"/>
        <v>#DIV/0!</v>
      </c>
      <c r="P85" s="125"/>
      <c r="Q85" s="125"/>
      <c r="R85" s="41" t="e">
        <f t="shared" si="43"/>
        <v>#DIV/0!</v>
      </c>
      <c r="S85" s="125"/>
      <c r="T85" s="125"/>
      <c r="U85" s="325"/>
      <c r="V85" s="325"/>
      <c r="W85" s="325"/>
      <c r="X85" s="325"/>
      <c r="Y85" s="325"/>
      <c r="Z85" s="325"/>
      <c r="AA85" s="325"/>
      <c r="AB85" s="325"/>
      <c r="AC85" s="325"/>
      <c r="AD85" s="325"/>
      <c r="AE85" s="325"/>
    </row>
    <row r="86" spans="1:31" ht="13.2" customHeight="1">
      <c r="P86" s="325"/>
      <c r="Q86" s="325"/>
      <c r="R86" s="325"/>
      <c r="T86" s="54"/>
    </row>
    <row r="87" spans="1:31" ht="23.25" customHeight="1">
      <c r="A87" s="385" t="s">
        <v>135</v>
      </c>
      <c r="B87" s="384"/>
      <c r="C87" s="141"/>
      <c r="D87" s="141"/>
      <c r="E87" s="84">
        <f t="shared" ref="E87:N87" si="45">E85+E78</f>
        <v>449000000</v>
      </c>
      <c r="F87" s="84">
        <f t="shared" si="45"/>
        <v>65000000</v>
      </c>
      <c r="G87" s="84">
        <f t="shared" si="45"/>
        <v>65000000</v>
      </c>
      <c r="H87" s="84">
        <f t="shared" si="45"/>
        <v>65000000</v>
      </c>
      <c r="I87" s="84">
        <f t="shared" si="45"/>
        <v>65000000</v>
      </c>
      <c r="J87" s="84">
        <f t="shared" si="45"/>
        <v>63000000</v>
      </c>
      <c r="K87" s="84">
        <f t="shared" si="45"/>
        <v>63000000</v>
      </c>
      <c r="L87" s="84">
        <f t="shared" si="45"/>
        <v>63000000</v>
      </c>
      <c r="M87" s="84">
        <f t="shared" si="45"/>
        <v>855000000</v>
      </c>
      <c r="N87" s="84">
        <f t="shared" si="45"/>
        <v>122142857.14285715</v>
      </c>
      <c r="O87" s="145">
        <f>E87/M87</f>
        <v>0.52514619883040936</v>
      </c>
      <c r="P87" s="84">
        <f>P85+P78</f>
        <v>0</v>
      </c>
      <c r="Q87" s="84">
        <f>Q85+Q78</f>
        <v>0</v>
      </c>
      <c r="R87" s="146" t="e">
        <f>Q87/P87</f>
        <v>#DIV/0!</v>
      </c>
      <c r="S87" s="84">
        <f>S85+S78</f>
        <v>260000000</v>
      </c>
      <c r="T87" s="84">
        <f>T85+T78</f>
        <v>189000000</v>
      </c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</row>
    <row r="90" spans="1:31" ht="13.2" customHeight="1">
      <c r="A90" s="386" t="s">
        <v>155</v>
      </c>
      <c r="B90" s="380"/>
      <c r="C90" s="380"/>
      <c r="D90" s="380"/>
    </row>
    <row r="91" spans="1:31" ht="52.2" customHeight="1">
      <c r="A91" s="90" t="s">
        <v>0</v>
      </c>
      <c r="B91" s="91" t="s">
        <v>19</v>
      </c>
      <c r="C91" s="14" t="s">
        <v>7</v>
      </c>
      <c r="D91" s="154" t="s">
        <v>8</v>
      </c>
      <c r="E91" s="92" t="s">
        <v>137</v>
      </c>
      <c r="F91" s="93" t="s">
        <v>138</v>
      </c>
      <c r="G91" s="94" t="s">
        <v>139</v>
      </c>
      <c r="H91" s="95" t="s">
        <v>140</v>
      </c>
      <c r="I91" s="96" t="s">
        <v>141</v>
      </c>
      <c r="J91" s="97" t="s">
        <v>142</v>
      </c>
      <c r="K91" s="98" t="s">
        <v>143</v>
      </c>
      <c r="L91" s="148" t="s">
        <v>144</v>
      </c>
      <c r="M91" s="100" t="s">
        <v>145</v>
      </c>
      <c r="N91" s="154" t="s">
        <v>146</v>
      </c>
      <c r="O91" s="154" t="s">
        <v>124</v>
      </c>
      <c r="P91" s="31" t="s">
        <v>125</v>
      </c>
      <c r="Q91" s="32" t="s">
        <v>126</v>
      </c>
      <c r="R91" s="31" t="s">
        <v>124</v>
      </c>
      <c r="S91" s="162" t="s">
        <v>156</v>
      </c>
      <c r="T91" s="162" t="s">
        <v>157</v>
      </c>
      <c r="U91" s="105"/>
    </row>
    <row r="92" spans="1:31" ht="15.6" customHeight="1">
      <c r="A92" s="54">
        <v>1</v>
      </c>
      <c r="B92" s="33" t="s">
        <v>29</v>
      </c>
      <c r="C92" s="49" t="s">
        <v>127</v>
      </c>
      <c r="D92" s="50">
        <v>7923</v>
      </c>
      <c r="E92" s="202">
        <f t="shared" ref="E92:E99" si="46">F92+G92+H92+I92+J92+K92+L92</f>
        <v>140000000</v>
      </c>
      <c r="F92" s="107">
        <v>20000000</v>
      </c>
      <c r="G92" s="107">
        <v>20000000</v>
      </c>
      <c r="H92" s="107">
        <v>20000000</v>
      </c>
      <c r="I92" s="107">
        <v>20000000</v>
      </c>
      <c r="J92" s="107">
        <v>20000000</v>
      </c>
      <c r="K92" s="107">
        <v>20000000</v>
      </c>
      <c r="L92" s="107">
        <v>20000000</v>
      </c>
      <c r="M92" s="107">
        <v>260000000</v>
      </c>
      <c r="N92" s="202">
        <f t="shared" ref="N92:N100" si="47">M92/7</f>
        <v>37142857.142857142</v>
      </c>
      <c r="O92" s="108">
        <f t="shared" ref="O92:O100" si="48">E92/M92</f>
        <v>0.53846153846153844</v>
      </c>
      <c r="P92" s="43">
        <f>'Tổng tuần'!W3</f>
        <v>314980000</v>
      </c>
      <c r="Q92" s="43">
        <f>'Tổng tuần'!U3</f>
        <v>176224952.72727272</v>
      </c>
      <c r="R92" s="41">
        <f t="shared" ref="R92:R100" si="49">Q92/P92</f>
        <v>0.55947981690035153</v>
      </c>
      <c r="S92" s="112">
        <f t="shared" ref="S92:S100" si="50">SUM(F92:I92)</f>
        <v>80000000</v>
      </c>
      <c r="T92" s="112">
        <f t="shared" ref="T92:T100" si="51">SUM(J92:L92)</f>
        <v>60000000</v>
      </c>
    </row>
    <row r="93" spans="1:31" ht="15.6" customHeight="1">
      <c r="A93" s="54">
        <v>2</v>
      </c>
      <c r="B93" s="33" t="s">
        <v>54</v>
      </c>
      <c r="C93" s="49" t="s">
        <v>128</v>
      </c>
      <c r="D93" s="50">
        <v>9793</v>
      </c>
      <c r="E93" s="202">
        <f t="shared" si="46"/>
        <v>84000000</v>
      </c>
      <c r="F93" s="107">
        <v>12000000</v>
      </c>
      <c r="G93" s="107">
        <v>12000000</v>
      </c>
      <c r="H93" s="107">
        <v>12000000</v>
      </c>
      <c r="I93" s="107">
        <v>12000000</v>
      </c>
      <c r="J93" s="107">
        <v>12000000</v>
      </c>
      <c r="K93" s="107">
        <v>12000000</v>
      </c>
      <c r="L93" s="107">
        <v>12000000</v>
      </c>
      <c r="M93" s="107">
        <v>160000000</v>
      </c>
      <c r="N93" s="202">
        <f t="shared" si="47"/>
        <v>22857142.857142858</v>
      </c>
      <c r="O93" s="108">
        <f t="shared" si="48"/>
        <v>0.52500000000000002</v>
      </c>
      <c r="P93" s="43">
        <f>'Tổng tuần'!W4</f>
        <v>137545000</v>
      </c>
      <c r="Q93" s="43">
        <f>'Tổng tuần'!U4</f>
        <v>58518396.36363636</v>
      </c>
      <c r="R93" s="41">
        <f t="shared" si="49"/>
        <v>0.42544909930303798</v>
      </c>
      <c r="S93" s="112">
        <f t="shared" si="50"/>
        <v>48000000</v>
      </c>
      <c r="T93" s="112">
        <f t="shared" si="51"/>
        <v>36000000</v>
      </c>
    </row>
    <row r="94" spans="1:31" ht="15.6" customHeight="1">
      <c r="A94" s="54">
        <v>3</v>
      </c>
      <c r="B94" s="33" t="s">
        <v>79</v>
      </c>
      <c r="C94" s="49" t="s">
        <v>129</v>
      </c>
      <c r="D94" s="50">
        <v>8384</v>
      </c>
      <c r="E94" s="202">
        <f t="shared" si="46"/>
        <v>84000000</v>
      </c>
      <c r="F94" s="107">
        <v>12000000</v>
      </c>
      <c r="G94" s="107">
        <v>12000000</v>
      </c>
      <c r="H94" s="107">
        <v>12000000</v>
      </c>
      <c r="I94" s="107">
        <v>12000000</v>
      </c>
      <c r="J94" s="107">
        <v>12000000</v>
      </c>
      <c r="K94" s="107">
        <v>12000000</v>
      </c>
      <c r="L94" s="107">
        <v>12000000</v>
      </c>
      <c r="M94" s="107">
        <v>160000000</v>
      </c>
      <c r="N94" s="202">
        <f t="shared" si="47"/>
        <v>22857142.857142858</v>
      </c>
      <c r="O94" s="108">
        <f t="shared" si="48"/>
        <v>0.52500000000000002</v>
      </c>
      <c r="P94" s="43">
        <f>'Tổng tuần'!W5</f>
        <v>96445000</v>
      </c>
      <c r="Q94" s="43">
        <f>'Tổng tuần'!U5</f>
        <v>58942430.909090899</v>
      </c>
      <c r="R94" s="41">
        <f t="shared" si="49"/>
        <v>0.61115071708321733</v>
      </c>
      <c r="S94" s="112">
        <f t="shared" si="50"/>
        <v>48000000</v>
      </c>
      <c r="T94" s="112">
        <f t="shared" si="51"/>
        <v>36000000</v>
      </c>
    </row>
    <row r="95" spans="1:31" ht="15.6" customHeight="1">
      <c r="A95" s="54">
        <v>4</v>
      </c>
      <c r="B95" s="33" t="s">
        <v>67</v>
      </c>
      <c r="C95" s="49" t="s">
        <v>130</v>
      </c>
      <c r="D95" s="50">
        <v>8879</v>
      </c>
      <c r="E95" s="202">
        <f t="shared" si="46"/>
        <v>84000000</v>
      </c>
      <c r="F95" s="107">
        <v>12000000</v>
      </c>
      <c r="G95" s="107">
        <v>12000000</v>
      </c>
      <c r="H95" s="107">
        <v>12000000</v>
      </c>
      <c r="I95" s="107">
        <v>12000000</v>
      </c>
      <c r="J95" s="107">
        <v>12000000</v>
      </c>
      <c r="K95" s="107">
        <v>12000000</v>
      </c>
      <c r="L95" s="107">
        <v>12000000</v>
      </c>
      <c r="M95" s="107">
        <v>160000000</v>
      </c>
      <c r="N95" s="202">
        <f t="shared" si="47"/>
        <v>22857142.857142858</v>
      </c>
      <c r="O95" s="108">
        <f t="shared" si="48"/>
        <v>0.52500000000000002</v>
      </c>
      <c r="P95" s="43">
        <f>'Tổng tuần'!W6</f>
        <v>117945000</v>
      </c>
      <c r="Q95" s="43">
        <f>'Tổng tuần'!U6</f>
        <v>89627057.272727281</v>
      </c>
      <c r="R95" s="41">
        <f t="shared" si="49"/>
        <v>0.75990552607340101</v>
      </c>
      <c r="S95" s="112">
        <f t="shared" si="50"/>
        <v>48000000</v>
      </c>
      <c r="T95" s="112">
        <f t="shared" si="51"/>
        <v>36000000</v>
      </c>
    </row>
    <row r="96" spans="1:31" ht="15.6" customHeight="1">
      <c r="A96" s="54">
        <v>5</v>
      </c>
      <c r="B96" s="33" t="s">
        <v>106</v>
      </c>
      <c r="C96" s="49" t="s">
        <v>131</v>
      </c>
      <c r="D96" s="50">
        <v>1695</v>
      </c>
      <c r="E96" s="202">
        <f t="shared" si="46"/>
        <v>0</v>
      </c>
      <c r="F96" s="107">
        <v>0</v>
      </c>
      <c r="G96" s="107">
        <v>0</v>
      </c>
      <c r="H96" s="107">
        <v>0</v>
      </c>
      <c r="I96" s="107">
        <v>0</v>
      </c>
      <c r="J96" s="107">
        <v>0</v>
      </c>
      <c r="K96" s="107">
        <v>0</v>
      </c>
      <c r="L96" s="107">
        <v>0</v>
      </c>
      <c r="M96" s="107">
        <v>25000000</v>
      </c>
      <c r="N96" s="202">
        <f t="shared" si="47"/>
        <v>3571428.5714285714</v>
      </c>
      <c r="O96" s="108">
        <f t="shared" si="48"/>
        <v>0</v>
      </c>
      <c r="P96" s="43">
        <f>'Tổng tuần'!W7</f>
        <v>0</v>
      </c>
      <c r="Q96" s="43">
        <f>'Tổng tuần'!U7</f>
        <v>0</v>
      </c>
      <c r="R96" s="41" t="e">
        <f t="shared" si="49"/>
        <v>#DIV/0!</v>
      </c>
      <c r="S96" s="112">
        <f t="shared" si="50"/>
        <v>0</v>
      </c>
      <c r="T96" s="112">
        <f t="shared" si="51"/>
        <v>0</v>
      </c>
    </row>
    <row r="97" spans="1:31" ht="15.6" customHeight="1">
      <c r="A97" s="54">
        <v>6</v>
      </c>
      <c r="B97" s="33" t="s">
        <v>94</v>
      </c>
      <c r="C97" s="49" t="s">
        <v>132</v>
      </c>
      <c r="D97" s="50">
        <v>9330</v>
      </c>
      <c r="E97" s="202">
        <f t="shared" si="46"/>
        <v>28000000</v>
      </c>
      <c r="F97" s="107">
        <v>4000000</v>
      </c>
      <c r="G97" s="107">
        <v>4000000</v>
      </c>
      <c r="H97" s="107">
        <v>4000000</v>
      </c>
      <c r="I97" s="107">
        <v>4000000</v>
      </c>
      <c r="J97" s="107">
        <v>4000000</v>
      </c>
      <c r="K97" s="107">
        <v>4000000</v>
      </c>
      <c r="L97" s="107">
        <v>4000000</v>
      </c>
      <c r="M97" s="107">
        <v>50000000</v>
      </c>
      <c r="N97" s="202">
        <f t="shared" si="47"/>
        <v>7142857.1428571427</v>
      </c>
      <c r="O97" s="108">
        <f t="shared" si="48"/>
        <v>0.56000000000000005</v>
      </c>
      <c r="P97" s="43">
        <f>'Tổng tuần'!W8</f>
        <v>34770000</v>
      </c>
      <c r="Q97" s="43">
        <f>'Tổng tuần'!U8</f>
        <v>21683898.18181818</v>
      </c>
      <c r="R97" s="41">
        <f t="shared" si="49"/>
        <v>0.62363814155358588</v>
      </c>
      <c r="S97" s="112">
        <f t="shared" si="50"/>
        <v>16000000</v>
      </c>
      <c r="T97" s="112">
        <f t="shared" si="51"/>
        <v>12000000</v>
      </c>
    </row>
    <row r="98" spans="1:31" ht="17.399999999999999" hidden="1" customHeight="1">
      <c r="A98" s="54">
        <v>7</v>
      </c>
      <c r="B98" s="48"/>
      <c r="C98" s="54"/>
      <c r="D98" s="54"/>
      <c r="E98" s="54">
        <f t="shared" si="46"/>
        <v>0</v>
      </c>
      <c r="F98" s="54"/>
      <c r="G98" s="54"/>
      <c r="H98" s="54"/>
      <c r="I98" s="54"/>
      <c r="J98" s="54"/>
      <c r="K98" s="54"/>
      <c r="L98" s="54"/>
      <c r="M98" s="54"/>
      <c r="N98" s="54">
        <f t="shared" si="47"/>
        <v>0</v>
      </c>
      <c r="O98" s="54" t="e">
        <f t="shared" si="48"/>
        <v>#DIV/0!</v>
      </c>
      <c r="P98" s="125"/>
      <c r="Q98" s="125"/>
      <c r="R98" s="41" t="e">
        <f t="shared" si="49"/>
        <v>#DIV/0!</v>
      </c>
      <c r="S98" s="112">
        <f t="shared" si="50"/>
        <v>0</v>
      </c>
      <c r="T98" s="112">
        <f t="shared" si="51"/>
        <v>0</v>
      </c>
    </row>
    <row r="99" spans="1:31" ht="13.2" hidden="1" customHeight="1">
      <c r="A99" s="54">
        <v>8</v>
      </c>
      <c r="B99" s="54"/>
      <c r="C99" s="54"/>
      <c r="D99" s="54"/>
      <c r="E99" s="54">
        <f t="shared" si="46"/>
        <v>0</v>
      </c>
      <c r="F99" s="54"/>
      <c r="G99" s="54"/>
      <c r="H99" s="54"/>
      <c r="I99" s="54"/>
      <c r="J99" s="54"/>
      <c r="K99" s="54"/>
      <c r="L99" s="54"/>
      <c r="M99" s="54"/>
      <c r="N99" s="54">
        <f t="shared" si="47"/>
        <v>0</v>
      </c>
      <c r="O99" s="54" t="e">
        <f t="shared" si="48"/>
        <v>#DIV/0!</v>
      </c>
      <c r="P99" s="125"/>
      <c r="Q99" s="125"/>
      <c r="R99" s="41" t="e">
        <f t="shared" si="49"/>
        <v>#DIV/0!</v>
      </c>
      <c r="S99" s="112">
        <f t="shared" si="50"/>
        <v>0</v>
      </c>
      <c r="T99" s="112">
        <f t="shared" si="51"/>
        <v>0</v>
      </c>
    </row>
    <row r="100" spans="1:31" ht="13.8" customHeight="1">
      <c r="A100" s="383" t="s">
        <v>133</v>
      </c>
      <c r="B100" s="384"/>
      <c r="C100" s="125"/>
      <c r="D100" s="125"/>
      <c r="E100" s="127">
        <f t="shared" ref="E100:M100" si="52">SUM(E92:E99)</f>
        <v>420000000</v>
      </c>
      <c r="F100" s="127">
        <f t="shared" si="52"/>
        <v>60000000</v>
      </c>
      <c r="G100" s="127">
        <f t="shared" si="52"/>
        <v>60000000</v>
      </c>
      <c r="H100" s="127">
        <f t="shared" si="52"/>
        <v>60000000</v>
      </c>
      <c r="I100" s="127">
        <f t="shared" si="52"/>
        <v>60000000</v>
      </c>
      <c r="J100" s="127">
        <f t="shared" si="52"/>
        <v>60000000</v>
      </c>
      <c r="K100" s="127">
        <f t="shared" si="52"/>
        <v>60000000</v>
      </c>
      <c r="L100" s="127">
        <f t="shared" si="52"/>
        <v>60000000</v>
      </c>
      <c r="M100" s="127">
        <f t="shared" si="52"/>
        <v>815000000</v>
      </c>
      <c r="N100" s="127">
        <f t="shared" si="47"/>
        <v>116428571.42857143</v>
      </c>
      <c r="O100" s="129">
        <f t="shared" si="48"/>
        <v>0.51533742331288346</v>
      </c>
      <c r="P100" s="125"/>
      <c r="Q100" s="125"/>
      <c r="R100" s="41" t="e">
        <f t="shared" si="49"/>
        <v>#DIV/0!</v>
      </c>
      <c r="S100" s="130">
        <f t="shared" si="50"/>
        <v>240000000</v>
      </c>
      <c r="T100" s="130">
        <f t="shared" si="51"/>
        <v>180000000</v>
      </c>
      <c r="U100" s="325"/>
      <c r="V100" s="325"/>
      <c r="W100" s="325"/>
      <c r="X100" s="325"/>
      <c r="Y100" s="325"/>
      <c r="Z100" s="325"/>
      <c r="AA100" s="325"/>
      <c r="AB100" s="325"/>
      <c r="AC100" s="325"/>
      <c r="AD100" s="325"/>
      <c r="AE100" s="325"/>
    </row>
    <row r="101" spans="1:31" ht="13.2" customHeight="1">
      <c r="P101" s="325"/>
      <c r="Q101" s="325"/>
      <c r="R101" s="325"/>
      <c r="T101" s="54"/>
    </row>
    <row r="102" spans="1:31" ht="15.6" customHeight="1">
      <c r="A102" s="54">
        <v>1</v>
      </c>
      <c r="B102" s="69" t="s">
        <v>46</v>
      </c>
      <c r="C102" s="54"/>
      <c r="D102" s="54"/>
      <c r="E102" s="54">
        <f>F102+G102+H102+I102+J102+K102+L102</f>
        <v>0</v>
      </c>
      <c r="F102" s="54"/>
      <c r="G102" s="54"/>
      <c r="H102" s="54"/>
      <c r="I102" s="54"/>
      <c r="J102" s="54"/>
      <c r="K102" s="54"/>
      <c r="L102" s="54"/>
      <c r="M102" s="54"/>
      <c r="N102" s="54">
        <f t="shared" ref="N102:N107" si="53">M102/7</f>
        <v>0</v>
      </c>
      <c r="O102" s="54" t="e">
        <f t="shared" ref="O102:O107" si="54">E102/M102</f>
        <v>#DIV/0!</v>
      </c>
      <c r="P102" s="43">
        <f>'Tổng tuần'!W13</f>
        <v>15815000</v>
      </c>
      <c r="Q102" s="43">
        <f>'Tổng tuần'!U13</f>
        <v>40040905.454545453</v>
      </c>
      <c r="R102" s="41">
        <f t="shared" ref="R102:R107" si="55">Q102/P102</f>
        <v>2.5318308855229499</v>
      </c>
      <c r="S102" s="54"/>
      <c r="T102" s="54"/>
    </row>
    <row r="103" spans="1:31" ht="13.2" customHeight="1">
      <c r="A103" s="54">
        <v>2</v>
      </c>
      <c r="B103" s="54"/>
      <c r="C103" s="54"/>
      <c r="D103" s="54"/>
      <c r="E103" s="54">
        <f>F103+G103+H103+I103+J103+K103+L103</f>
        <v>0</v>
      </c>
      <c r="F103" s="54"/>
      <c r="G103" s="54"/>
      <c r="H103" s="54"/>
      <c r="I103" s="54"/>
      <c r="J103" s="54"/>
      <c r="K103" s="54"/>
      <c r="L103" s="54"/>
      <c r="M103" s="54"/>
      <c r="N103" s="54">
        <f t="shared" si="53"/>
        <v>0</v>
      </c>
      <c r="O103" s="54" t="e">
        <f t="shared" si="54"/>
        <v>#DIV/0!</v>
      </c>
      <c r="P103" s="125"/>
      <c r="Q103" s="125"/>
      <c r="R103" s="41" t="e">
        <f t="shared" si="55"/>
        <v>#DIV/0!</v>
      </c>
      <c r="S103" s="54"/>
      <c r="T103" s="54"/>
    </row>
    <row r="104" spans="1:31" ht="13.2" customHeight="1">
      <c r="A104" s="54">
        <v>3</v>
      </c>
      <c r="B104" s="54"/>
      <c r="C104" s="54"/>
      <c r="D104" s="54"/>
      <c r="E104" s="54">
        <f>F104+G104+H104+I104+J104+K104+L104</f>
        <v>0</v>
      </c>
      <c r="F104" s="54"/>
      <c r="G104" s="54"/>
      <c r="H104" s="54"/>
      <c r="I104" s="54"/>
      <c r="J104" s="54"/>
      <c r="K104" s="54"/>
      <c r="L104" s="54"/>
      <c r="M104" s="54"/>
      <c r="N104" s="54">
        <f t="shared" si="53"/>
        <v>0</v>
      </c>
      <c r="O104" s="54" t="e">
        <f t="shared" si="54"/>
        <v>#DIV/0!</v>
      </c>
      <c r="P104" s="125"/>
      <c r="Q104" s="125"/>
      <c r="R104" s="41" t="e">
        <f t="shared" si="55"/>
        <v>#DIV/0!</v>
      </c>
      <c r="S104" s="54"/>
      <c r="T104" s="54"/>
    </row>
    <row r="105" spans="1:31" ht="13.2" customHeight="1">
      <c r="A105" s="54">
        <v>4</v>
      </c>
      <c r="B105" s="54"/>
      <c r="C105" s="54"/>
      <c r="D105" s="54"/>
      <c r="E105" s="54">
        <f>F105+G105+H105+I105+J105+K105+L105</f>
        <v>0</v>
      </c>
      <c r="F105" s="54"/>
      <c r="G105" s="54"/>
      <c r="H105" s="54"/>
      <c r="I105" s="54"/>
      <c r="J105" s="54"/>
      <c r="K105" s="54"/>
      <c r="L105" s="54"/>
      <c r="M105" s="54"/>
      <c r="N105" s="54">
        <f t="shared" si="53"/>
        <v>0</v>
      </c>
      <c r="O105" s="54" t="e">
        <f t="shared" si="54"/>
        <v>#DIV/0!</v>
      </c>
      <c r="P105" s="125"/>
      <c r="Q105" s="125"/>
      <c r="R105" s="41" t="e">
        <f t="shared" si="55"/>
        <v>#DIV/0!</v>
      </c>
      <c r="S105" s="54"/>
      <c r="T105" s="54"/>
    </row>
    <row r="106" spans="1:31" ht="13.2" customHeight="1">
      <c r="A106" s="54">
        <v>5</v>
      </c>
      <c r="B106" s="54"/>
      <c r="C106" s="54"/>
      <c r="D106" s="54"/>
      <c r="E106" s="54">
        <f>F106+G106+H106+I106+J106+K106+L106</f>
        <v>0</v>
      </c>
      <c r="F106" s="54"/>
      <c r="G106" s="54"/>
      <c r="H106" s="54"/>
      <c r="I106" s="54"/>
      <c r="J106" s="54"/>
      <c r="K106" s="54"/>
      <c r="L106" s="54"/>
      <c r="M106" s="54"/>
      <c r="N106" s="54">
        <f t="shared" si="53"/>
        <v>0</v>
      </c>
      <c r="O106" s="54" t="e">
        <f t="shared" si="54"/>
        <v>#DIV/0!</v>
      </c>
      <c r="P106" s="125"/>
      <c r="Q106" s="125"/>
      <c r="R106" s="41" t="e">
        <f t="shared" si="55"/>
        <v>#DIV/0!</v>
      </c>
      <c r="S106" s="54"/>
      <c r="T106" s="54"/>
    </row>
    <row r="107" spans="1:31" ht="13.8" customHeight="1">
      <c r="A107" s="383" t="s">
        <v>134</v>
      </c>
      <c r="B107" s="384"/>
      <c r="C107" s="125"/>
      <c r="D107" s="125"/>
      <c r="E107" s="125">
        <f t="shared" ref="E107:M107" si="56">SUM(E102:E106)</f>
        <v>0</v>
      </c>
      <c r="F107" s="125">
        <f t="shared" si="56"/>
        <v>0</v>
      </c>
      <c r="G107" s="125">
        <f t="shared" si="56"/>
        <v>0</v>
      </c>
      <c r="H107" s="125">
        <f t="shared" si="56"/>
        <v>0</v>
      </c>
      <c r="I107" s="125">
        <f t="shared" si="56"/>
        <v>0</v>
      </c>
      <c r="J107" s="125">
        <f t="shared" si="56"/>
        <v>0</v>
      </c>
      <c r="K107" s="125">
        <f t="shared" si="56"/>
        <v>0</v>
      </c>
      <c r="L107" s="125">
        <f t="shared" si="56"/>
        <v>0</v>
      </c>
      <c r="M107" s="125">
        <f t="shared" si="56"/>
        <v>0</v>
      </c>
      <c r="N107" s="138">
        <f t="shared" si="53"/>
        <v>0</v>
      </c>
      <c r="O107" s="138" t="e">
        <f t="shared" si="54"/>
        <v>#DIV/0!</v>
      </c>
      <c r="P107" s="125"/>
      <c r="Q107" s="125"/>
      <c r="R107" s="41" t="e">
        <f t="shared" si="55"/>
        <v>#DIV/0!</v>
      </c>
      <c r="S107" s="125"/>
      <c r="T107" s="125"/>
      <c r="U107" s="325"/>
      <c r="V107" s="325"/>
      <c r="W107" s="325"/>
      <c r="X107" s="325"/>
      <c r="Y107" s="325"/>
      <c r="Z107" s="325"/>
      <c r="AA107" s="325"/>
      <c r="AB107" s="325"/>
      <c r="AC107" s="325"/>
      <c r="AD107" s="325"/>
      <c r="AE107" s="325"/>
    </row>
    <row r="108" spans="1:31" ht="13.2" customHeight="1">
      <c r="P108" s="325"/>
      <c r="Q108" s="325"/>
      <c r="R108" s="325"/>
      <c r="T108" s="54"/>
    </row>
    <row r="109" spans="1:31" ht="23.25" customHeight="1">
      <c r="A109" s="385" t="s">
        <v>135</v>
      </c>
      <c r="B109" s="384"/>
      <c r="C109" s="141"/>
      <c r="D109" s="141"/>
      <c r="E109" s="84">
        <f t="shared" ref="E109:N109" si="57">E107+E100</f>
        <v>420000000</v>
      </c>
      <c r="F109" s="84">
        <f t="shared" si="57"/>
        <v>60000000</v>
      </c>
      <c r="G109" s="84">
        <f t="shared" si="57"/>
        <v>60000000</v>
      </c>
      <c r="H109" s="84">
        <f t="shared" si="57"/>
        <v>60000000</v>
      </c>
      <c r="I109" s="84">
        <f t="shared" si="57"/>
        <v>60000000</v>
      </c>
      <c r="J109" s="84">
        <f t="shared" si="57"/>
        <v>60000000</v>
      </c>
      <c r="K109" s="84">
        <f t="shared" si="57"/>
        <v>60000000</v>
      </c>
      <c r="L109" s="84">
        <f t="shared" si="57"/>
        <v>60000000</v>
      </c>
      <c r="M109" s="84">
        <f t="shared" si="57"/>
        <v>815000000</v>
      </c>
      <c r="N109" s="84">
        <f t="shared" si="57"/>
        <v>116428571.42857143</v>
      </c>
      <c r="O109" s="145">
        <f>E109/M109</f>
        <v>0.51533742331288346</v>
      </c>
      <c r="P109" s="84">
        <f>P107+P100</f>
        <v>0</v>
      </c>
      <c r="Q109" s="84">
        <f>Q107+Q100</f>
        <v>0</v>
      </c>
      <c r="R109" s="146" t="e">
        <f>Q109/P109</f>
        <v>#DIV/0!</v>
      </c>
      <c r="S109" s="84">
        <f>S107+S100</f>
        <v>240000000</v>
      </c>
      <c r="T109" s="84">
        <f>T107+T100</f>
        <v>180000000</v>
      </c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</row>
    <row r="113" spans="1:31" ht="13.2" customHeight="1">
      <c r="A113" s="386" t="s">
        <v>158</v>
      </c>
      <c r="B113" s="380"/>
      <c r="C113" s="380"/>
      <c r="D113" s="380"/>
    </row>
    <row r="114" spans="1:31" ht="52.2" customHeight="1">
      <c r="A114" s="90" t="s">
        <v>0</v>
      </c>
      <c r="B114" s="91" t="s">
        <v>19</v>
      </c>
      <c r="C114" s="14" t="s">
        <v>7</v>
      </c>
      <c r="D114" s="154" t="s">
        <v>8</v>
      </c>
      <c r="E114" s="92" t="s">
        <v>137</v>
      </c>
      <c r="F114" s="93" t="s">
        <v>138</v>
      </c>
      <c r="G114" s="94" t="s">
        <v>139</v>
      </c>
      <c r="H114" s="95" t="s">
        <v>140</v>
      </c>
      <c r="I114" s="96" t="s">
        <v>141</v>
      </c>
      <c r="J114" s="97" t="s">
        <v>142</v>
      </c>
      <c r="K114" s="98" t="s">
        <v>143</v>
      </c>
      <c r="L114" s="148" t="s">
        <v>144</v>
      </c>
      <c r="M114" s="100" t="s">
        <v>145</v>
      </c>
      <c r="N114" s="154" t="s">
        <v>146</v>
      </c>
      <c r="O114" s="154" t="s">
        <v>124</v>
      </c>
      <c r="P114" s="31" t="s">
        <v>125</v>
      </c>
      <c r="Q114" s="32" t="s">
        <v>126</v>
      </c>
      <c r="R114" s="31" t="s">
        <v>124</v>
      </c>
      <c r="S114" s="162" t="s">
        <v>159</v>
      </c>
      <c r="T114" s="162" t="s">
        <v>160</v>
      </c>
      <c r="U114" s="105"/>
    </row>
    <row r="115" spans="1:31" ht="15.6" customHeight="1">
      <c r="A115" s="54">
        <v>1</v>
      </c>
      <c r="B115" s="33" t="s">
        <v>29</v>
      </c>
      <c r="C115" s="49" t="s">
        <v>127</v>
      </c>
      <c r="D115" s="50">
        <v>7923</v>
      </c>
      <c r="E115" s="202">
        <f t="shared" ref="E115:E122" si="58">F115+G115+H115+I115+J115+K115+L115</f>
        <v>140000000</v>
      </c>
      <c r="F115" s="107">
        <v>20000000</v>
      </c>
      <c r="G115" s="107">
        <v>20000000</v>
      </c>
      <c r="H115" s="107">
        <v>20000000</v>
      </c>
      <c r="I115" s="107">
        <v>20000000</v>
      </c>
      <c r="J115" s="107">
        <v>20000000</v>
      </c>
      <c r="K115" s="107">
        <v>20000000</v>
      </c>
      <c r="L115" s="107">
        <v>20000000</v>
      </c>
      <c r="M115" s="107">
        <v>260000000</v>
      </c>
      <c r="N115" s="202">
        <f>M115/7</f>
        <v>37142857.142857142</v>
      </c>
      <c r="O115" s="108">
        <f t="shared" ref="O115:O123" si="59">E115/M115</f>
        <v>0.53846153846153844</v>
      </c>
      <c r="P115" s="43">
        <f>'Tổng tuần'!AB3</f>
        <v>180675000</v>
      </c>
      <c r="Q115" s="43">
        <f>'Tổng tuần'!Z3</f>
        <v>115550343.63636363</v>
      </c>
      <c r="R115" s="41">
        <f t="shared" ref="R115:R123" si="60">Q115/P115</f>
        <v>0.6395480483540259</v>
      </c>
      <c r="S115" s="112">
        <f t="shared" ref="S115:S123" si="61">SUM(F115:I115)</f>
        <v>80000000</v>
      </c>
      <c r="T115" s="112">
        <f t="shared" ref="T115:T123" si="62">SUM(J115:L115)</f>
        <v>60000000</v>
      </c>
    </row>
    <row r="116" spans="1:31" ht="15.6" customHeight="1">
      <c r="A116" s="54">
        <v>2</v>
      </c>
      <c r="B116" s="33" t="s">
        <v>54</v>
      </c>
      <c r="C116" s="49" t="s">
        <v>128</v>
      </c>
      <c r="D116" s="50">
        <v>9793</v>
      </c>
      <c r="E116" s="202">
        <f t="shared" si="58"/>
        <v>84000000</v>
      </c>
      <c r="F116" s="107">
        <v>12000000</v>
      </c>
      <c r="G116" s="107">
        <v>12000000</v>
      </c>
      <c r="H116" s="107">
        <v>12000000</v>
      </c>
      <c r="I116" s="107">
        <v>12000000</v>
      </c>
      <c r="J116" s="107">
        <v>12000000</v>
      </c>
      <c r="K116" s="107">
        <v>12000000</v>
      </c>
      <c r="L116" s="107">
        <v>12000000</v>
      </c>
      <c r="M116" s="107">
        <v>160000000</v>
      </c>
      <c r="N116" s="202">
        <f>M116/7</f>
        <v>22857142.857142858</v>
      </c>
      <c r="O116" s="108">
        <f t="shared" si="59"/>
        <v>0.52500000000000002</v>
      </c>
      <c r="P116" s="43">
        <f>'Tổng tuần'!AB4</f>
        <v>75084696</v>
      </c>
      <c r="Q116" s="43">
        <f>'Tổng tuần'!Z4</f>
        <v>20926940.909090906</v>
      </c>
      <c r="R116" s="41">
        <f t="shared" si="60"/>
        <v>0.27871113587635632</v>
      </c>
      <c r="S116" s="112">
        <f t="shared" si="61"/>
        <v>48000000</v>
      </c>
      <c r="T116" s="112">
        <f t="shared" si="62"/>
        <v>36000000</v>
      </c>
    </row>
    <row r="117" spans="1:31" ht="15.6" customHeight="1">
      <c r="A117" s="54">
        <v>3</v>
      </c>
      <c r="B117" s="33" t="s">
        <v>79</v>
      </c>
      <c r="C117" s="49" t="s">
        <v>129</v>
      </c>
      <c r="D117" s="50">
        <v>8384</v>
      </c>
      <c r="E117" s="202">
        <f t="shared" si="58"/>
        <v>84000000</v>
      </c>
      <c r="F117" s="107">
        <v>12000000</v>
      </c>
      <c r="G117" s="107">
        <v>12000000</v>
      </c>
      <c r="H117" s="107">
        <v>12000000</v>
      </c>
      <c r="I117" s="107">
        <v>12000000</v>
      </c>
      <c r="J117" s="107">
        <v>12000000</v>
      </c>
      <c r="K117" s="107">
        <v>12000000</v>
      </c>
      <c r="L117" s="107">
        <v>12000000</v>
      </c>
      <c r="M117" s="107">
        <v>160000000</v>
      </c>
      <c r="N117" s="202">
        <f>M117/7</f>
        <v>22857142.857142858</v>
      </c>
      <c r="O117" s="108">
        <f t="shared" si="59"/>
        <v>0.52500000000000002</v>
      </c>
      <c r="P117" s="43">
        <f>'Tổng tuần'!AB5</f>
        <v>80230000</v>
      </c>
      <c r="Q117" s="43">
        <f>'Tổng tuần'!Z5</f>
        <v>61049820.909090906</v>
      </c>
      <c r="R117" s="41">
        <f t="shared" si="60"/>
        <v>0.76093507302867891</v>
      </c>
      <c r="S117" s="112">
        <f t="shared" si="61"/>
        <v>48000000</v>
      </c>
      <c r="T117" s="112">
        <f t="shared" si="62"/>
        <v>36000000</v>
      </c>
    </row>
    <row r="118" spans="1:31" ht="15.6" customHeight="1">
      <c r="A118" s="54">
        <v>4</v>
      </c>
      <c r="B118" s="33" t="s">
        <v>67</v>
      </c>
      <c r="C118" s="49" t="s">
        <v>130</v>
      </c>
      <c r="D118" s="50">
        <v>8879</v>
      </c>
      <c r="E118" s="202">
        <f t="shared" si="58"/>
        <v>84000000</v>
      </c>
      <c r="F118" s="107">
        <v>12000000</v>
      </c>
      <c r="G118" s="107">
        <v>12000000</v>
      </c>
      <c r="H118" s="107">
        <v>12000000</v>
      </c>
      <c r="I118" s="107">
        <v>12000000</v>
      </c>
      <c r="J118" s="107">
        <v>12000000</v>
      </c>
      <c r="K118" s="107">
        <v>12000000</v>
      </c>
      <c r="L118" s="107">
        <v>12000000</v>
      </c>
      <c r="M118" s="107">
        <v>160000000</v>
      </c>
      <c r="N118" s="202">
        <f>M118/7</f>
        <v>22857142.857142858</v>
      </c>
      <c r="O118" s="108">
        <f t="shared" si="59"/>
        <v>0.52500000000000002</v>
      </c>
      <c r="P118" s="43">
        <f>'Tổng tuần'!AB6</f>
        <v>52570000</v>
      </c>
      <c r="Q118" s="43">
        <f>'Tổng tuần'!Z6</f>
        <v>28098569.999999996</v>
      </c>
      <c r="R118" s="41">
        <f t="shared" si="60"/>
        <v>0.53449819288567613</v>
      </c>
      <c r="S118" s="112">
        <f t="shared" si="61"/>
        <v>48000000</v>
      </c>
      <c r="T118" s="112">
        <f t="shared" si="62"/>
        <v>36000000</v>
      </c>
    </row>
    <row r="119" spans="1:31" ht="15.6" hidden="1" customHeight="1">
      <c r="A119" s="54">
        <v>5</v>
      </c>
      <c r="B119" s="33" t="s">
        <v>106</v>
      </c>
      <c r="C119" s="49" t="s">
        <v>131</v>
      </c>
      <c r="D119" s="50">
        <v>1695</v>
      </c>
      <c r="E119" s="202">
        <f t="shared" si="58"/>
        <v>0</v>
      </c>
      <c r="F119" s="107">
        <v>0</v>
      </c>
      <c r="G119" s="107">
        <v>0</v>
      </c>
      <c r="H119" s="107">
        <v>0</v>
      </c>
      <c r="I119" s="107">
        <v>0</v>
      </c>
      <c r="J119" s="107">
        <v>0</v>
      </c>
      <c r="K119" s="107">
        <v>0</v>
      </c>
      <c r="L119" s="107">
        <v>0</v>
      </c>
      <c r="M119" s="107">
        <v>0</v>
      </c>
      <c r="N119" s="202">
        <v>0</v>
      </c>
      <c r="O119" s="108" t="e">
        <f t="shared" si="59"/>
        <v>#DIV/0!</v>
      </c>
      <c r="P119" s="43">
        <f>'Tổng tuần'!AB7</f>
        <v>0</v>
      </c>
      <c r="Q119" s="43">
        <f>'Tổng tuần'!Z7</f>
        <v>0</v>
      </c>
      <c r="R119" s="41" t="e">
        <f t="shared" si="60"/>
        <v>#DIV/0!</v>
      </c>
      <c r="S119" s="112">
        <f t="shared" si="61"/>
        <v>0</v>
      </c>
      <c r="T119" s="112">
        <f t="shared" si="62"/>
        <v>0</v>
      </c>
    </row>
    <row r="120" spans="1:31" ht="15.6" customHeight="1">
      <c r="A120" s="54">
        <v>6</v>
      </c>
      <c r="B120" s="33" t="s">
        <v>94</v>
      </c>
      <c r="C120" s="49" t="s">
        <v>132</v>
      </c>
      <c r="D120" s="50">
        <v>9330</v>
      </c>
      <c r="E120" s="202">
        <f t="shared" si="58"/>
        <v>28000000</v>
      </c>
      <c r="F120" s="107">
        <v>4000000</v>
      </c>
      <c r="G120" s="107">
        <v>4000000</v>
      </c>
      <c r="H120" s="107">
        <v>4000000</v>
      </c>
      <c r="I120" s="107">
        <v>4000000</v>
      </c>
      <c r="J120" s="107">
        <v>4000000</v>
      </c>
      <c r="K120" s="107">
        <v>4000000</v>
      </c>
      <c r="L120" s="107">
        <v>4000000</v>
      </c>
      <c r="M120" s="107">
        <v>50000000</v>
      </c>
      <c r="N120" s="202">
        <f>M120/7</f>
        <v>7142857.1428571427</v>
      </c>
      <c r="O120" s="108">
        <f t="shared" si="59"/>
        <v>0.56000000000000005</v>
      </c>
      <c r="P120" s="43">
        <f>'Tổng tuần'!AB8</f>
        <v>14270000</v>
      </c>
      <c r="Q120" s="43">
        <f>'Tổng tuần'!Z8</f>
        <v>0</v>
      </c>
      <c r="R120" s="41">
        <f t="shared" si="60"/>
        <v>0</v>
      </c>
      <c r="S120" s="112">
        <f t="shared" si="61"/>
        <v>16000000</v>
      </c>
      <c r="T120" s="112">
        <f t="shared" si="62"/>
        <v>12000000</v>
      </c>
    </row>
    <row r="121" spans="1:31" ht="17.399999999999999" hidden="1" customHeight="1">
      <c r="A121" s="54">
        <v>7</v>
      </c>
      <c r="B121" s="48"/>
      <c r="C121" s="54"/>
      <c r="D121" s="54"/>
      <c r="E121" s="54">
        <f t="shared" si="58"/>
        <v>0</v>
      </c>
      <c r="F121" s="54"/>
      <c r="G121" s="54"/>
      <c r="H121" s="54"/>
      <c r="I121" s="54"/>
      <c r="J121" s="54"/>
      <c r="K121" s="54"/>
      <c r="L121" s="54"/>
      <c r="M121" s="54"/>
      <c r="N121" s="54">
        <f>M121/7</f>
        <v>0</v>
      </c>
      <c r="O121" s="54" t="e">
        <f t="shared" si="59"/>
        <v>#DIV/0!</v>
      </c>
      <c r="P121" s="125"/>
      <c r="Q121" s="125"/>
      <c r="R121" s="41" t="e">
        <f t="shared" si="60"/>
        <v>#DIV/0!</v>
      </c>
      <c r="S121" s="112">
        <f t="shared" si="61"/>
        <v>0</v>
      </c>
      <c r="T121" s="112">
        <f t="shared" si="62"/>
        <v>0</v>
      </c>
    </row>
    <row r="122" spans="1:31" ht="13.2" hidden="1" customHeight="1">
      <c r="A122" s="54">
        <v>8</v>
      </c>
      <c r="B122" s="54"/>
      <c r="C122" s="54"/>
      <c r="D122" s="54"/>
      <c r="E122" s="54">
        <f t="shared" si="58"/>
        <v>0</v>
      </c>
      <c r="F122" s="54"/>
      <c r="G122" s="54"/>
      <c r="H122" s="54"/>
      <c r="I122" s="54"/>
      <c r="J122" s="54"/>
      <c r="K122" s="54"/>
      <c r="L122" s="54"/>
      <c r="M122" s="54"/>
      <c r="N122" s="54">
        <f>M122/7</f>
        <v>0</v>
      </c>
      <c r="O122" s="54" t="e">
        <f t="shared" si="59"/>
        <v>#DIV/0!</v>
      </c>
      <c r="P122" s="125"/>
      <c r="Q122" s="125"/>
      <c r="R122" s="41" t="e">
        <f t="shared" si="60"/>
        <v>#DIV/0!</v>
      </c>
      <c r="S122" s="112">
        <f t="shared" si="61"/>
        <v>0</v>
      </c>
      <c r="T122" s="112">
        <f t="shared" si="62"/>
        <v>0</v>
      </c>
    </row>
    <row r="123" spans="1:31" ht="13.8" customHeight="1">
      <c r="A123" s="383" t="s">
        <v>133</v>
      </c>
      <c r="B123" s="384"/>
      <c r="C123" s="125"/>
      <c r="D123" s="125"/>
      <c r="E123" s="127">
        <f t="shared" ref="E123:M123" si="63">SUM(E115:E122)</f>
        <v>420000000</v>
      </c>
      <c r="F123" s="127">
        <f t="shared" si="63"/>
        <v>60000000</v>
      </c>
      <c r="G123" s="127">
        <f t="shared" si="63"/>
        <v>60000000</v>
      </c>
      <c r="H123" s="127">
        <f t="shared" si="63"/>
        <v>60000000</v>
      </c>
      <c r="I123" s="127">
        <f t="shared" si="63"/>
        <v>60000000</v>
      </c>
      <c r="J123" s="127">
        <f t="shared" si="63"/>
        <v>60000000</v>
      </c>
      <c r="K123" s="127">
        <f t="shared" si="63"/>
        <v>60000000</v>
      </c>
      <c r="L123" s="127">
        <f t="shared" si="63"/>
        <v>60000000</v>
      </c>
      <c r="M123" s="127">
        <f t="shared" si="63"/>
        <v>790000000</v>
      </c>
      <c r="N123" s="127">
        <f>M123/7</f>
        <v>112857142.85714285</v>
      </c>
      <c r="O123" s="129">
        <f t="shared" si="59"/>
        <v>0.53164556962025311</v>
      </c>
      <c r="P123" s="125"/>
      <c r="Q123" s="125"/>
      <c r="R123" s="41" t="e">
        <f t="shared" si="60"/>
        <v>#DIV/0!</v>
      </c>
      <c r="S123" s="130">
        <f t="shared" si="61"/>
        <v>240000000</v>
      </c>
      <c r="T123" s="130">
        <f t="shared" si="62"/>
        <v>180000000</v>
      </c>
      <c r="U123" s="325"/>
      <c r="V123" s="325"/>
      <c r="W123" s="325"/>
      <c r="X123" s="325"/>
      <c r="Y123" s="325"/>
      <c r="Z123" s="325"/>
      <c r="AA123" s="325"/>
      <c r="AB123" s="325"/>
      <c r="AC123" s="325"/>
      <c r="AD123" s="325"/>
      <c r="AE123" s="325"/>
    </row>
    <row r="124" spans="1:31" ht="13.2" customHeight="1">
      <c r="P124" s="325"/>
      <c r="Q124" s="325"/>
      <c r="R124" s="325"/>
      <c r="T124" s="54"/>
    </row>
    <row r="125" spans="1:31" ht="15.6" customHeight="1">
      <c r="A125" s="54">
        <v>1</v>
      </c>
      <c r="B125" s="69" t="s">
        <v>46</v>
      </c>
      <c r="C125" s="54"/>
      <c r="D125" s="54"/>
      <c r="E125" s="54">
        <f>F125+G125+H125+I125+J125+K125+L125</f>
        <v>0</v>
      </c>
      <c r="F125" s="54"/>
      <c r="G125" s="54"/>
      <c r="H125" s="54"/>
      <c r="I125" s="54"/>
      <c r="J125" s="54"/>
      <c r="K125" s="54"/>
      <c r="L125" s="54"/>
      <c r="M125" s="54"/>
      <c r="N125" s="54">
        <f t="shared" ref="N125:N130" si="64">M125/7</f>
        <v>0</v>
      </c>
      <c r="O125" s="54" t="e">
        <f t="shared" ref="O125:O130" si="65">E125/M125</f>
        <v>#DIV/0!</v>
      </c>
      <c r="P125" s="43">
        <f>'Tổng tuần'!AB13</f>
        <v>13210000</v>
      </c>
      <c r="Q125" s="43">
        <f>'Tổng tuần'!Z13</f>
        <v>10690702.727272727</v>
      </c>
      <c r="R125" s="41">
        <f t="shared" ref="R125:R130" si="66">Q125/P125</f>
        <v>0.80928862432041837</v>
      </c>
      <c r="S125" s="54"/>
      <c r="T125" s="54"/>
    </row>
    <row r="126" spans="1:31" ht="13.2" customHeight="1">
      <c r="A126" s="54">
        <v>2</v>
      </c>
      <c r="B126" s="54"/>
      <c r="C126" s="54"/>
      <c r="D126" s="54"/>
      <c r="E126" s="54">
        <f>F126+G126+H126+I126+J126+K126+L126</f>
        <v>0</v>
      </c>
      <c r="F126" s="54"/>
      <c r="G126" s="54"/>
      <c r="H126" s="54"/>
      <c r="I126" s="54"/>
      <c r="J126" s="54"/>
      <c r="K126" s="54"/>
      <c r="L126" s="54"/>
      <c r="M126" s="54"/>
      <c r="N126" s="54">
        <f t="shared" si="64"/>
        <v>0</v>
      </c>
      <c r="O126" s="54" t="e">
        <f t="shared" si="65"/>
        <v>#DIV/0!</v>
      </c>
      <c r="P126" s="125"/>
      <c r="Q126" s="125"/>
      <c r="R126" s="41" t="e">
        <f t="shared" si="66"/>
        <v>#DIV/0!</v>
      </c>
      <c r="S126" s="54"/>
      <c r="T126" s="54"/>
    </row>
    <row r="127" spans="1:31" ht="13.2" customHeight="1">
      <c r="A127" s="54">
        <v>3</v>
      </c>
      <c r="B127" s="54"/>
      <c r="C127" s="54"/>
      <c r="D127" s="54"/>
      <c r="E127" s="54">
        <f>F127+G127+H127+I127+J127+K127+L127</f>
        <v>0</v>
      </c>
      <c r="F127" s="54"/>
      <c r="G127" s="54"/>
      <c r="H127" s="54"/>
      <c r="I127" s="54"/>
      <c r="J127" s="54"/>
      <c r="K127" s="54"/>
      <c r="L127" s="54"/>
      <c r="M127" s="54"/>
      <c r="N127" s="54">
        <f t="shared" si="64"/>
        <v>0</v>
      </c>
      <c r="O127" s="54" t="e">
        <f t="shared" si="65"/>
        <v>#DIV/0!</v>
      </c>
      <c r="P127" s="125"/>
      <c r="Q127" s="125"/>
      <c r="R127" s="41" t="e">
        <f t="shared" si="66"/>
        <v>#DIV/0!</v>
      </c>
      <c r="S127" s="54"/>
      <c r="T127" s="54"/>
    </row>
    <row r="128" spans="1:31" ht="13.2" customHeight="1">
      <c r="A128" s="54">
        <v>4</v>
      </c>
      <c r="B128" s="54"/>
      <c r="C128" s="54"/>
      <c r="D128" s="54"/>
      <c r="E128" s="54">
        <f>F128+G128+H128+I128+J128+K128+L128</f>
        <v>0</v>
      </c>
      <c r="F128" s="54"/>
      <c r="G128" s="54"/>
      <c r="H128" s="54"/>
      <c r="I128" s="54"/>
      <c r="J128" s="54"/>
      <c r="K128" s="54"/>
      <c r="L128" s="54"/>
      <c r="M128" s="54"/>
      <c r="N128" s="54">
        <f t="shared" si="64"/>
        <v>0</v>
      </c>
      <c r="O128" s="54" t="e">
        <f t="shared" si="65"/>
        <v>#DIV/0!</v>
      </c>
      <c r="P128" s="125"/>
      <c r="Q128" s="125"/>
      <c r="R128" s="41" t="e">
        <f t="shared" si="66"/>
        <v>#DIV/0!</v>
      </c>
      <c r="S128" s="54"/>
      <c r="T128" s="54"/>
    </row>
    <row r="129" spans="1:31" ht="13.2" customHeight="1">
      <c r="A129" s="54">
        <v>5</v>
      </c>
      <c r="B129" s="54"/>
      <c r="C129" s="54"/>
      <c r="D129" s="54"/>
      <c r="E129" s="54">
        <f>F129+G129+H129+I129+J129+K129+L129</f>
        <v>0</v>
      </c>
      <c r="F129" s="54"/>
      <c r="G129" s="54"/>
      <c r="H129" s="54"/>
      <c r="I129" s="54"/>
      <c r="J129" s="54"/>
      <c r="K129" s="54"/>
      <c r="L129" s="54"/>
      <c r="M129" s="54"/>
      <c r="N129" s="54">
        <f t="shared" si="64"/>
        <v>0</v>
      </c>
      <c r="O129" s="54" t="e">
        <f t="shared" si="65"/>
        <v>#DIV/0!</v>
      </c>
      <c r="P129" s="125"/>
      <c r="Q129" s="125"/>
      <c r="R129" s="41" t="e">
        <f t="shared" si="66"/>
        <v>#DIV/0!</v>
      </c>
      <c r="S129" s="54"/>
      <c r="T129" s="54"/>
    </row>
    <row r="130" spans="1:31" ht="13.8" customHeight="1">
      <c r="A130" s="383" t="s">
        <v>134</v>
      </c>
      <c r="B130" s="384"/>
      <c r="C130" s="125"/>
      <c r="D130" s="125"/>
      <c r="E130" s="125">
        <f t="shared" ref="E130:M130" si="67">SUM(E125:E129)</f>
        <v>0</v>
      </c>
      <c r="F130" s="125">
        <f t="shared" si="67"/>
        <v>0</v>
      </c>
      <c r="G130" s="125">
        <f t="shared" si="67"/>
        <v>0</v>
      </c>
      <c r="H130" s="125">
        <f t="shared" si="67"/>
        <v>0</v>
      </c>
      <c r="I130" s="125">
        <f t="shared" si="67"/>
        <v>0</v>
      </c>
      <c r="J130" s="125">
        <f t="shared" si="67"/>
        <v>0</v>
      </c>
      <c r="K130" s="125">
        <f t="shared" si="67"/>
        <v>0</v>
      </c>
      <c r="L130" s="125">
        <f t="shared" si="67"/>
        <v>0</v>
      </c>
      <c r="M130" s="125">
        <f t="shared" si="67"/>
        <v>0</v>
      </c>
      <c r="N130" s="138">
        <f t="shared" si="64"/>
        <v>0</v>
      </c>
      <c r="O130" s="138" t="e">
        <f t="shared" si="65"/>
        <v>#DIV/0!</v>
      </c>
      <c r="P130" s="125"/>
      <c r="Q130" s="125"/>
      <c r="R130" s="41" t="e">
        <f t="shared" si="66"/>
        <v>#DIV/0!</v>
      </c>
      <c r="S130" s="125"/>
      <c r="T130" s="125"/>
      <c r="U130" s="325"/>
      <c r="V130" s="325"/>
      <c r="W130" s="325"/>
      <c r="X130" s="325"/>
      <c r="Y130" s="325"/>
      <c r="Z130" s="325"/>
      <c r="AA130" s="325"/>
      <c r="AB130" s="325"/>
      <c r="AC130" s="325"/>
      <c r="AD130" s="325"/>
      <c r="AE130" s="325"/>
    </row>
    <row r="131" spans="1:31" ht="13.2" customHeight="1">
      <c r="P131" s="325"/>
      <c r="Q131" s="325"/>
      <c r="R131" s="325"/>
      <c r="T131" s="54"/>
    </row>
    <row r="132" spans="1:31" ht="23.25" customHeight="1">
      <c r="A132" s="385" t="s">
        <v>135</v>
      </c>
      <c r="B132" s="384"/>
      <c r="C132" s="141"/>
      <c r="D132" s="141"/>
      <c r="E132" s="84">
        <f t="shared" ref="E132:N132" si="68">E130+E123</f>
        <v>420000000</v>
      </c>
      <c r="F132" s="84">
        <f t="shared" si="68"/>
        <v>60000000</v>
      </c>
      <c r="G132" s="84">
        <f t="shared" si="68"/>
        <v>60000000</v>
      </c>
      <c r="H132" s="84">
        <f t="shared" si="68"/>
        <v>60000000</v>
      </c>
      <c r="I132" s="84">
        <f t="shared" si="68"/>
        <v>60000000</v>
      </c>
      <c r="J132" s="84">
        <f t="shared" si="68"/>
        <v>60000000</v>
      </c>
      <c r="K132" s="84">
        <f t="shared" si="68"/>
        <v>60000000</v>
      </c>
      <c r="L132" s="84">
        <f t="shared" si="68"/>
        <v>60000000</v>
      </c>
      <c r="M132" s="84">
        <f t="shared" si="68"/>
        <v>790000000</v>
      </c>
      <c r="N132" s="84">
        <f t="shared" si="68"/>
        <v>112857142.85714285</v>
      </c>
      <c r="O132" s="145">
        <f>E132/M132</f>
        <v>0.53164556962025311</v>
      </c>
      <c r="P132" s="84">
        <f>P130+P123</f>
        <v>0</v>
      </c>
      <c r="Q132" s="84">
        <f>Q130+Q123</f>
        <v>0</v>
      </c>
      <c r="R132" s="146" t="e">
        <f>Q132/P132</f>
        <v>#DIV/0!</v>
      </c>
      <c r="S132" s="84">
        <f>S130+S123</f>
        <v>240000000</v>
      </c>
      <c r="T132" s="84">
        <f>T130+T123</f>
        <v>180000000</v>
      </c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</row>
  </sheetData>
  <mergeCells count="24">
    <mergeCell ref="A1:D1"/>
    <mergeCell ref="A85:B85"/>
    <mergeCell ref="A46:D46"/>
    <mergeCell ref="A90:D90"/>
    <mergeCell ref="A109:B109"/>
    <mergeCell ref="A100:B100"/>
    <mergeCell ref="A20:B20"/>
    <mergeCell ref="A43:B43"/>
    <mergeCell ref="A63:B63"/>
    <mergeCell ref="A34:B34"/>
    <mergeCell ref="A130:B130"/>
    <mergeCell ref="A11:B11"/>
    <mergeCell ref="A107:B107"/>
    <mergeCell ref="A123:B123"/>
    <mergeCell ref="A132:B132"/>
    <mergeCell ref="A68:D68"/>
    <mergeCell ref="A87:B87"/>
    <mergeCell ref="A78:B78"/>
    <mergeCell ref="A65:B65"/>
    <mergeCell ref="A41:B41"/>
    <mergeCell ref="A24:D24"/>
    <mergeCell ref="A18:B18"/>
    <mergeCell ref="A56:B56"/>
    <mergeCell ref="A113:D1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42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defaultColWidth="12.6640625" defaultRowHeight="15.75" customHeight="1" outlineLevelCol="1"/>
  <cols>
    <col min="1" max="1" width="5.88671875" style="323" customWidth="1"/>
    <col min="2" max="2" width="23.44140625" style="323" customWidth="1" collapsed="1"/>
    <col min="3" max="3" width="18.88671875" style="323" hidden="1" customWidth="1" outlineLevel="1"/>
    <col min="4" max="4" width="14.21875" style="323" hidden="1" customWidth="1" outlineLevel="1"/>
    <col min="5" max="5" width="12.6640625" style="323" hidden="1" customWidth="1"/>
    <col min="6" max="6" width="15.6640625" style="323" customWidth="1"/>
    <col min="7" max="7" width="12.21875" style="323" customWidth="1"/>
  </cols>
  <sheetData>
    <row r="1" spans="1:32" ht="17.399999999999999" customHeight="1">
      <c r="A1" s="115"/>
      <c r="B1" s="115"/>
      <c r="C1" s="117"/>
      <c r="D1" s="118"/>
      <c r="E1" s="389" t="s">
        <v>118</v>
      </c>
      <c r="F1" s="380"/>
      <c r="G1" s="380"/>
      <c r="H1" s="380"/>
      <c r="I1" s="380"/>
      <c r="J1" s="391" t="s">
        <v>119</v>
      </c>
      <c r="K1" s="380"/>
      <c r="L1" s="380"/>
      <c r="M1" s="380"/>
      <c r="N1" s="380"/>
      <c r="O1" s="388" t="s">
        <v>120</v>
      </c>
      <c r="P1" s="380"/>
      <c r="Q1" s="380"/>
      <c r="R1" s="380"/>
      <c r="S1" s="380"/>
      <c r="T1" s="390" t="s">
        <v>121</v>
      </c>
      <c r="U1" s="380"/>
      <c r="V1" s="380"/>
      <c r="W1" s="380"/>
      <c r="X1" s="380"/>
      <c r="Y1" s="392" t="s">
        <v>122</v>
      </c>
      <c r="Z1" s="380"/>
      <c r="AA1" s="380"/>
      <c r="AB1" s="380"/>
      <c r="AC1" s="380"/>
      <c r="AD1" s="326"/>
      <c r="AE1" s="326"/>
      <c r="AF1" s="326"/>
    </row>
    <row r="2" spans="1:32" ht="17.399999999999999" customHeight="1">
      <c r="A2" s="91" t="s">
        <v>0</v>
      </c>
      <c r="B2" s="91" t="s">
        <v>19</v>
      </c>
      <c r="C2" s="14" t="s">
        <v>7</v>
      </c>
      <c r="D2" s="154" t="s">
        <v>8</v>
      </c>
      <c r="E2" s="8" t="s">
        <v>161</v>
      </c>
      <c r="F2" s="17" t="s">
        <v>126</v>
      </c>
      <c r="G2" s="150" t="s">
        <v>4</v>
      </c>
      <c r="H2" s="150" t="s">
        <v>5</v>
      </c>
      <c r="I2" s="150" t="s">
        <v>6</v>
      </c>
      <c r="J2" s="8" t="s">
        <v>161</v>
      </c>
      <c r="K2" s="17" t="s">
        <v>126</v>
      </c>
      <c r="L2" s="150" t="s">
        <v>4</v>
      </c>
      <c r="M2" s="150" t="s">
        <v>5</v>
      </c>
      <c r="N2" s="150" t="s">
        <v>6</v>
      </c>
      <c r="O2" s="8" t="s">
        <v>161</v>
      </c>
      <c r="P2" s="17" t="s">
        <v>126</v>
      </c>
      <c r="Q2" s="150" t="s">
        <v>4</v>
      </c>
      <c r="R2" s="150" t="s">
        <v>5</v>
      </c>
      <c r="S2" s="150" t="s">
        <v>6</v>
      </c>
      <c r="T2" s="8" t="s">
        <v>161</v>
      </c>
      <c r="U2" s="17" t="s">
        <v>126</v>
      </c>
      <c r="V2" s="150" t="s">
        <v>4</v>
      </c>
      <c r="W2" s="150" t="s">
        <v>5</v>
      </c>
      <c r="X2" s="150" t="s">
        <v>6</v>
      </c>
      <c r="Y2" s="8" t="s">
        <v>161</v>
      </c>
      <c r="Z2" s="17" t="s">
        <v>126</v>
      </c>
      <c r="AA2" s="150" t="s">
        <v>4</v>
      </c>
      <c r="AB2" s="150" t="s">
        <v>5</v>
      </c>
      <c r="AC2" s="150" t="s">
        <v>6</v>
      </c>
      <c r="AD2" s="126"/>
      <c r="AE2" s="126"/>
      <c r="AF2" s="126"/>
    </row>
    <row r="3" spans="1:32" ht="15.6" customHeight="1">
      <c r="A3" s="54">
        <v>1</v>
      </c>
      <c r="B3" s="33" t="s">
        <v>29</v>
      </c>
      <c r="C3" s="54"/>
      <c r="D3" s="54"/>
      <c r="E3" s="38">
        <f>SUM('NH Anh T'!C4:C8)</f>
        <v>110000000</v>
      </c>
      <c r="F3" s="38">
        <f>SUM('NH Anh T'!D4:D8)</f>
        <v>145473416.36363634</v>
      </c>
      <c r="G3" s="128">
        <f>SUM('NH Anh T'!E4:E8)</f>
        <v>62</v>
      </c>
      <c r="H3" s="38">
        <f>SUM('NH Anh T'!F4:F8)</f>
        <v>196595000</v>
      </c>
      <c r="I3" s="40">
        <f t="shared" ref="I3:I11" si="0">F3/H3</f>
        <v>0.73996498569971947</v>
      </c>
      <c r="J3" s="38">
        <f>SUM('NH Anh T'!C9:C15)</f>
        <v>88000000</v>
      </c>
      <c r="K3" s="38">
        <f>SUM('NH Anh T'!D9:D15)</f>
        <v>190718432.72727275</v>
      </c>
      <c r="L3" s="38">
        <f>SUM('NH Anh T'!E9:E15)</f>
        <v>88</v>
      </c>
      <c r="M3" s="38">
        <f>SUM('NH Anh T'!F9:F15)</f>
        <v>273120000</v>
      </c>
      <c r="N3" s="40">
        <f t="shared" ref="N3:N11" si="1">K3/M3</f>
        <v>0.69829537466048897</v>
      </c>
      <c r="O3" s="38">
        <f>SUM('NH Anh T'!C16:C22)</f>
        <v>0</v>
      </c>
      <c r="P3" s="38">
        <f>SUM('NH Anh T'!D16:D22)</f>
        <v>170132001.81818178</v>
      </c>
      <c r="Q3" s="38">
        <f>SUM('NH Anh T'!E16:E22)</f>
        <v>93</v>
      </c>
      <c r="R3" s="38">
        <f>SUM('NH Anh T'!F16:F22)</f>
        <v>299595000</v>
      </c>
      <c r="S3" s="40">
        <f t="shared" ref="S3:S11" si="2">P3/R3</f>
        <v>0.56787330168454675</v>
      </c>
      <c r="T3" s="38">
        <f>SUM('NH Anh T'!C23:C29)</f>
        <v>0</v>
      </c>
      <c r="U3" s="38">
        <f>SUM('NH Anh T'!D23:D29)</f>
        <v>176224952.72727272</v>
      </c>
      <c r="V3" s="38">
        <f>SUM('NH Anh T'!E23:E29)</f>
        <v>100</v>
      </c>
      <c r="W3" s="38">
        <f>SUM('NH Anh T'!F23:F29)</f>
        <v>314980000</v>
      </c>
      <c r="X3" s="40">
        <f t="shared" ref="X3:X11" si="3">U3/W3</f>
        <v>0.55947981690035153</v>
      </c>
      <c r="Y3" s="38">
        <f>SUM('NH Anh T'!C30:C34)</f>
        <v>0</v>
      </c>
      <c r="Z3" s="38">
        <f>SUM('NH Anh T'!D30:D34)</f>
        <v>115550343.63636363</v>
      </c>
      <c r="AA3" s="38">
        <f>SUM('NH Anh T'!E30:E34)</f>
        <v>56</v>
      </c>
      <c r="AB3" s="38">
        <f>SUM('NH Anh T'!F30:F34)</f>
        <v>180675000</v>
      </c>
      <c r="AC3" s="40">
        <f t="shared" ref="AC3:AC11" si="4">Z3/AB3</f>
        <v>0.6395480483540259</v>
      </c>
      <c r="AD3" s="64"/>
      <c r="AE3" s="64"/>
      <c r="AF3" s="64"/>
    </row>
    <row r="4" spans="1:32" ht="15.6" customHeight="1">
      <c r="A4" s="54">
        <v>2</v>
      </c>
      <c r="B4" s="33" t="s">
        <v>54</v>
      </c>
      <c r="C4" s="54"/>
      <c r="D4" s="54"/>
      <c r="E4" s="38">
        <f>SUM('BQ Anh T'!C4:C8)</f>
        <v>65000000</v>
      </c>
      <c r="F4" s="38">
        <f>SUM('BQ Anh T'!D4:D8)</f>
        <v>64363970.909090906</v>
      </c>
      <c r="G4" s="128">
        <f>SUM('BQ Anh T'!E4:E8)</f>
        <v>20</v>
      </c>
      <c r="H4" s="38">
        <f>SUM('BQ Anh T'!F4:F8)</f>
        <v>42660000</v>
      </c>
      <c r="I4" s="40">
        <f t="shared" si="0"/>
        <v>1.5087663129182116</v>
      </c>
      <c r="J4" s="38">
        <f>SUM('BQ Anh T'!C9:C15)</f>
        <v>48000000</v>
      </c>
      <c r="K4" s="38">
        <f>SUM('BQ Anh T'!D9:D15)</f>
        <v>71726646.36363636</v>
      </c>
      <c r="L4" s="38">
        <f>SUM('BQ Anh T'!E9:E15)</f>
        <v>49</v>
      </c>
      <c r="M4" s="38">
        <f>SUM('BQ Anh T'!F9:F15)</f>
        <v>138775000</v>
      </c>
      <c r="N4" s="40">
        <f t="shared" si="1"/>
        <v>0.5168556754720689</v>
      </c>
      <c r="O4" s="38">
        <f>SUM('BQ Anh T'!C16:C22)</f>
        <v>0</v>
      </c>
      <c r="P4" s="38">
        <f>SUM('BQ Anh T'!D16:D22)</f>
        <v>57009800.909090906</v>
      </c>
      <c r="Q4" s="38">
        <f>SUM('BQ Anh T'!E16:E22)</f>
        <v>32</v>
      </c>
      <c r="R4" s="38">
        <f>SUM('BQ Anh T'!F16:F22)</f>
        <v>68880000</v>
      </c>
      <c r="S4" s="40">
        <f t="shared" si="2"/>
        <v>0.82766842202512936</v>
      </c>
      <c r="T4" s="38">
        <f>SUM('BQ Anh T'!C23:C29)</f>
        <v>0</v>
      </c>
      <c r="U4" s="38">
        <f>SUM('BQ Anh T'!D23:D29)</f>
        <v>58518396.36363636</v>
      </c>
      <c r="V4" s="38">
        <f>SUM('BQ Anh T'!E23:E29)</f>
        <v>45</v>
      </c>
      <c r="W4" s="38">
        <f>SUM('BQ Anh T'!F23:F29)</f>
        <v>137545000</v>
      </c>
      <c r="X4" s="40">
        <f t="shared" si="3"/>
        <v>0.42544909930303798</v>
      </c>
      <c r="Y4" s="38">
        <f>SUM('BQ Anh T'!C30:C34)</f>
        <v>0</v>
      </c>
      <c r="Z4" s="38">
        <f>SUM('BQ Anh T'!D30:D34)</f>
        <v>20926940.909090906</v>
      </c>
      <c r="AA4" s="38">
        <f>SUM('BQ Anh T'!E30:E34)</f>
        <v>22</v>
      </c>
      <c r="AB4" s="38">
        <f>SUM('BQ Anh T'!F30:F34)</f>
        <v>75084696</v>
      </c>
      <c r="AC4" s="40">
        <f t="shared" si="4"/>
        <v>0.27871113587635632</v>
      </c>
      <c r="AD4" s="64"/>
      <c r="AE4" s="64"/>
      <c r="AF4" s="64"/>
    </row>
    <row r="5" spans="1:32" ht="15.6" customHeight="1">
      <c r="A5" s="54">
        <v>3</v>
      </c>
      <c r="B5" s="33" t="s">
        <v>79</v>
      </c>
      <c r="C5" s="54"/>
      <c r="D5" s="54"/>
      <c r="E5" s="38">
        <f>SUM('TQ Huy T'!C4:C8)</f>
        <v>75000000</v>
      </c>
      <c r="F5" s="38">
        <f>SUM('TQ Huy T'!D4:D8)</f>
        <v>54895216.36363636</v>
      </c>
      <c r="G5" s="128">
        <f>SUM('TQ Huy T'!E4:E8)</f>
        <v>22</v>
      </c>
      <c r="H5" s="38">
        <f>SUM('TQ Huy T'!F4:F8)</f>
        <v>69345000</v>
      </c>
      <c r="I5" s="40">
        <f t="shared" si="0"/>
        <v>0.79162472223860925</v>
      </c>
      <c r="J5" s="38">
        <f>SUM('TQ Huy T'!C9:C15)</f>
        <v>105000000</v>
      </c>
      <c r="K5" s="38">
        <f>SUM('TQ Huy T'!D9:D15)</f>
        <v>66971430.909090906</v>
      </c>
      <c r="L5" s="38">
        <f>SUM('TQ Huy T'!E9:E15)</f>
        <v>24</v>
      </c>
      <c r="M5" s="38">
        <f>SUM('TQ Huy T'!F9:F15)</f>
        <v>77165000</v>
      </c>
      <c r="N5" s="40">
        <f t="shared" si="1"/>
        <v>0.86789905927675637</v>
      </c>
      <c r="O5" s="38">
        <f>SUM('TQ Huy T'!C16:C22)</f>
        <v>66000000</v>
      </c>
      <c r="P5" s="38">
        <f>SUM('TQ Huy T'!D16:D22)</f>
        <v>68898529.090909079</v>
      </c>
      <c r="Q5" s="38">
        <f>SUM('TQ Huy T'!E16:E22)</f>
        <v>26</v>
      </c>
      <c r="R5" s="38">
        <f>SUM('TQ Huy T'!F16:F22)</f>
        <v>85635000</v>
      </c>
      <c r="S5" s="40">
        <f t="shared" si="2"/>
        <v>0.80456039108902999</v>
      </c>
      <c r="T5" s="38">
        <f>SUM('TQ Huy T'!C23:C29)</f>
        <v>0</v>
      </c>
      <c r="U5" s="38">
        <f>SUM('TQ Huy T'!D23:D29)</f>
        <v>58942430.909090899</v>
      </c>
      <c r="V5" s="38">
        <f>SUM('TQ Huy T'!E23:E29)</f>
        <v>29</v>
      </c>
      <c r="W5" s="38">
        <f>SUM('TQ Huy T'!F23:F29)</f>
        <v>96445000</v>
      </c>
      <c r="X5" s="40">
        <f t="shared" si="3"/>
        <v>0.61115071708321733</v>
      </c>
      <c r="Y5" s="38">
        <f>SUM('TQ Huy T'!C30:C34)</f>
        <v>0</v>
      </c>
      <c r="Z5" s="38">
        <f>SUM('TQ Huy T'!D30:D34)</f>
        <v>61049820.909090906</v>
      </c>
      <c r="AA5" s="38">
        <f>SUM('TQ Huy T'!E30:E34)</f>
        <v>0</v>
      </c>
      <c r="AB5" s="38">
        <f>SUM('TQ Huy T'!F30:F34)</f>
        <v>80230000</v>
      </c>
      <c r="AC5" s="40">
        <f t="shared" si="4"/>
        <v>0.76093507302867891</v>
      </c>
      <c r="AD5" s="64"/>
      <c r="AE5" s="64"/>
      <c r="AF5" s="64"/>
    </row>
    <row r="6" spans="1:32" ht="15.6" customHeight="1">
      <c r="A6" s="54">
        <v>4</v>
      </c>
      <c r="B6" s="33" t="s">
        <v>67</v>
      </c>
      <c r="C6" s="54"/>
      <c r="D6" s="54"/>
      <c r="E6" s="38">
        <f>SUM('PT Hải T'!C4:C8)</f>
        <v>24000000</v>
      </c>
      <c r="F6" s="38">
        <f>SUM('PT Hải T'!D4:D8)</f>
        <v>42710587.272727273</v>
      </c>
      <c r="G6" s="128">
        <f>SUM('PT Hải T'!E4:E8)</f>
        <v>12</v>
      </c>
      <c r="H6" s="38">
        <f>SUM('PT Hải T'!F4:F8)</f>
        <v>37740000</v>
      </c>
      <c r="I6" s="40">
        <f t="shared" si="0"/>
        <v>1.1317060750590162</v>
      </c>
      <c r="J6" s="38">
        <f>SUM('PT Hải T'!C9:C15)</f>
        <v>0</v>
      </c>
      <c r="K6" s="38">
        <f>SUM('PT Hải T'!D9:D15)</f>
        <v>55419126.363636352</v>
      </c>
      <c r="L6" s="38">
        <f>SUM('PT Hải T'!E9:E15)</f>
        <v>21</v>
      </c>
      <c r="M6" s="38">
        <f>SUM('PT Hải T'!F9:F15)</f>
        <v>64845000</v>
      </c>
      <c r="N6" s="40">
        <f t="shared" si="1"/>
        <v>0.85463993158510831</v>
      </c>
      <c r="O6" s="38">
        <f>SUM('PT Hải T'!C16:C22)</f>
        <v>0</v>
      </c>
      <c r="P6" s="38">
        <f>SUM('PT Hải T'!D16:D22)</f>
        <v>54678749.090909079</v>
      </c>
      <c r="Q6" s="38">
        <f>SUM('PT Hải T'!E16:E22)</f>
        <v>19</v>
      </c>
      <c r="R6" s="38">
        <f>SUM('PT Hải T'!F16:F22)</f>
        <v>58745000</v>
      </c>
      <c r="S6" s="40">
        <f t="shared" si="2"/>
        <v>0.93078132761782417</v>
      </c>
      <c r="T6" s="38">
        <f>SUM('PT Hải T'!C23:C29)</f>
        <v>0</v>
      </c>
      <c r="U6" s="38">
        <f>SUM('PT Hải T'!D23:D29)</f>
        <v>89627057.272727281</v>
      </c>
      <c r="V6" s="38">
        <f>SUM('PT Hải T'!E23:E29)</f>
        <v>33</v>
      </c>
      <c r="W6" s="38">
        <f>SUM('PT Hải T'!F23:F29)</f>
        <v>117945000</v>
      </c>
      <c r="X6" s="40">
        <f t="shared" si="3"/>
        <v>0.75990552607340101</v>
      </c>
      <c r="Y6" s="38">
        <f>SUM('PT Hải T'!C30:C34)</f>
        <v>0</v>
      </c>
      <c r="Z6" s="38">
        <f>SUM('PT Hải T'!D30:D34)</f>
        <v>28098569.999999996</v>
      </c>
      <c r="AA6" s="38">
        <f>SUM('PT Hải T'!E30:E34)</f>
        <v>15</v>
      </c>
      <c r="AB6" s="38">
        <f>SUM('PT Hải T'!F30:F34)</f>
        <v>52570000</v>
      </c>
      <c r="AC6" s="40">
        <f t="shared" si="4"/>
        <v>0.53449819288567613</v>
      </c>
      <c r="AD6" s="64"/>
      <c r="AE6" s="64"/>
      <c r="AF6" s="64"/>
    </row>
    <row r="7" spans="1:32" ht="15.6" customHeight="1">
      <c r="A7" s="54">
        <v>5</v>
      </c>
      <c r="B7" s="33" t="s">
        <v>106</v>
      </c>
      <c r="C7" s="54"/>
      <c r="D7" s="54"/>
      <c r="E7" s="38">
        <f>SUM('NV Lý T'!C4:C8)</f>
        <v>7000000</v>
      </c>
      <c r="F7" s="38">
        <f>SUM('NV Lý T'!D4:D8)</f>
        <v>13879712.727272727</v>
      </c>
      <c r="G7" s="128">
        <f>SUM('NV Lý T'!E4:E8)</f>
        <v>7</v>
      </c>
      <c r="H7" s="38">
        <f>SUM('NV Lý T'!F4:F8)</f>
        <v>20025000</v>
      </c>
      <c r="I7" s="40">
        <f t="shared" si="0"/>
        <v>0.6931192373169901</v>
      </c>
      <c r="J7" s="38">
        <f>SUM('NV Lý T'!C9:C15)</f>
        <v>0</v>
      </c>
      <c r="K7" s="38">
        <f>SUM('NV Lý T'!D9:D15)</f>
        <v>21805981.818181816</v>
      </c>
      <c r="L7" s="38">
        <f>SUM('NV Lý T'!E9:E15)</f>
        <v>5</v>
      </c>
      <c r="M7" s="38">
        <f>SUM('NV Lý T'!F9:F15)</f>
        <v>20935000</v>
      </c>
      <c r="N7" s="40">
        <f t="shared" si="1"/>
        <v>1.041604099268298</v>
      </c>
      <c r="O7" s="38">
        <f>SUM('NV Lý T'!C16:C22)</f>
        <v>0</v>
      </c>
      <c r="P7" s="38">
        <f>SUM('NV Lý T'!D16:D22)</f>
        <v>0</v>
      </c>
      <c r="Q7" s="38">
        <f>SUM('NV Lý T'!E16:E22)</f>
        <v>0</v>
      </c>
      <c r="R7" s="38">
        <f>SUM('NV Lý T'!F16:F22)</f>
        <v>6740000</v>
      </c>
      <c r="S7" s="40">
        <f t="shared" si="2"/>
        <v>0</v>
      </c>
      <c r="T7" s="38">
        <f>SUM('NV Lý T'!C23:C29)</f>
        <v>0</v>
      </c>
      <c r="U7" s="38">
        <f>SUM('NV Lý T'!D23:D29)</f>
        <v>0</v>
      </c>
      <c r="V7" s="38">
        <f>SUM('NV Lý T'!E23:E29)</f>
        <v>0</v>
      </c>
      <c r="W7" s="38">
        <f>SUM('NV Lý T'!F23:F29)</f>
        <v>0</v>
      </c>
      <c r="X7" s="40" t="e">
        <f t="shared" si="3"/>
        <v>#DIV/0!</v>
      </c>
      <c r="Y7" s="38">
        <f>SUM('NV Lý T'!C30:C34)</f>
        <v>0</v>
      </c>
      <c r="Z7" s="38">
        <f>SUM('NV Lý T'!D30:D34)</f>
        <v>0</v>
      </c>
      <c r="AA7" s="38">
        <f>SUM('NV Lý T'!E30:E34)</f>
        <v>0</v>
      </c>
      <c r="AB7" s="38">
        <f>SUM('NV Lý T'!F30:F34)</f>
        <v>0</v>
      </c>
      <c r="AC7" s="40" t="e">
        <f t="shared" si="4"/>
        <v>#DIV/0!</v>
      </c>
      <c r="AD7" s="64"/>
      <c r="AE7" s="64"/>
      <c r="AF7" s="64"/>
    </row>
    <row r="8" spans="1:32" ht="15.6" customHeight="1">
      <c r="A8" s="54">
        <v>6</v>
      </c>
      <c r="B8" s="33" t="s">
        <v>94</v>
      </c>
      <c r="C8" s="54"/>
      <c r="D8" s="54"/>
      <c r="E8" s="38">
        <f>SUM('ĐQ Anh T'!C4:C8)</f>
        <v>25000000</v>
      </c>
      <c r="F8" s="38">
        <f>SUM('ĐQ Anh T'!D4:D8)</f>
        <v>22099760</v>
      </c>
      <c r="G8" s="128">
        <f>SUM('ĐQ Anh T'!E4:E8)</f>
        <v>11</v>
      </c>
      <c r="H8" s="38">
        <f>SUM('ĐQ Anh T'!F4:F8)</f>
        <v>37855000</v>
      </c>
      <c r="I8" s="40">
        <f t="shared" si="0"/>
        <v>0.58380029058248584</v>
      </c>
      <c r="J8" s="38">
        <f>SUM('ĐQ Anh T'!C9:C15)</f>
        <v>35000000</v>
      </c>
      <c r="K8" s="38">
        <f>SUM('ĐQ Anh T'!D9:D15)</f>
        <v>29074899.090909086</v>
      </c>
      <c r="L8" s="38">
        <f>SUM('ĐQ Anh T'!E9:E15)</f>
        <v>13</v>
      </c>
      <c r="M8" s="38">
        <f>SUM('ĐQ Anh T'!F9:F15)</f>
        <v>47040000</v>
      </c>
      <c r="N8" s="40">
        <f t="shared" si="1"/>
        <v>0.61808884121830543</v>
      </c>
      <c r="O8" s="38">
        <f>SUM('ĐQ Anh T'!C16:C22)</f>
        <v>28000000</v>
      </c>
      <c r="P8" s="38">
        <f>SUM('ĐQ Anh T'!D16:D22)</f>
        <v>18771074.545454547</v>
      </c>
      <c r="Q8" s="38">
        <f>SUM('ĐQ Anh T'!E16:E22)</f>
        <v>10</v>
      </c>
      <c r="R8" s="38">
        <f>SUM('ĐQ Anh T'!F16:F22)</f>
        <v>36270000</v>
      </c>
      <c r="S8" s="40">
        <f t="shared" si="2"/>
        <v>0.51753720831140193</v>
      </c>
      <c r="T8" s="38">
        <f>SUM('ĐQ Anh T'!C23:C29)</f>
        <v>12000000</v>
      </c>
      <c r="U8" s="38">
        <f>SUM('ĐQ Anh T'!D23:D29)</f>
        <v>21683898.18181818</v>
      </c>
      <c r="V8" s="38">
        <f>SUM('ĐQ Anh T'!E23:E29)</f>
        <v>8</v>
      </c>
      <c r="W8" s="38">
        <f>SUM('ĐQ Anh T'!F23:F29)</f>
        <v>34770000</v>
      </c>
      <c r="X8" s="40">
        <f t="shared" si="3"/>
        <v>0.62363814155358588</v>
      </c>
      <c r="Y8" s="38">
        <f>SUM('ĐQ Anh T'!C30:C34)</f>
        <v>0</v>
      </c>
      <c r="Z8" s="38">
        <f>SUM('ĐQ Anh T'!D30:D34)</f>
        <v>0</v>
      </c>
      <c r="AA8" s="38">
        <f>SUM('ĐQ Anh T'!E30:E34)</f>
        <v>0</v>
      </c>
      <c r="AB8" s="38">
        <f>SUM('ĐQ Anh T'!F30:F34)</f>
        <v>14270000</v>
      </c>
      <c r="AC8" s="40">
        <f t="shared" si="4"/>
        <v>0</v>
      </c>
      <c r="AD8" s="64"/>
      <c r="AE8" s="64"/>
      <c r="AF8" s="64"/>
    </row>
    <row r="9" spans="1:32" ht="17.399999999999999" hidden="1" customHeight="1">
      <c r="A9" s="54">
        <v>7</v>
      </c>
      <c r="B9" s="48"/>
      <c r="C9" s="54"/>
      <c r="D9" s="54"/>
      <c r="E9" s="38"/>
      <c r="F9" s="38"/>
      <c r="G9" s="38"/>
      <c r="H9" s="38"/>
      <c r="I9" s="40" t="e">
        <f t="shared" si="0"/>
        <v>#DIV/0!</v>
      </c>
      <c r="J9" s="38"/>
      <c r="K9" s="38"/>
      <c r="L9" s="38"/>
      <c r="M9" s="38"/>
      <c r="N9" s="40" t="e">
        <f t="shared" si="1"/>
        <v>#DIV/0!</v>
      </c>
      <c r="O9" s="38"/>
      <c r="P9" s="38"/>
      <c r="Q9" s="38"/>
      <c r="R9" s="38"/>
      <c r="S9" s="40" t="e">
        <f t="shared" si="2"/>
        <v>#DIV/0!</v>
      </c>
      <c r="T9" s="38"/>
      <c r="U9" s="38"/>
      <c r="V9" s="38"/>
      <c r="W9" s="38"/>
      <c r="X9" s="40" t="e">
        <f t="shared" si="3"/>
        <v>#DIV/0!</v>
      </c>
      <c r="Y9" s="38"/>
      <c r="Z9" s="38"/>
      <c r="AA9" s="38"/>
      <c r="AB9" s="38"/>
      <c r="AC9" s="40" t="e">
        <f t="shared" si="4"/>
        <v>#DIV/0!</v>
      </c>
      <c r="AD9" s="64"/>
      <c r="AE9" s="64"/>
      <c r="AF9" s="64"/>
    </row>
    <row r="10" spans="1:32" ht="13.2" hidden="1" customHeight="1">
      <c r="A10" s="54">
        <v>8</v>
      </c>
      <c r="B10" s="54"/>
      <c r="C10" s="54"/>
      <c r="D10" s="54"/>
      <c r="E10" s="38"/>
      <c r="F10" s="38"/>
      <c r="G10" s="38"/>
      <c r="H10" s="38"/>
      <c r="I10" s="40" t="e">
        <f t="shared" si="0"/>
        <v>#DIV/0!</v>
      </c>
      <c r="J10" s="38"/>
      <c r="K10" s="38"/>
      <c r="L10" s="38"/>
      <c r="M10" s="38"/>
      <c r="N10" s="40" t="e">
        <f t="shared" si="1"/>
        <v>#DIV/0!</v>
      </c>
      <c r="O10" s="38"/>
      <c r="P10" s="38"/>
      <c r="Q10" s="38"/>
      <c r="R10" s="38"/>
      <c r="S10" s="40" t="e">
        <f t="shared" si="2"/>
        <v>#DIV/0!</v>
      </c>
      <c r="T10" s="38"/>
      <c r="U10" s="38"/>
      <c r="V10" s="38"/>
      <c r="W10" s="38"/>
      <c r="X10" s="40" t="e">
        <f t="shared" si="3"/>
        <v>#DIV/0!</v>
      </c>
      <c r="Y10" s="38"/>
      <c r="Z10" s="38"/>
      <c r="AA10" s="38"/>
      <c r="AB10" s="38"/>
      <c r="AC10" s="40" t="e">
        <f t="shared" si="4"/>
        <v>#DIV/0!</v>
      </c>
      <c r="AD10" s="64"/>
      <c r="AE10" s="64"/>
      <c r="AF10" s="64"/>
    </row>
    <row r="11" spans="1:32" ht="13.8" customHeight="1">
      <c r="A11" s="383" t="s">
        <v>133</v>
      </c>
      <c r="B11" s="384"/>
      <c r="C11" s="151"/>
      <c r="D11" s="151"/>
      <c r="E11" s="43">
        <f>SUM(E3:E10)</f>
        <v>306000000</v>
      </c>
      <c r="F11" s="43">
        <f>SUM(F3:F10)</f>
        <v>343422663.63636363</v>
      </c>
      <c r="G11" s="153">
        <f>SUM(G3:G10)</f>
        <v>134</v>
      </c>
      <c r="H11" s="43">
        <f>SUM(H3:H10)</f>
        <v>404220000</v>
      </c>
      <c r="I11" s="41">
        <f t="shared" si="0"/>
        <v>0.84959344821226956</v>
      </c>
      <c r="J11" s="43">
        <f>SUM(J3:J10)</f>
        <v>276000000</v>
      </c>
      <c r="K11" s="43">
        <f>SUM(K3:K10)</f>
        <v>435716517.27272725</v>
      </c>
      <c r="L11" s="43">
        <f>SUM(L3:L10)</f>
        <v>200</v>
      </c>
      <c r="M11" s="43">
        <f>SUM(M3:M10)</f>
        <v>621880000</v>
      </c>
      <c r="N11" s="41">
        <f t="shared" si="1"/>
        <v>0.70064404269750957</v>
      </c>
      <c r="O11" s="43">
        <f>SUM(O3:O10)</f>
        <v>94000000</v>
      </c>
      <c r="P11" s="43">
        <f>SUM(P3:P10)</f>
        <v>369490155.45454538</v>
      </c>
      <c r="Q11" s="43">
        <f>SUM(Q3:Q10)</f>
        <v>180</v>
      </c>
      <c r="R11" s="43">
        <f>SUM(R3:R10)</f>
        <v>555865000</v>
      </c>
      <c r="S11" s="41">
        <f t="shared" si="2"/>
        <v>0.66471203521456712</v>
      </c>
      <c r="T11" s="43">
        <f>SUM(T3:T10)</f>
        <v>12000000</v>
      </c>
      <c r="U11" s="43">
        <f>SUM(U3:U10)</f>
        <v>404996735.45454544</v>
      </c>
      <c r="V11" s="43">
        <f>SUM(V3:V10)</f>
        <v>215</v>
      </c>
      <c r="W11" s="43">
        <f>SUM(W3:W10)</f>
        <v>701685000</v>
      </c>
      <c r="X11" s="41">
        <f t="shared" si="3"/>
        <v>0.57717741643977771</v>
      </c>
      <c r="Y11" s="43">
        <f>SUM(Y3:Y10)</f>
        <v>0</v>
      </c>
      <c r="Z11" s="43">
        <f>SUM(Z3:Z10)</f>
        <v>225625675.45454544</v>
      </c>
      <c r="AA11" s="43">
        <f>SUM(AA3:AA10)</f>
        <v>93</v>
      </c>
      <c r="AB11" s="43">
        <f>SUM(AB3:AB10)</f>
        <v>402829696</v>
      </c>
      <c r="AC11" s="41">
        <f t="shared" si="4"/>
        <v>0.5601018934178712</v>
      </c>
      <c r="AD11" s="66"/>
      <c r="AE11" s="66"/>
      <c r="AF11" s="66"/>
    </row>
    <row r="12" spans="1:32" ht="13.2" customHeight="1">
      <c r="E12" s="63"/>
      <c r="F12" s="63"/>
      <c r="G12" s="63"/>
      <c r="H12" s="63"/>
      <c r="I12" s="64"/>
      <c r="J12" s="63"/>
      <c r="K12" s="63"/>
      <c r="L12" s="63"/>
      <c r="M12" s="63"/>
      <c r="O12" s="63"/>
      <c r="P12" s="63"/>
      <c r="Q12" s="63"/>
      <c r="R12" s="63"/>
      <c r="T12" s="63"/>
      <c r="U12" s="63"/>
      <c r="V12" s="63"/>
      <c r="W12" s="63"/>
      <c r="Y12" s="63"/>
      <c r="Z12" s="63"/>
      <c r="AA12" s="63"/>
      <c r="AB12" s="63"/>
    </row>
    <row r="13" spans="1:32" ht="15.6" customHeight="1">
      <c r="A13" s="54">
        <v>1</v>
      </c>
      <c r="B13" s="69" t="s">
        <v>46</v>
      </c>
      <c r="C13" s="54"/>
      <c r="D13" s="54"/>
      <c r="E13" s="38">
        <f>SUM('NT Thưởng T'!C4:C8)</f>
        <v>0</v>
      </c>
      <c r="F13" s="38">
        <f>SUM('NT Thưởng T'!D4:D8)</f>
        <v>19610390.909090906</v>
      </c>
      <c r="G13" s="38">
        <f>SUM('NT Thưởng T'!E4:E8)</f>
        <v>10</v>
      </c>
      <c r="H13" s="38">
        <f>SUM('NT Thưởng T'!F4:F8)</f>
        <v>31780000</v>
      </c>
      <c r="I13" s="40">
        <f t="shared" ref="I13:I18" si="5">F13/H13</f>
        <v>0.61706705189084032</v>
      </c>
      <c r="J13" s="38">
        <f>SUM('NT Thưởng T'!C9:C15)</f>
        <v>0</v>
      </c>
      <c r="K13" s="38">
        <f>SUM('NT Thưởng T'!D9:D15)</f>
        <v>27648778.18181818</v>
      </c>
      <c r="L13" s="38">
        <f>SUM('NT Thưởng T'!E9:E15)</f>
        <v>4</v>
      </c>
      <c r="M13" s="38">
        <f>SUM('NT Thưởng T'!F9:F15)</f>
        <v>12290000</v>
      </c>
      <c r="N13" s="40">
        <f t="shared" ref="N13:N18" si="6">K13/M13</f>
        <v>2.2496971669502179</v>
      </c>
      <c r="O13" s="38">
        <f>SUM('NT Thưởng T'!C16:C22)</f>
        <v>0</v>
      </c>
      <c r="P13" s="38">
        <f>SUM('NT Thưởng T'!D16:D22)</f>
        <v>16293302.727272727</v>
      </c>
      <c r="Q13" s="38">
        <f>SUM('NT Thưởng T'!E16:E22)</f>
        <v>7</v>
      </c>
      <c r="R13" s="38">
        <f>SUM('NT Thưởng T'!F16:F22)</f>
        <v>20115000</v>
      </c>
      <c r="S13" s="40">
        <f t="shared" ref="S13:S18" si="7">P13/R13</f>
        <v>0.8100075927055792</v>
      </c>
      <c r="T13" s="38">
        <f>SUM('NT Thưởng T'!C23:C29)</f>
        <v>0</v>
      </c>
      <c r="U13" s="38">
        <f>SUM('NT Thưởng T'!D23:D29)</f>
        <v>40040905.454545453</v>
      </c>
      <c r="V13" s="38">
        <f>SUM('NT Thưởng T'!E23:E29)</f>
        <v>6</v>
      </c>
      <c r="W13" s="38">
        <f>SUM('NT Thưởng T'!F23:F29)</f>
        <v>15815000</v>
      </c>
      <c r="X13" s="40">
        <f t="shared" ref="X13:X18" si="8">U13/W13</f>
        <v>2.5318308855229499</v>
      </c>
      <c r="Y13" s="38">
        <f>SUM('NT Thưởng T'!C30:C34)</f>
        <v>0</v>
      </c>
      <c r="Z13" s="38">
        <f>SUM('NT Thưởng T'!D30:D34)</f>
        <v>10690702.727272727</v>
      </c>
      <c r="AA13" s="38">
        <f>SUM('NT Thưởng T'!E30:E34)</f>
        <v>4</v>
      </c>
      <c r="AB13" s="38">
        <f>SUM('NT Thưởng T'!F30:F34)</f>
        <v>13210000</v>
      </c>
      <c r="AC13" s="40">
        <f t="shared" ref="AC13:AC18" si="9">Z13/AB13</f>
        <v>0.80928862432041837</v>
      </c>
      <c r="AD13" s="64"/>
      <c r="AE13" s="64"/>
      <c r="AF13" s="64"/>
    </row>
    <row r="14" spans="1:32" ht="13.2" hidden="1" customHeight="1">
      <c r="A14" s="54">
        <v>2</v>
      </c>
      <c r="B14" s="54"/>
      <c r="C14" s="54"/>
      <c r="D14" s="54"/>
      <c r="E14" s="38"/>
      <c r="F14" s="38"/>
      <c r="G14" s="38"/>
      <c r="H14" s="38"/>
      <c r="I14" s="40" t="e">
        <f t="shared" si="5"/>
        <v>#DIV/0!</v>
      </c>
      <c r="J14" s="38"/>
      <c r="K14" s="38"/>
      <c r="L14" s="38"/>
      <c r="M14" s="38"/>
      <c r="N14" s="40" t="e">
        <f t="shared" si="6"/>
        <v>#DIV/0!</v>
      </c>
      <c r="O14" s="38"/>
      <c r="P14" s="38"/>
      <c r="Q14" s="38"/>
      <c r="R14" s="38"/>
      <c r="S14" s="40" t="e">
        <f t="shared" si="7"/>
        <v>#DIV/0!</v>
      </c>
      <c r="T14" s="38"/>
      <c r="U14" s="38"/>
      <c r="V14" s="38"/>
      <c r="W14" s="38"/>
      <c r="X14" s="40" t="e">
        <f t="shared" si="8"/>
        <v>#DIV/0!</v>
      </c>
      <c r="Y14" s="38"/>
      <c r="Z14" s="38"/>
      <c r="AA14" s="38"/>
      <c r="AB14" s="38"/>
      <c r="AC14" s="40" t="e">
        <f t="shared" si="9"/>
        <v>#DIV/0!</v>
      </c>
      <c r="AD14" s="64"/>
      <c r="AE14" s="64"/>
      <c r="AF14" s="64"/>
    </row>
    <row r="15" spans="1:32" ht="13.2" hidden="1" customHeight="1">
      <c r="A15" s="54">
        <v>3</v>
      </c>
      <c r="B15" s="54"/>
      <c r="C15" s="54"/>
      <c r="D15" s="54"/>
      <c r="E15" s="38"/>
      <c r="F15" s="38"/>
      <c r="G15" s="38"/>
      <c r="H15" s="38"/>
      <c r="I15" s="40" t="e">
        <f t="shared" si="5"/>
        <v>#DIV/0!</v>
      </c>
      <c r="J15" s="38"/>
      <c r="K15" s="38"/>
      <c r="L15" s="38"/>
      <c r="M15" s="38"/>
      <c r="N15" s="40" t="e">
        <f t="shared" si="6"/>
        <v>#DIV/0!</v>
      </c>
      <c r="O15" s="38"/>
      <c r="P15" s="38"/>
      <c r="Q15" s="38"/>
      <c r="R15" s="38"/>
      <c r="S15" s="40" t="e">
        <f t="shared" si="7"/>
        <v>#DIV/0!</v>
      </c>
      <c r="T15" s="38"/>
      <c r="U15" s="38"/>
      <c r="V15" s="38"/>
      <c r="W15" s="38"/>
      <c r="X15" s="40" t="e">
        <f t="shared" si="8"/>
        <v>#DIV/0!</v>
      </c>
      <c r="Y15" s="38"/>
      <c r="Z15" s="38"/>
      <c r="AA15" s="38"/>
      <c r="AB15" s="38"/>
      <c r="AC15" s="40" t="e">
        <f t="shared" si="9"/>
        <v>#DIV/0!</v>
      </c>
      <c r="AD15" s="64"/>
      <c r="AE15" s="64"/>
      <c r="AF15" s="64"/>
    </row>
    <row r="16" spans="1:32" ht="13.2" hidden="1" customHeight="1">
      <c r="A16" s="54">
        <v>4</v>
      </c>
      <c r="B16" s="54"/>
      <c r="C16" s="54"/>
      <c r="D16" s="54"/>
      <c r="E16" s="38"/>
      <c r="F16" s="38"/>
      <c r="G16" s="38"/>
      <c r="H16" s="38"/>
      <c r="I16" s="40" t="e">
        <f t="shared" si="5"/>
        <v>#DIV/0!</v>
      </c>
      <c r="J16" s="38"/>
      <c r="K16" s="38"/>
      <c r="L16" s="38"/>
      <c r="M16" s="38"/>
      <c r="N16" s="40" t="e">
        <f t="shared" si="6"/>
        <v>#DIV/0!</v>
      </c>
      <c r="O16" s="38"/>
      <c r="P16" s="38"/>
      <c r="Q16" s="38"/>
      <c r="R16" s="38"/>
      <c r="S16" s="40" t="e">
        <f t="shared" si="7"/>
        <v>#DIV/0!</v>
      </c>
      <c r="T16" s="38"/>
      <c r="U16" s="38"/>
      <c r="V16" s="38"/>
      <c r="W16" s="38"/>
      <c r="X16" s="40" t="e">
        <f t="shared" si="8"/>
        <v>#DIV/0!</v>
      </c>
      <c r="Y16" s="38"/>
      <c r="Z16" s="38"/>
      <c r="AA16" s="38"/>
      <c r="AB16" s="38"/>
      <c r="AC16" s="40" t="e">
        <f t="shared" si="9"/>
        <v>#DIV/0!</v>
      </c>
      <c r="AD16" s="64"/>
      <c r="AE16" s="64"/>
      <c r="AF16" s="64"/>
    </row>
    <row r="17" spans="1:32" ht="13.2" hidden="1" customHeight="1">
      <c r="A17" s="54">
        <v>5</v>
      </c>
      <c r="B17" s="54"/>
      <c r="C17" s="54"/>
      <c r="D17" s="54"/>
      <c r="E17" s="38"/>
      <c r="F17" s="38"/>
      <c r="G17" s="38"/>
      <c r="H17" s="38"/>
      <c r="I17" s="40" t="e">
        <f t="shared" si="5"/>
        <v>#DIV/0!</v>
      </c>
      <c r="J17" s="38"/>
      <c r="K17" s="38"/>
      <c r="L17" s="38"/>
      <c r="M17" s="38"/>
      <c r="N17" s="40" t="e">
        <f t="shared" si="6"/>
        <v>#DIV/0!</v>
      </c>
      <c r="O17" s="38"/>
      <c r="P17" s="38"/>
      <c r="Q17" s="38"/>
      <c r="R17" s="38"/>
      <c r="S17" s="40" t="e">
        <f t="shared" si="7"/>
        <v>#DIV/0!</v>
      </c>
      <c r="T17" s="38"/>
      <c r="U17" s="38"/>
      <c r="V17" s="38"/>
      <c r="W17" s="38"/>
      <c r="X17" s="40" t="e">
        <f t="shared" si="8"/>
        <v>#DIV/0!</v>
      </c>
      <c r="Y17" s="38"/>
      <c r="Z17" s="38"/>
      <c r="AA17" s="38"/>
      <c r="AB17" s="38"/>
      <c r="AC17" s="40" t="e">
        <f t="shared" si="9"/>
        <v>#DIV/0!</v>
      </c>
      <c r="AD17" s="64"/>
      <c r="AE17" s="64"/>
      <c r="AF17" s="64"/>
    </row>
    <row r="18" spans="1:32" ht="13.8" customHeight="1">
      <c r="A18" s="383" t="s">
        <v>134</v>
      </c>
      <c r="B18" s="384"/>
      <c r="C18" s="151"/>
      <c r="D18" s="151"/>
      <c r="E18" s="43">
        <f>SUM(E13:E17)</f>
        <v>0</v>
      </c>
      <c r="F18" s="43">
        <f>SUM(F13:F17)</f>
        <v>19610390.909090906</v>
      </c>
      <c r="G18" s="43">
        <f>SUM(G13:G17)</f>
        <v>10</v>
      </c>
      <c r="H18" s="43">
        <f>SUM(H13:H17)</f>
        <v>31780000</v>
      </c>
      <c r="I18" s="41">
        <f t="shared" si="5"/>
        <v>0.61706705189084032</v>
      </c>
      <c r="J18" s="43">
        <f>SUM(J13:J17)</f>
        <v>0</v>
      </c>
      <c r="K18" s="43">
        <f>SUM(K13:K17)</f>
        <v>27648778.18181818</v>
      </c>
      <c r="L18" s="43">
        <f>SUM(L13:L17)</f>
        <v>4</v>
      </c>
      <c r="M18" s="43">
        <f>SUM(M13:M17)</f>
        <v>12290000</v>
      </c>
      <c r="N18" s="41">
        <f t="shared" si="6"/>
        <v>2.2496971669502179</v>
      </c>
      <c r="O18" s="43">
        <f>SUM(O13:O17)</f>
        <v>0</v>
      </c>
      <c r="P18" s="43">
        <f>SUM(P13:P17)</f>
        <v>16293302.727272727</v>
      </c>
      <c r="Q18" s="43">
        <f>SUM(Q13:Q17)</f>
        <v>7</v>
      </c>
      <c r="R18" s="43">
        <f>SUM(R13:R17)</f>
        <v>20115000</v>
      </c>
      <c r="S18" s="41">
        <f t="shared" si="7"/>
        <v>0.8100075927055792</v>
      </c>
      <c r="T18" s="43">
        <f>SUM(T13:T17)</f>
        <v>0</v>
      </c>
      <c r="U18" s="43">
        <f>SUM(U13:U17)</f>
        <v>40040905.454545453</v>
      </c>
      <c r="V18" s="43">
        <f>SUM(V13:V17)</f>
        <v>6</v>
      </c>
      <c r="W18" s="43">
        <f>SUM(W13:W17)</f>
        <v>15815000</v>
      </c>
      <c r="X18" s="41">
        <f t="shared" si="8"/>
        <v>2.5318308855229499</v>
      </c>
      <c r="Y18" s="43">
        <f>SUM(Y13:Y17)</f>
        <v>0</v>
      </c>
      <c r="Z18" s="43">
        <f>SUM(Z13:Z17)</f>
        <v>10690702.727272727</v>
      </c>
      <c r="AA18" s="43">
        <f>SUM(AA13:AA17)</f>
        <v>4</v>
      </c>
      <c r="AB18" s="43">
        <f>SUM(AB13:AB17)</f>
        <v>13210000</v>
      </c>
      <c r="AC18" s="41">
        <f t="shared" si="9"/>
        <v>0.80928862432041837</v>
      </c>
      <c r="AD18" s="66"/>
      <c r="AE18" s="66"/>
      <c r="AF18" s="66"/>
    </row>
    <row r="19" spans="1:32" ht="13.2" customHeight="1">
      <c r="E19" s="63"/>
      <c r="F19" s="63"/>
      <c r="G19" s="63"/>
      <c r="H19" s="63"/>
      <c r="I19" s="64"/>
      <c r="J19" s="63"/>
      <c r="K19" s="63"/>
      <c r="L19" s="63"/>
      <c r="M19" s="63"/>
      <c r="O19" s="63"/>
      <c r="P19" s="63"/>
      <c r="Q19" s="63"/>
      <c r="R19" s="63"/>
      <c r="T19" s="63"/>
      <c r="U19" s="63"/>
      <c r="V19" s="63"/>
      <c r="W19" s="63"/>
      <c r="Y19" s="63"/>
      <c r="Z19" s="63"/>
      <c r="AA19" s="63"/>
      <c r="AB19" s="63"/>
    </row>
    <row r="20" spans="1:32" ht="16.8" customHeight="1">
      <c r="A20" s="385" t="s">
        <v>135</v>
      </c>
      <c r="B20" s="384"/>
      <c r="C20" s="157"/>
      <c r="D20" s="157"/>
      <c r="E20" s="158">
        <f>E18+E11</f>
        <v>306000000</v>
      </c>
      <c r="F20" s="158">
        <f>F18+F11</f>
        <v>363033054.5454545</v>
      </c>
      <c r="G20" s="158">
        <f>G18+G11</f>
        <v>144</v>
      </c>
      <c r="H20" s="158">
        <f>H18+H11</f>
        <v>436000000</v>
      </c>
      <c r="I20" s="146">
        <f>F20/H20</f>
        <v>0.83264462051709753</v>
      </c>
      <c r="J20" s="158">
        <f>J18+J11</f>
        <v>276000000</v>
      </c>
      <c r="K20" s="158">
        <f>K18+K11</f>
        <v>463365295.45454544</v>
      </c>
      <c r="L20" s="158">
        <f>L18+L11</f>
        <v>204</v>
      </c>
      <c r="M20" s="158">
        <f>M18+M11</f>
        <v>634170000</v>
      </c>
      <c r="N20" s="146">
        <f>K20/M20</f>
        <v>0.73066416805359047</v>
      </c>
      <c r="O20" s="158">
        <f>O18+O11</f>
        <v>94000000</v>
      </c>
      <c r="P20" s="158">
        <f>P18+P11</f>
        <v>385783458.18181813</v>
      </c>
      <c r="Q20" s="158">
        <f>Q18+Q11</f>
        <v>187</v>
      </c>
      <c r="R20" s="158">
        <f>R18+R11</f>
        <v>575980000</v>
      </c>
      <c r="S20" s="146">
        <f>P20/R20</f>
        <v>0.66978620469776406</v>
      </c>
      <c r="T20" s="158">
        <f>T18+T11</f>
        <v>12000000</v>
      </c>
      <c r="U20" s="158">
        <f>U18+U11</f>
        <v>445037640.90909088</v>
      </c>
      <c r="V20" s="158">
        <f>V18+V11</f>
        <v>221</v>
      </c>
      <c r="W20" s="158">
        <f>W18+W11</f>
        <v>717500000</v>
      </c>
      <c r="X20" s="146">
        <f>U20/W20</f>
        <v>0.62026152043078864</v>
      </c>
      <c r="Y20" s="158">
        <f>Y18+Y11</f>
        <v>0</v>
      </c>
      <c r="Z20" s="158">
        <f>Z18+Z11</f>
        <v>236316378.18181816</v>
      </c>
      <c r="AA20" s="158">
        <f>AA18+AA11</f>
        <v>97</v>
      </c>
      <c r="AB20" s="158">
        <f>AB18+AB11</f>
        <v>416039696</v>
      </c>
      <c r="AC20" s="146">
        <f>Z20/AB20</f>
        <v>0.56801401513815686</v>
      </c>
      <c r="AD20" s="161"/>
      <c r="AE20" s="161"/>
      <c r="AF20" s="161"/>
    </row>
    <row r="21" spans="1:32" ht="13.2" customHeight="1">
      <c r="E21" s="63"/>
      <c r="F21" s="63"/>
      <c r="G21" s="63"/>
      <c r="H21" s="63"/>
      <c r="J21" s="63"/>
      <c r="K21" s="63"/>
      <c r="L21" s="63"/>
      <c r="M21" s="63"/>
    </row>
    <row r="23" spans="1:32" ht="13.2" customHeight="1">
      <c r="E23" s="389" t="s">
        <v>162</v>
      </c>
      <c r="F23" s="380"/>
      <c r="G23" s="380"/>
      <c r="H23" s="380"/>
      <c r="I23" s="380"/>
    </row>
    <row r="24" spans="1:32" ht="17.399999999999999" customHeight="1">
      <c r="A24" s="91" t="s">
        <v>0</v>
      </c>
      <c r="B24" s="91" t="s">
        <v>19</v>
      </c>
      <c r="C24" s="14" t="s">
        <v>7</v>
      </c>
      <c r="D24" s="154" t="s">
        <v>8</v>
      </c>
      <c r="E24" s="8" t="s">
        <v>161</v>
      </c>
      <c r="F24" s="17" t="s">
        <v>126</v>
      </c>
      <c r="G24" s="150" t="s">
        <v>4</v>
      </c>
      <c r="H24" s="150" t="s">
        <v>5</v>
      </c>
      <c r="I24" s="150" t="s">
        <v>6</v>
      </c>
    </row>
    <row r="25" spans="1:32" ht="15.6" customHeight="1">
      <c r="A25" s="54">
        <v>1</v>
      </c>
      <c r="B25" s="33" t="s">
        <v>29</v>
      </c>
      <c r="C25" s="54"/>
      <c r="D25" s="54"/>
      <c r="E25" s="38">
        <f>SUM('NH Anh T'!C3)</f>
        <v>198000000</v>
      </c>
      <c r="F25" s="38">
        <f>SUM('NH Anh T'!D3)</f>
        <v>798099147.27272689</v>
      </c>
      <c r="G25" s="128">
        <f>SUM('NH Anh T'!E3)</f>
        <v>399</v>
      </c>
      <c r="H25" s="38">
        <f>SUM('NH Anh T'!F3)</f>
        <v>1124484021</v>
      </c>
      <c r="I25" s="40">
        <f t="shared" ref="I25:I33" si="10">F25/H25</f>
        <v>0.7097469882791041</v>
      </c>
    </row>
    <row r="26" spans="1:32" ht="15.6" customHeight="1">
      <c r="A26" s="54">
        <v>2</v>
      </c>
      <c r="B26" s="33" t="s">
        <v>54</v>
      </c>
      <c r="C26" s="54"/>
      <c r="D26" s="54"/>
      <c r="E26" s="38">
        <f>SUM('BQ Anh T'!C3)</f>
        <v>113000000</v>
      </c>
      <c r="F26" s="38">
        <f>SUM('BQ Anh T'!D3)</f>
        <v>272545755.45454544</v>
      </c>
      <c r="G26" s="128">
        <f>SUM('BQ Anh T'!E3)</f>
        <v>168</v>
      </c>
      <c r="H26" s="38">
        <f>SUM('BQ Anh T'!F3)</f>
        <v>520556882</v>
      </c>
      <c r="I26" s="40">
        <f t="shared" si="10"/>
        <v>0.52356575213723799</v>
      </c>
    </row>
    <row r="27" spans="1:32" ht="15.6" customHeight="1">
      <c r="A27" s="54">
        <v>3</v>
      </c>
      <c r="B27" s="33" t="s">
        <v>79</v>
      </c>
      <c r="C27" s="54"/>
      <c r="D27" s="54"/>
      <c r="E27" s="38">
        <f>SUM('TQ Huy T'!C3)</f>
        <v>246000000</v>
      </c>
      <c r="F27" s="38">
        <f>SUM('TQ Huy T'!D3)</f>
        <v>310757428.18181813</v>
      </c>
      <c r="G27" s="128">
        <f>SUM('TQ Huy T'!E3)</f>
        <v>101</v>
      </c>
      <c r="H27" s="38">
        <f>SUM('TQ Huy T'!F3)</f>
        <v>408820000</v>
      </c>
      <c r="I27" s="40">
        <f t="shared" si="10"/>
        <v>0.76013264561865401</v>
      </c>
    </row>
    <row r="28" spans="1:32" ht="15.6" customHeight="1">
      <c r="A28" s="54">
        <v>4</v>
      </c>
      <c r="B28" s="33" t="s">
        <v>67</v>
      </c>
      <c r="C28" s="54"/>
      <c r="D28" s="54"/>
      <c r="E28" s="38">
        <f>SUM('PT Hải T'!C3)</f>
        <v>24000000</v>
      </c>
      <c r="F28" s="38">
        <f>SUM('PT Hải T'!D3)</f>
        <v>270534090</v>
      </c>
      <c r="G28" s="128">
        <f>SUM('PT Hải T'!E3)</f>
        <v>100</v>
      </c>
      <c r="H28" s="38">
        <f>SUM('PT Hải T'!F3)</f>
        <v>366845000</v>
      </c>
      <c r="I28" s="40">
        <f t="shared" si="10"/>
        <v>0.7374615709632133</v>
      </c>
    </row>
    <row r="29" spans="1:32" ht="15.6" customHeight="1">
      <c r="A29" s="54">
        <v>5</v>
      </c>
      <c r="B29" s="33" t="s">
        <v>106</v>
      </c>
      <c r="C29" s="54"/>
      <c r="D29" s="54"/>
      <c r="E29" s="38">
        <f>SUM('NV Lý T'!C3)</f>
        <v>7000000</v>
      </c>
      <c r="F29" s="38">
        <f>SUM('NV Lý T'!D3)</f>
        <v>35685694.545454547</v>
      </c>
      <c r="G29" s="128">
        <f>SUM('NV Lý T'!E3)</f>
        <v>12</v>
      </c>
      <c r="H29" s="38">
        <f>SUM('NV Lý T'!F3)</f>
        <v>47700000</v>
      </c>
      <c r="I29" s="40">
        <f t="shared" si="10"/>
        <v>0.74812776824852301</v>
      </c>
    </row>
    <row r="30" spans="1:32" ht="15.6" customHeight="1">
      <c r="A30" s="54">
        <v>6</v>
      </c>
      <c r="B30" s="33" t="s">
        <v>94</v>
      </c>
      <c r="C30" s="54"/>
      <c r="D30" s="54"/>
      <c r="E30" s="38">
        <f>SUM('ĐQ Anh T'!C3)</f>
        <v>100000000</v>
      </c>
      <c r="F30" s="38">
        <f>SUM('ĐQ Anh T'!D3)</f>
        <v>91629631.818181783</v>
      </c>
      <c r="G30" s="128">
        <f>SUM('ĐQ Anh T'!E3)</f>
        <v>42</v>
      </c>
      <c r="H30" s="38">
        <f>SUM('ĐQ Anh T'!F3)</f>
        <v>170205000</v>
      </c>
      <c r="I30" s="40">
        <f t="shared" si="10"/>
        <v>0.53834864908893265</v>
      </c>
    </row>
    <row r="31" spans="1:32" ht="17.399999999999999" hidden="1" customHeight="1">
      <c r="A31" s="54">
        <v>7</v>
      </c>
      <c r="B31" s="48"/>
      <c r="C31" s="54"/>
      <c r="D31" s="54"/>
      <c r="E31" s="38"/>
      <c r="F31" s="38"/>
      <c r="G31" s="38"/>
      <c r="H31" s="38"/>
      <c r="I31" s="40" t="e">
        <f t="shared" si="10"/>
        <v>#DIV/0!</v>
      </c>
    </row>
    <row r="32" spans="1:32" ht="13.2" hidden="1" customHeight="1">
      <c r="A32" s="54">
        <v>8</v>
      </c>
      <c r="B32" s="54"/>
      <c r="C32" s="54"/>
      <c r="D32" s="54"/>
      <c r="E32" s="38"/>
      <c r="F32" s="38"/>
      <c r="G32" s="38"/>
      <c r="H32" s="38"/>
      <c r="I32" s="40" t="e">
        <f t="shared" si="10"/>
        <v>#DIV/0!</v>
      </c>
    </row>
    <row r="33" spans="1:9" ht="13.8" customHeight="1">
      <c r="A33" s="383" t="s">
        <v>133</v>
      </c>
      <c r="B33" s="384"/>
      <c r="C33" s="151"/>
      <c r="D33" s="151"/>
      <c r="E33" s="43">
        <f>SUM(E25:E32)</f>
        <v>688000000</v>
      </c>
      <c r="F33" s="43">
        <f>SUM(F25:F32)</f>
        <v>1779251747.2727268</v>
      </c>
      <c r="G33" s="153">
        <f>SUM(G25:G32)</f>
        <v>822</v>
      </c>
      <c r="H33" s="43">
        <f>SUM(H25:H32)</f>
        <v>2638610903</v>
      </c>
      <c r="I33" s="41">
        <f t="shared" si="10"/>
        <v>0.6743138009661771</v>
      </c>
    </row>
    <row r="34" spans="1:9" ht="13.2" customHeight="1">
      <c r="E34" s="63"/>
      <c r="F34" s="63"/>
      <c r="G34" s="63"/>
      <c r="H34" s="63"/>
      <c r="I34" s="64"/>
    </row>
    <row r="35" spans="1:9" ht="15.6" customHeight="1">
      <c r="A35" s="54">
        <v>1</v>
      </c>
      <c r="B35" s="69" t="s">
        <v>46</v>
      </c>
      <c r="C35" s="54"/>
      <c r="D35" s="54"/>
      <c r="E35" s="38">
        <f>SUM('NT Thưởng T'!C11)</f>
        <v>0</v>
      </c>
      <c r="F35" s="38">
        <f>SUM('NT Thưởng T'!D3)</f>
        <v>114284079.99999997</v>
      </c>
      <c r="G35" s="38">
        <f>SUM('NT Thưởng T'!E3)</f>
        <v>31</v>
      </c>
      <c r="H35" s="38">
        <f>SUM('NT Thưởng T'!F3)</f>
        <v>93210000</v>
      </c>
      <c r="I35" s="40">
        <f t="shared" ref="I35:I40" si="11">F35/H35</f>
        <v>1.2260924793477093</v>
      </c>
    </row>
    <row r="36" spans="1:9" ht="13.2" hidden="1" customHeight="1">
      <c r="A36" s="54">
        <v>2</v>
      </c>
      <c r="B36" s="54"/>
      <c r="C36" s="54"/>
      <c r="D36" s="54"/>
      <c r="E36" s="38"/>
      <c r="F36" s="38"/>
      <c r="G36" s="38"/>
      <c r="H36" s="38"/>
      <c r="I36" s="40" t="e">
        <f t="shared" si="11"/>
        <v>#DIV/0!</v>
      </c>
    </row>
    <row r="37" spans="1:9" ht="13.2" hidden="1" customHeight="1">
      <c r="A37" s="54">
        <v>3</v>
      </c>
      <c r="B37" s="54"/>
      <c r="C37" s="54"/>
      <c r="D37" s="54"/>
      <c r="E37" s="38"/>
      <c r="F37" s="38"/>
      <c r="G37" s="38"/>
      <c r="H37" s="38"/>
      <c r="I37" s="40" t="e">
        <f t="shared" si="11"/>
        <v>#DIV/0!</v>
      </c>
    </row>
    <row r="38" spans="1:9" ht="13.2" hidden="1" customHeight="1">
      <c r="A38" s="54">
        <v>4</v>
      </c>
      <c r="B38" s="54"/>
      <c r="C38" s="54"/>
      <c r="D38" s="54"/>
      <c r="E38" s="38"/>
      <c r="F38" s="38"/>
      <c r="G38" s="38"/>
      <c r="H38" s="38"/>
      <c r="I38" s="40" t="e">
        <f t="shared" si="11"/>
        <v>#DIV/0!</v>
      </c>
    </row>
    <row r="39" spans="1:9" ht="13.2" hidden="1" customHeight="1">
      <c r="A39" s="54">
        <v>5</v>
      </c>
      <c r="B39" s="54"/>
      <c r="C39" s="54"/>
      <c r="D39" s="54"/>
      <c r="E39" s="38"/>
      <c r="F39" s="38"/>
      <c r="G39" s="38"/>
      <c r="H39" s="38"/>
      <c r="I39" s="40" t="e">
        <f t="shared" si="11"/>
        <v>#DIV/0!</v>
      </c>
    </row>
    <row r="40" spans="1:9" ht="13.8" customHeight="1">
      <c r="A40" s="383" t="s">
        <v>134</v>
      </c>
      <c r="B40" s="384"/>
      <c r="C40" s="151"/>
      <c r="D40" s="151"/>
      <c r="E40" s="43">
        <f>SUM(E35:E39)</f>
        <v>0</v>
      </c>
      <c r="F40" s="43">
        <f>SUM(F35:F39)</f>
        <v>114284079.99999997</v>
      </c>
      <c r="G40" s="43">
        <f>SUM(G35:G39)</f>
        <v>31</v>
      </c>
      <c r="H40" s="43">
        <f>SUM(H35:H39)</f>
        <v>93210000</v>
      </c>
      <c r="I40" s="41">
        <f t="shared" si="11"/>
        <v>1.2260924793477093</v>
      </c>
    </row>
    <row r="41" spans="1:9" ht="13.2" customHeight="1">
      <c r="E41" s="63"/>
      <c r="F41" s="63"/>
      <c r="G41" s="63"/>
      <c r="H41" s="63"/>
      <c r="I41" s="64"/>
    </row>
    <row r="42" spans="1:9" ht="16.8" customHeight="1">
      <c r="A42" s="385" t="s">
        <v>135</v>
      </c>
      <c r="B42" s="384"/>
      <c r="C42" s="157"/>
      <c r="D42" s="157"/>
      <c r="E42" s="158">
        <f>E40+E33</f>
        <v>688000000</v>
      </c>
      <c r="F42" s="158">
        <f>F40+F33</f>
        <v>1893535827.2727268</v>
      </c>
      <c r="G42" s="158">
        <f>G40+G33</f>
        <v>853</v>
      </c>
      <c r="H42" s="158">
        <f>H40+H33</f>
        <v>2731820903</v>
      </c>
      <c r="I42" s="146">
        <f>F42/H42</f>
        <v>0.69314054416719084</v>
      </c>
    </row>
  </sheetData>
  <mergeCells count="12">
    <mergeCell ref="T1:X1"/>
    <mergeCell ref="A42:B42"/>
    <mergeCell ref="J1:N1"/>
    <mergeCell ref="Y1:AC1"/>
    <mergeCell ref="E23:I23"/>
    <mergeCell ref="A18:B18"/>
    <mergeCell ref="A40:B40"/>
    <mergeCell ref="A20:B20"/>
    <mergeCell ref="A33:B33"/>
    <mergeCell ref="A11:B11"/>
    <mergeCell ref="O1:S1"/>
    <mergeCell ref="E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/>
  <cols>
    <col min="1" max="1" width="5.88671875" style="323" customWidth="1"/>
    <col min="2" max="2" width="23.44140625" style="323" customWidth="1"/>
    <col min="3" max="4" width="14.88671875" style="323" customWidth="1"/>
    <col min="5" max="5" width="13.88671875" style="323" customWidth="1"/>
    <col min="6" max="6" width="12.21875" style="323" customWidth="1"/>
  </cols>
  <sheetData>
    <row r="1" spans="1:8" ht="17.399999999999999" customHeight="1">
      <c r="A1" s="115"/>
      <c r="B1" s="115"/>
      <c r="C1" s="393" t="s">
        <v>163</v>
      </c>
      <c r="D1" s="380"/>
      <c r="E1" s="380"/>
      <c r="F1" s="380"/>
      <c r="G1" s="380"/>
      <c r="H1" s="380"/>
    </row>
    <row r="2" spans="1:8" ht="27" customHeight="1">
      <c r="A2" s="91" t="s">
        <v>0</v>
      </c>
      <c r="B2" s="91" t="s">
        <v>19</v>
      </c>
      <c r="C2" s="150" t="s">
        <v>164</v>
      </c>
      <c r="D2" s="150" t="s">
        <v>165</v>
      </c>
      <c r="E2" s="17" t="s">
        <v>126</v>
      </c>
      <c r="F2" s="150" t="s">
        <v>4</v>
      </c>
      <c r="G2" s="150" t="s">
        <v>5</v>
      </c>
      <c r="H2" s="150" t="s">
        <v>6</v>
      </c>
    </row>
    <row r="3" spans="1:8" ht="15.6" customHeight="1">
      <c r="A3" s="54">
        <v>1</v>
      </c>
      <c r="B3" s="33" t="s">
        <v>29</v>
      </c>
      <c r="C3" s="152">
        <f>SUM('NH Anh T'!F3)</f>
        <v>1124484021</v>
      </c>
      <c r="D3" s="152">
        <f>SUM('NH Anh T'!D3)</f>
        <v>798099147.27272689</v>
      </c>
      <c r="E3" s="38">
        <f>SUM('NH Anh T'!D33)</f>
        <v>37684788.18181818</v>
      </c>
      <c r="F3" s="128">
        <f>SUM('NH Anh T'!E33)</f>
        <v>23</v>
      </c>
      <c r="G3" s="38">
        <f>SUM('NH Anh T'!F33)</f>
        <v>72730000</v>
      </c>
      <c r="H3" s="40">
        <f t="shared" ref="H3:H11" si="0">E3/G3</f>
        <v>0.51814640700973713</v>
      </c>
    </row>
    <row r="4" spans="1:8" ht="15.6" customHeight="1">
      <c r="A4" s="54">
        <v>2</v>
      </c>
      <c r="B4" s="33" t="s">
        <v>54</v>
      </c>
      <c r="C4" s="152">
        <f>SUM('BQ Anh T'!F3)</f>
        <v>520556882</v>
      </c>
      <c r="D4" s="152">
        <f>SUM('BQ Anh T'!D3)</f>
        <v>272545755.45454544</v>
      </c>
      <c r="E4" s="38">
        <f>SUM('BQ Anh T'!D33)</f>
        <v>0</v>
      </c>
      <c r="F4" s="128">
        <f>SUM('BQ Anh T'!E33)</f>
        <v>4</v>
      </c>
      <c r="G4" s="38">
        <f>SUM('BQ Anh T'!F33)</f>
        <v>12680000</v>
      </c>
      <c r="H4" s="40">
        <f t="shared" si="0"/>
        <v>0</v>
      </c>
    </row>
    <row r="5" spans="1:8" ht="15.6" customHeight="1">
      <c r="A5" s="54">
        <v>3</v>
      </c>
      <c r="B5" s="33" t="s">
        <v>79</v>
      </c>
      <c r="C5" s="152">
        <f>SUM('TQ Huy T'!F3)</f>
        <v>408820000</v>
      </c>
      <c r="D5" s="152">
        <f>SUM('TQ Huy T'!D3)</f>
        <v>310757428.18181813</v>
      </c>
      <c r="E5" s="38">
        <f>SUM('TQ Huy T'!D33)</f>
        <v>24979794.545454543</v>
      </c>
      <c r="F5" s="128">
        <f>SUM('TQ Huy T'!E33)</f>
        <v>0</v>
      </c>
      <c r="G5" s="38">
        <f>SUM('TQ Huy T'!F33)</f>
        <v>14350000</v>
      </c>
      <c r="H5" s="40">
        <f t="shared" si="0"/>
        <v>1.7407522331327208</v>
      </c>
    </row>
    <row r="6" spans="1:8" ht="15.6" customHeight="1">
      <c r="A6" s="54">
        <v>4</v>
      </c>
      <c r="B6" s="33" t="s">
        <v>67</v>
      </c>
      <c r="C6" s="152">
        <f>SUM('PT Hải T'!F3)</f>
        <v>366845000</v>
      </c>
      <c r="D6" s="152">
        <f>SUM('PT Hải T'!D3)</f>
        <v>270534090</v>
      </c>
      <c r="E6" s="38">
        <f>SUM('PT Hải T'!D33)</f>
        <v>0</v>
      </c>
      <c r="F6" s="128">
        <f>SUM('PT Hải T'!E33)</f>
        <v>3</v>
      </c>
      <c r="G6" s="38">
        <f>SUM('PT Hải T'!F33)</f>
        <v>10370000</v>
      </c>
      <c r="H6" s="40">
        <f t="shared" si="0"/>
        <v>0</v>
      </c>
    </row>
    <row r="7" spans="1:8" ht="15.6" hidden="1" customHeight="1">
      <c r="A7" s="54">
        <v>5</v>
      </c>
      <c r="B7" s="33" t="s">
        <v>106</v>
      </c>
      <c r="C7" s="152">
        <f>SUM('NV Lý T'!F3)</f>
        <v>47700000</v>
      </c>
      <c r="D7" s="152">
        <f>SUM('NV Lý T'!D3)</f>
        <v>35685694.545454547</v>
      </c>
      <c r="E7" s="38">
        <f>SUM('NV Lý T'!D17)</f>
        <v>0</v>
      </c>
      <c r="F7" s="128">
        <f>SUM('NV Lý T'!E17)</f>
        <v>0</v>
      </c>
      <c r="G7" s="38">
        <f>SUM('NV Lý T'!F17)</f>
        <v>0</v>
      </c>
      <c r="H7" s="40" t="e">
        <f t="shared" si="0"/>
        <v>#DIV/0!</v>
      </c>
    </row>
    <row r="8" spans="1:8" ht="15.6" customHeight="1">
      <c r="A8" s="54">
        <v>6</v>
      </c>
      <c r="B8" s="33" t="s">
        <v>94</v>
      </c>
      <c r="C8" s="152">
        <f>SUM('ĐQ Anh T'!F3)</f>
        <v>170205000</v>
      </c>
      <c r="D8" s="152">
        <f>SUM('ĐQ Anh T'!D3)</f>
        <v>91629631.818181783</v>
      </c>
      <c r="E8" s="38">
        <f>SUM('ĐQ Anh T'!D33)</f>
        <v>0</v>
      </c>
      <c r="F8" s="128">
        <f>SUM('ĐQ Anh T'!E33)</f>
        <v>0</v>
      </c>
      <c r="G8" s="38">
        <f>SUM('ĐQ Anh T'!F33)</f>
        <v>3330000</v>
      </c>
      <c r="H8" s="40">
        <f t="shared" si="0"/>
        <v>0</v>
      </c>
    </row>
    <row r="9" spans="1:8" ht="17.399999999999999" hidden="1" customHeight="1">
      <c r="A9" s="54">
        <v>7</v>
      </c>
      <c r="B9" s="48"/>
      <c r="C9" s="152"/>
      <c r="D9" s="152"/>
      <c r="E9" s="38"/>
      <c r="F9" s="38"/>
      <c r="G9" s="38"/>
      <c r="H9" s="40" t="e">
        <f t="shared" si="0"/>
        <v>#DIV/0!</v>
      </c>
    </row>
    <row r="10" spans="1:8" ht="13.2" hidden="1" customHeight="1">
      <c r="A10" s="54">
        <v>8</v>
      </c>
      <c r="B10" s="54"/>
      <c r="C10" s="152"/>
      <c r="D10" s="152"/>
      <c r="E10" s="38"/>
      <c r="F10" s="38"/>
      <c r="G10" s="38"/>
      <c r="H10" s="40" t="e">
        <f t="shared" si="0"/>
        <v>#DIV/0!</v>
      </c>
    </row>
    <row r="11" spans="1:8" ht="13.8" customHeight="1">
      <c r="A11" s="383" t="s">
        <v>133</v>
      </c>
      <c r="B11" s="384"/>
      <c r="C11" s="155">
        <f>SUM(C3:C10)</f>
        <v>2638610903</v>
      </c>
      <c r="D11" s="155">
        <f>SUM(D3:D10)</f>
        <v>1779251747.2727268</v>
      </c>
      <c r="E11" s="43">
        <f>SUM(E3:E10)</f>
        <v>62664582.727272719</v>
      </c>
      <c r="F11" s="153">
        <f>SUM(F3:F10)</f>
        <v>30</v>
      </c>
      <c r="G11" s="43">
        <f>SUM(G3:G10)</f>
        <v>113460000</v>
      </c>
      <c r="H11" s="41">
        <f t="shared" si="0"/>
        <v>0.55230550614553775</v>
      </c>
    </row>
    <row r="12" spans="1:8" ht="13.2" customHeight="1">
      <c r="C12" s="156"/>
      <c r="D12" s="156"/>
      <c r="E12" s="63"/>
      <c r="F12" s="63"/>
      <c r="G12" s="63"/>
      <c r="H12" s="64"/>
    </row>
    <row r="13" spans="1:8" ht="15.6" customHeight="1">
      <c r="A13" s="54">
        <v>1</v>
      </c>
      <c r="B13" s="69" t="s">
        <v>46</v>
      </c>
      <c r="C13" s="152">
        <f>SUM('NT Thưởng T'!F3)</f>
        <v>93210000</v>
      </c>
      <c r="D13" s="152">
        <f>SUM('NT Thưởng T'!D3)</f>
        <v>114284079.99999997</v>
      </c>
      <c r="E13" s="38">
        <f>SUM('NT Thưởng T'!D33)</f>
        <v>0</v>
      </c>
      <c r="F13" s="38">
        <f>SUM('NT Thưởng T'!E33)</f>
        <v>1</v>
      </c>
      <c r="G13" s="38">
        <f>SUM('NT Thưởng T'!F33)</f>
        <v>3560000</v>
      </c>
      <c r="H13" s="40">
        <f t="shared" ref="H13:H18" si="1">E13/G13</f>
        <v>0</v>
      </c>
    </row>
    <row r="14" spans="1:8" ht="13.2" hidden="1" customHeight="1">
      <c r="A14" s="54">
        <v>2</v>
      </c>
      <c r="B14" s="54"/>
      <c r="C14" s="152"/>
      <c r="D14" s="152"/>
      <c r="E14" s="38"/>
      <c r="F14" s="38"/>
      <c r="G14" s="38"/>
      <c r="H14" s="40" t="e">
        <f t="shared" si="1"/>
        <v>#DIV/0!</v>
      </c>
    </row>
    <row r="15" spans="1:8" ht="13.2" hidden="1" customHeight="1">
      <c r="A15" s="54">
        <v>3</v>
      </c>
      <c r="B15" s="54"/>
      <c r="C15" s="152"/>
      <c r="D15" s="152"/>
      <c r="E15" s="38"/>
      <c r="F15" s="38"/>
      <c r="G15" s="38"/>
      <c r="H15" s="40" t="e">
        <f t="shared" si="1"/>
        <v>#DIV/0!</v>
      </c>
    </row>
    <row r="16" spans="1:8" ht="13.2" hidden="1" customHeight="1">
      <c r="A16" s="54">
        <v>4</v>
      </c>
      <c r="B16" s="54"/>
      <c r="C16" s="152"/>
      <c r="D16" s="152"/>
      <c r="E16" s="38"/>
      <c r="F16" s="38"/>
      <c r="G16" s="38"/>
      <c r="H16" s="40" t="e">
        <f t="shared" si="1"/>
        <v>#DIV/0!</v>
      </c>
    </row>
    <row r="17" spans="1:8" ht="13.2" hidden="1" customHeight="1">
      <c r="A17" s="54">
        <v>5</v>
      </c>
      <c r="B17" s="54"/>
      <c r="C17" s="152"/>
      <c r="D17" s="152"/>
      <c r="E17" s="38"/>
      <c r="F17" s="38"/>
      <c r="G17" s="38"/>
      <c r="H17" s="40" t="e">
        <f t="shared" si="1"/>
        <v>#DIV/0!</v>
      </c>
    </row>
    <row r="18" spans="1:8" ht="13.8" customHeight="1">
      <c r="A18" s="383" t="s">
        <v>134</v>
      </c>
      <c r="B18" s="384"/>
      <c r="C18" s="155">
        <f>SUM(C13:C17)</f>
        <v>93210000</v>
      </c>
      <c r="D18" s="155">
        <f>SUM(D13:D17)</f>
        <v>114284079.99999997</v>
      </c>
      <c r="E18" s="43">
        <f>SUM(E13:E17)</f>
        <v>0</v>
      </c>
      <c r="F18" s="43">
        <f>SUM(F13:F17)</f>
        <v>1</v>
      </c>
      <c r="G18" s="43">
        <f>SUM(G13:G17)</f>
        <v>3560000</v>
      </c>
      <c r="H18" s="41">
        <f t="shared" si="1"/>
        <v>0</v>
      </c>
    </row>
    <row r="19" spans="1:8" ht="13.2" customHeight="1">
      <c r="C19" s="156"/>
      <c r="D19" s="156"/>
      <c r="E19" s="63"/>
      <c r="F19" s="63"/>
      <c r="G19" s="63"/>
      <c r="H19" s="64"/>
    </row>
    <row r="20" spans="1:8" ht="16.8" customHeight="1">
      <c r="A20" s="385" t="s">
        <v>135</v>
      </c>
      <c r="B20" s="384"/>
      <c r="C20" s="159">
        <f>C18+C11</f>
        <v>2731820903</v>
      </c>
      <c r="D20" s="159"/>
      <c r="E20" s="158">
        <f>E18+E11</f>
        <v>62664582.727272719</v>
      </c>
      <c r="F20" s="158">
        <f>F18+F11</f>
        <v>31</v>
      </c>
      <c r="G20" s="158">
        <f>G18+G11</f>
        <v>117020000</v>
      </c>
      <c r="H20" s="146">
        <f>E20/G20</f>
        <v>0.53550318515871409</v>
      </c>
    </row>
    <row r="21" spans="1:8" ht="13.2" customHeight="1">
      <c r="C21" s="156"/>
      <c r="D21" s="156"/>
      <c r="E21" s="63"/>
      <c r="F21" s="63"/>
      <c r="G21" s="63"/>
    </row>
    <row r="22" spans="1:8" ht="13.2" customHeight="1">
      <c r="C22" s="160"/>
      <c r="D22" s="160"/>
    </row>
    <row r="23" spans="1:8" ht="13.2" customHeight="1">
      <c r="C23" s="160"/>
      <c r="D23" s="160"/>
    </row>
    <row r="24" spans="1:8" ht="13.2" customHeight="1">
      <c r="C24" s="160"/>
      <c r="D24" s="160"/>
    </row>
    <row r="25" spans="1:8" ht="13.2" customHeight="1">
      <c r="C25" s="160"/>
      <c r="D25" s="160"/>
    </row>
    <row r="26" spans="1:8" ht="13.2" customHeight="1">
      <c r="C26" s="160"/>
      <c r="D26" s="160"/>
    </row>
    <row r="27" spans="1:8" ht="13.2" customHeight="1">
      <c r="C27" s="160"/>
      <c r="D27" s="160"/>
    </row>
    <row r="28" spans="1:8" ht="13.2" customHeight="1">
      <c r="C28" s="160"/>
      <c r="D28" s="160"/>
    </row>
    <row r="29" spans="1:8" ht="13.2" customHeight="1">
      <c r="C29" s="160"/>
      <c r="D29" s="160"/>
    </row>
    <row r="30" spans="1:8" ht="13.2" customHeight="1">
      <c r="C30" s="160"/>
      <c r="D30" s="160"/>
    </row>
    <row r="31" spans="1:8" ht="13.2" customHeight="1">
      <c r="C31" s="160"/>
      <c r="D31" s="160"/>
    </row>
    <row r="32" spans="1:8" ht="13.2" customHeight="1">
      <c r="C32" s="160"/>
      <c r="D32" s="160"/>
    </row>
    <row r="33" spans="3:4" ht="13.2" customHeight="1">
      <c r="C33" s="160"/>
      <c r="D33" s="160"/>
    </row>
    <row r="34" spans="3:4" ht="13.2" customHeight="1">
      <c r="C34" s="160"/>
      <c r="D34" s="160"/>
    </row>
    <row r="35" spans="3:4" ht="13.2" customHeight="1">
      <c r="C35" s="160"/>
      <c r="D35" s="160"/>
    </row>
    <row r="36" spans="3:4" ht="13.2" customHeight="1">
      <c r="C36" s="160"/>
      <c r="D36" s="160"/>
    </row>
    <row r="37" spans="3:4" ht="13.2" customHeight="1">
      <c r="C37" s="160"/>
      <c r="D37" s="160"/>
    </row>
    <row r="38" spans="3:4" ht="13.2" customHeight="1">
      <c r="C38" s="160"/>
      <c r="D38" s="160"/>
    </row>
    <row r="39" spans="3:4" ht="13.2" customHeight="1">
      <c r="C39" s="160"/>
      <c r="D39" s="160"/>
    </row>
    <row r="40" spans="3:4" ht="13.2" customHeight="1">
      <c r="C40" s="160"/>
      <c r="D40" s="160"/>
    </row>
    <row r="41" spans="3:4" ht="13.2" customHeight="1">
      <c r="C41" s="160"/>
      <c r="D41" s="160"/>
    </row>
    <row r="42" spans="3:4" ht="13.2" customHeight="1">
      <c r="C42" s="160"/>
      <c r="D42" s="160"/>
    </row>
    <row r="43" spans="3:4" ht="13.2" customHeight="1">
      <c r="C43" s="160"/>
      <c r="D43" s="160"/>
    </row>
    <row r="44" spans="3:4" ht="13.2" customHeight="1">
      <c r="C44" s="160"/>
      <c r="D44" s="160"/>
    </row>
    <row r="45" spans="3:4" ht="13.2" customHeight="1">
      <c r="C45" s="160"/>
      <c r="D45" s="160"/>
    </row>
    <row r="46" spans="3:4" ht="13.2" customHeight="1">
      <c r="C46" s="160"/>
      <c r="D46" s="160"/>
    </row>
    <row r="47" spans="3:4" ht="13.2" customHeight="1">
      <c r="C47" s="160"/>
      <c r="D47" s="160"/>
    </row>
    <row r="48" spans="3:4" ht="13.2" customHeight="1">
      <c r="C48" s="160"/>
      <c r="D48" s="160"/>
    </row>
    <row r="49" spans="3:4" ht="13.2" customHeight="1">
      <c r="C49" s="160"/>
      <c r="D49" s="160"/>
    </row>
    <row r="50" spans="3:4" ht="13.2" customHeight="1">
      <c r="C50" s="160"/>
      <c r="D50" s="160"/>
    </row>
    <row r="51" spans="3:4" ht="13.2" customHeight="1">
      <c r="C51" s="160"/>
      <c r="D51" s="160"/>
    </row>
    <row r="52" spans="3:4" ht="13.2" customHeight="1">
      <c r="C52" s="160"/>
      <c r="D52" s="160"/>
    </row>
    <row r="53" spans="3:4" ht="13.2" customHeight="1">
      <c r="C53" s="160"/>
      <c r="D53" s="160"/>
    </row>
    <row r="54" spans="3:4" ht="13.2" customHeight="1">
      <c r="C54" s="160"/>
      <c r="D54" s="160"/>
    </row>
    <row r="55" spans="3:4" ht="13.2" customHeight="1">
      <c r="C55" s="160"/>
      <c r="D55" s="160"/>
    </row>
    <row r="56" spans="3:4" ht="13.2" customHeight="1">
      <c r="C56" s="160"/>
      <c r="D56" s="160"/>
    </row>
    <row r="57" spans="3:4" ht="13.2" customHeight="1">
      <c r="C57" s="160"/>
      <c r="D57" s="160"/>
    </row>
    <row r="58" spans="3:4" ht="13.2" customHeight="1">
      <c r="C58" s="160"/>
      <c r="D58" s="160"/>
    </row>
    <row r="59" spans="3:4" ht="13.2" customHeight="1">
      <c r="C59" s="160"/>
      <c r="D59" s="160"/>
    </row>
    <row r="60" spans="3:4" ht="13.2" customHeight="1">
      <c r="C60" s="160"/>
      <c r="D60" s="160"/>
    </row>
    <row r="61" spans="3:4" ht="13.2" customHeight="1">
      <c r="C61" s="160"/>
      <c r="D61" s="160"/>
    </row>
    <row r="62" spans="3:4" ht="13.2" customHeight="1">
      <c r="C62" s="160"/>
      <c r="D62" s="160"/>
    </row>
    <row r="63" spans="3:4" ht="13.2" customHeight="1">
      <c r="C63" s="160"/>
      <c r="D63" s="160"/>
    </row>
    <row r="64" spans="3:4" ht="13.2" customHeight="1">
      <c r="C64" s="160"/>
      <c r="D64" s="160"/>
    </row>
    <row r="65" spans="3:4" ht="13.2" customHeight="1">
      <c r="C65" s="160"/>
      <c r="D65" s="160"/>
    </row>
    <row r="66" spans="3:4" ht="13.2" customHeight="1">
      <c r="C66" s="160"/>
      <c r="D66" s="160"/>
    </row>
    <row r="67" spans="3:4" ht="13.2" customHeight="1">
      <c r="C67" s="160"/>
      <c r="D67" s="160"/>
    </row>
    <row r="68" spans="3:4" ht="13.2" customHeight="1">
      <c r="C68" s="160"/>
      <c r="D68" s="160"/>
    </row>
    <row r="69" spans="3:4" ht="13.2" customHeight="1">
      <c r="C69" s="160"/>
      <c r="D69" s="160"/>
    </row>
    <row r="70" spans="3:4" ht="13.2" customHeight="1">
      <c r="C70" s="160"/>
      <c r="D70" s="160"/>
    </row>
    <row r="71" spans="3:4" ht="13.2" customHeight="1">
      <c r="C71" s="160"/>
      <c r="D71" s="160"/>
    </row>
    <row r="72" spans="3:4" ht="13.2" customHeight="1">
      <c r="C72" s="160"/>
      <c r="D72" s="160"/>
    </row>
    <row r="73" spans="3:4" ht="13.2" customHeight="1">
      <c r="C73" s="160"/>
      <c r="D73" s="160"/>
    </row>
    <row r="74" spans="3:4" ht="13.2" customHeight="1">
      <c r="C74" s="160"/>
      <c r="D74" s="160"/>
    </row>
    <row r="75" spans="3:4" ht="13.2" customHeight="1">
      <c r="C75" s="160"/>
      <c r="D75" s="160"/>
    </row>
    <row r="76" spans="3:4" ht="13.2" customHeight="1">
      <c r="C76" s="160"/>
      <c r="D76" s="160"/>
    </row>
    <row r="77" spans="3:4" ht="13.2" customHeight="1">
      <c r="C77" s="160"/>
      <c r="D77" s="160"/>
    </row>
    <row r="78" spans="3:4" ht="13.2" customHeight="1">
      <c r="C78" s="160"/>
      <c r="D78" s="160"/>
    </row>
    <row r="79" spans="3:4" ht="13.2" customHeight="1">
      <c r="C79" s="160"/>
      <c r="D79" s="160"/>
    </row>
    <row r="80" spans="3:4" ht="13.2" customHeight="1">
      <c r="C80" s="160"/>
      <c r="D80" s="160"/>
    </row>
    <row r="81" spans="3:4" ht="13.2" customHeight="1">
      <c r="C81" s="160"/>
      <c r="D81" s="160"/>
    </row>
    <row r="82" spans="3:4" ht="13.2" customHeight="1">
      <c r="C82" s="160"/>
      <c r="D82" s="160"/>
    </row>
    <row r="83" spans="3:4" ht="13.2" customHeight="1">
      <c r="C83" s="160"/>
      <c r="D83" s="160"/>
    </row>
    <row r="84" spans="3:4" ht="13.2" customHeight="1">
      <c r="C84" s="160"/>
      <c r="D84" s="160"/>
    </row>
    <row r="85" spans="3:4" ht="13.2" customHeight="1">
      <c r="C85" s="160"/>
      <c r="D85" s="160"/>
    </row>
    <row r="86" spans="3:4" ht="13.2" customHeight="1">
      <c r="C86" s="160"/>
      <c r="D86" s="160"/>
    </row>
    <row r="87" spans="3:4" ht="13.2" customHeight="1">
      <c r="C87" s="160"/>
      <c r="D87" s="160"/>
    </row>
    <row r="88" spans="3:4" ht="13.2" customHeight="1">
      <c r="C88" s="160"/>
      <c r="D88" s="160"/>
    </row>
    <row r="89" spans="3:4" ht="13.2" customHeight="1">
      <c r="C89" s="160"/>
      <c r="D89" s="160"/>
    </row>
    <row r="90" spans="3:4" ht="13.2" customHeight="1">
      <c r="C90" s="160"/>
      <c r="D90" s="160"/>
    </row>
    <row r="91" spans="3:4" ht="13.2" customHeight="1">
      <c r="C91" s="160"/>
      <c r="D91" s="160"/>
    </row>
    <row r="92" spans="3:4" ht="13.2" customHeight="1">
      <c r="C92" s="160"/>
      <c r="D92" s="160"/>
    </row>
    <row r="93" spans="3:4" ht="13.2" customHeight="1">
      <c r="C93" s="160"/>
      <c r="D93" s="160"/>
    </row>
    <row r="94" spans="3:4" ht="13.2" customHeight="1">
      <c r="C94" s="160"/>
      <c r="D94" s="160"/>
    </row>
    <row r="95" spans="3:4" ht="13.2" customHeight="1">
      <c r="C95" s="160"/>
      <c r="D95" s="160"/>
    </row>
    <row r="96" spans="3:4" ht="13.2" customHeight="1">
      <c r="C96" s="160"/>
      <c r="D96" s="160"/>
    </row>
    <row r="97" spans="3:4" ht="13.2" customHeight="1">
      <c r="C97" s="160"/>
      <c r="D97" s="160"/>
    </row>
    <row r="98" spans="3:4" ht="13.2" customHeight="1">
      <c r="C98" s="160"/>
      <c r="D98" s="160"/>
    </row>
    <row r="99" spans="3:4" ht="13.2" customHeight="1">
      <c r="C99" s="160"/>
      <c r="D99" s="160"/>
    </row>
    <row r="100" spans="3:4" ht="13.2" customHeight="1">
      <c r="C100" s="160"/>
      <c r="D100" s="160"/>
    </row>
    <row r="101" spans="3:4" ht="13.2" customHeight="1">
      <c r="C101" s="160"/>
      <c r="D101" s="160"/>
    </row>
    <row r="102" spans="3:4" ht="13.2" customHeight="1">
      <c r="C102" s="160"/>
      <c r="D102" s="160"/>
    </row>
    <row r="103" spans="3:4" ht="13.2" customHeight="1">
      <c r="C103" s="160"/>
      <c r="D103" s="160"/>
    </row>
    <row r="104" spans="3:4" ht="13.2" customHeight="1">
      <c r="C104" s="160"/>
      <c r="D104" s="160"/>
    </row>
    <row r="105" spans="3:4" ht="13.2" customHeight="1">
      <c r="C105" s="160"/>
      <c r="D105" s="160"/>
    </row>
    <row r="106" spans="3:4" ht="13.2" customHeight="1">
      <c r="C106" s="160"/>
      <c r="D106" s="160"/>
    </row>
    <row r="107" spans="3:4" ht="13.2" customHeight="1">
      <c r="C107" s="160"/>
      <c r="D107" s="160"/>
    </row>
    <row r="108" spans="3:4" ht="13.2" customHeight="1">
      <c r="C108" s="160"/>
      <c r="D108" s="160"/>
    </row>
    <row r="109" spans="3:4" ht="13.2" customHeight="1">
      <c r="C109" s="160"/>
      <c r="D109" s="160"/>
    </row>
    <row r="110" spans="3:4" ht="13.2" customHeight="1">
      <c r="C110" s="160"/>
      <c r="D110" s="160"/>
    </row>
    <row r="111" spans="3:4" ht="13.2" customHeight="1">
      <c r="C111" s="160"/>
      <c r="D111" s="160"/>
    </row>
    <row r="112" spans="3:4" ht="13.2" customHeight="1">
      <c r="C112" s="160"/>
      <c r="D112" s="160"/>
    </row>
    <row r="113" spans="3:4" ht="13.2" customHeight="1">
      <c r="C113" s="160"/>
      <c r="D113" s="160"/>
    </row>
    <row r="114" spans="3:4" ht="13.2" customHeight="1">
      <c r="C114" s="160"/>
      <c r="D114" s="160"/>
    </row>
    <row r="115" spans="3:4" ht="13.2" customHeight="1">
      <c r="C115" s="160"/>
      <c r="D115" s="160"/>
    </row>
    <row r="116" spans="3:4" ht="13.2" customHeight="1">
      <c r="C116" s="160"/>
      <c r="D116" s="160"/>
    </row>
    <row r="117" spans="3:4" ht="13.2" customHeight="1">
      <c r="C117" s="160"/>
      <c r="D117" s="160"/>
    </row>
    <row r="118" spans="3:4" ht="13.2" customHeight="1">
      <c r="C118" s="160"/>
      <c r="D118" s="160"/>
    </row>
    <row r="119" spans="3:4" ht="13.2" customHeight="1">
      <c r="C119" s="160"/>
      <c r="D119" s="160"/>
    </row>
    <row r="120" spans="3:4" ht="13.2" customHeight="1">
      <c r="C120" s="160"/>
      <c r="D120" s="160"/>
    </row>
    <row r="121" spans="3:4" ht="13.2" customHeight="1">
      <c r="C121" s="160"/>
      <c r="D121" s="160"/>
    </row>
    <row r="122" spans="3:4" ht="13.2" customHeight="1">
      <c r="C122" s="160"/>
      <c r="D122" s="160"/>
    </row>
    <row r="123" spans="3:4" ht="13.2" customHeight="1">
      <c r="C123" s="160"/>
      <c r="D123" s="160"/>
    </row>
    <row r="124" spans="3:4" ht="13.2" customHeight="1">
      <c r="C124" s="160"/>
      <c r="D124" s="160"/>
    </row>
    <row r="125" spans="3:4" ht="13.2" customHeight="1">
      <c r="C125" s="160"/>
      <c r="D125" s="160"/>
    </row>
    <row r="126" spans="3:4" ht="13.2" customHeight="1">
      <c r="C126" s="160"/>
      <c r="D126" s="160"/>
    </row>
    <row r="127" spans="3:4" ht="13.2" customHeight="1">
      <c r="C127" s="160"/>
      <c r="D127" s="160"/>
    </row>
    <row r="128" spans="3:4" ht="13.2" customHeight="1">
      <c r="C128" s="160"/>
      <c r="D128" s="160"/>
    </row>
    <row r="129" spans="3:4" ht="13.2" customHeight="1">
      <c r="C129" s="160"/>
      <c r="D129" s="160"/>
    </row>
    <row r="130" spans="3:4" ht="13.2" customHeight="1">
      <c r="C130" s="160"/>
      <c r="D130" s="160"/>
    </row>
    <row r="131" spans="3:4" ht="13.2" customHeight="1">
      <c r="C131" s="160"/>
      <c r="D131" s="160"/>
    </row>
    <row r="132" spans="3:4" ht="13.2" customHeight="1">
      <c r="C132" s="160"/>
      <c r="D132" s="160"/>
    </row>
    <row r="133" spans="3:4" ht="13.2" customHeight="1">
      <c r="C133" s="160"/>
      <c r="D133" s="160"/>
    </row>
    <row r="134" spans="3:4" ht="13.2" customHeight="1">
      <c r="C134" s="160"/>
      <c r="D134" s="160"/>
    </row>
    <row r="135" spans="3:4" ht="13.2" customHeight="1">
      <c r="C135" s="160"/>
      <c r="D135" s="160"/>
    </row>
    <row r="136" spans="3:4" ht="13.2" customHeight="1">
      <c r="C136" s="160"/>
      <c r="D136" s="160"/>
    </row>
    <row r="137" spans="3:4" ht="13.2" customHeight="1">
      <c r="C137" s="160"/>
      <c r="D137" s="160"/>
    </row>
    <row r="138" spans="3:4" ht="13.2" customHeight="1">
      <c r="C138" s="160"/>
      <c r="D138" s="160"/>
    </row>
    <row r="139" spans="3:4" ht="13.2" customHeight="1">
      <c r="C139" s="160"/>
      <c r="D139" s="160"/>
    </row>
    <row r="140" spans="3:4" ht="13.2" customHeight="1">
      <c r="C140" s="160"/>
      <c r="D140" s="160"/>
    </row>
    <row r="141" spans="3:4" ht="13.2" customHeight="1">
      <c r="C141" s="160"/>
      <c r="D141" s="160"/>
    </row>
    <row r="142" spans="3:4" ht="13.2" customHeight="1">
      <c r="C142" s="160"/>
      <c r="D142" s="160"/>
    </row>
    <row r="143" spans="3:4" ht="13.2" customHeight="1">
      <c r="C143" s="160"/>
      <c r="D143" s="160"/>
    </row>
    <row r="144" spans="3:4" ht="13.2" customHeight="1">
      <c r="C144" s="160"/>
      <c r="D144" s="160"/>
    </row>
    <row r="145" spans="3:4" ht="13.2" customHeight="1">
      <c r="C145" s="160"/>
      <c r="D145" s="160"/>
    </row>
    <row r="146" spans="3:4" ht="13.2" customHeight="1">
      <c r="C146" s="160"/>
      <c r="D146" s="160"/>
    </row>
    <row r="147" spans="3:4" ht="13.2" customHeight="1">
      <c r="C147" s="160"/>
      <c r="D147" s="160"/>
    </row>
    <row r="148" spans="3:4" ht="13.2" customHeight="1">
      <c r="C148" s="160"/>
      <c r="D148" s="160"/>
    </row>
    <row r="149" spans="3:4" ht="13.2" customHeight="1">
      <c r="C149" s="160"/>
      <c r="D149" s="160"/>
    </row>
    <row r="150" spans="3:4" ht="13.2" customHeight="1">
      <c r="C150" s="160"/>
      <c r="D150" s="160"/>
    </row>
    <row r="151" spans="3:4" ht="13.2" customHeight="1">
      <c r="C151" s="160"/>
      <c r="D151" s="160"/>
    </row>
    <row r="152" spans="3:4" ht="13.2" customHeight="1">
      <c r="C152" s="160"/>
      <c r="D152" s="160"/>
    </row>
    <row r="153" spans="3:4" ht="13.2" customHeight="1">
      <c r="C153" s="160"/>
      <c r="D153" s="160"/>
    </row>
    <row r="154" spans="3:4" ht="13.2" customHeight="1">
      <c r="C154" s="160"/>
      <c r="D154" s="160"/>
    </row>
    <row r="155" spans="3:4" ht="13.2" customHeight="1">
      <c r="C155" s="160"/>
      <c r="D155" s="160"/>
    </row>
    <row r="156" spans="3:4" ht="13.2" customHeight="1">
      <c r="C156" s="160"/>
      <c r="D156" s="160"/>
    </row>
    <row r="157" spans="3:4" ht="13.2" customHeight="1">
      <c r="C157" s="160"/>
      <c r="D157" s="160"/>
    </row>
    <row r="158" spans="3:4" ht="13.2" customHeight="1">
      <c r="C158" s="160"/>
      <c r="D158" s="160"/>
    </row>
    <row r="159" spans="3:4" ht="13.2" customHeight="1">
      <c r="C159" s="160"/>
      <c r="D159" s="160"/>
    </row>
    <row r="160" spans="3:4" ht="13.2" customHeight="1">
      <c r="C160" s="160"/>
      <c r="D160" s="160"/>
    </row>
    <row r="161" spans="3:4" ht="13.2" customHeight="1">
      <c r="C161" s="160"/>
      <c r="D161" s="160"/>
    </row>
    <row r="162" spans="3:4" ht="13.2" customHeight="1">
      <c r="C162" s="160"/>
      <c r="D162" s="160"/>
    </row>
    <row r="163" spans="3:4" ht="13.2" customHeight="1">
      <c r="C163" s="160"/>
      <c r="D163" s="160"/>
    </row>
    <row r="164" spans="3:4" ht="13.2" customHeight="1">
      <c r="C164" s="160"/>
      <c r="D164" s="160"/>
    </row>
    <row r="165" spans="3:4" ht="13.2" customHeight="1">
      <c r="C165" s="160"/>
      <c r="D165" s="160"/>
    </row>
    <row r="166" spans="3:4" ht="13.2" customHeight="1">
      <c r="C166" s="160"/>
      <c r="D166" s="160"/>
    </row>
    <row r="167" spans="3:4" ht="13.2" customHeight="1">
      <c r="C167" s="160"/>
      <c r="D167" s="160"/>
    </row>
    <row r="168" spans="3:4" ht="13.2" customHeight="1">
      <c r="C168" s="160"/>
      <c r="D168" s="160"/>
    </row>
    <row r="169" spans="3:4" ht="13.2" customHeight="1">
      <c r="C169" s="160"/>
      <c r="D169" s="160"/>
    </row>
    <row r="170" spans="3:4" ht="13.2" customHeight="1">
      <c r="C170" s="160"/>
      <c r="D170" s="160"/>
    </row>
    <row r="171" spans="3:4" ht="13.2" customHeight="1">
      <c r="C171" s="160"/>
      <c r="D171" s="160"/>
    </row>
    <row r="172" spans="3:4" ht="13.2" customHeight="1">
      <c r="C172" s="160"/>
      <c r="D172" s="160"/>
    </row>
    <row r="173" spans="3:4" ht="13.2" customHeight="1">
      <c r="C173" s="160"/>
      <c r="D173" s="160"/>
    </row>
    <row r="174" spans="3:4" ht="13.2" customHeight="1">
      <c r="C174" s="160"/>
      <c r="D174" s="160"/>
    </row>
    <row r="175" spans="3:4" ht="13.2" customHeight="1">
      <c r="C175" s="160"/>
      <c r="D175" s="160"/>
    </row>
    <row r="176" spans="3:4" ht="13.2" customHeight="1">
      <c r="C176" s="160"/>
      <c r="D176" s="160"/>
    </row>
    <row r="177" spans="3:4" ht="13.2" customHeight="1">
      <c r="C177" s="160"/>
      <c r="D177" s="160"/>
    </row>
    <row r="178" spans="3:4" ht="13.2" customHeight="1">
      <c r="C178" s="160"/>
      <c r="D178" s="160"/>
    </row>
    <row r="179" spans="3:4" ht="13.2" customHeight="1">
      <c r="C179" s="160"/>
      <c r="D179" s="160"/>
    </row>
    <row r="180" spans="3:4" ht="13.2" customHeight="1">
      <c r="C180" s="160"/>
      <c r="D180" s="160"/>
    </row>
    <row r="181" spans="3:4" ht="13.2" customHeight="1">
      <c r="C181" s="160"/>
      <c r="D181" s="160"/>
    </row>
    <row r="182" spans="3:4" ht="13.2" customHeight="1">
      <c r="C182" s="160"/>
      <c r="D182" s="160"/>
    </row>
    <row r="183" spans="3:4" ht="13.2" customHeight="1">
      <c r="C183" s="160"/>
      <c r="D183" s="160"/>
    </row>
    <row r="184" spans="3:4" ht="13.2" customHeight="1">
      <c r="C184" s="160"/>
      <c r="D184" s="160"/>
    </row>
    <row r="185" spans="3:4" ht="13.2" customHeight="1">
      <c r="C185" s="160"/>
      <c r="D185" s="160"/>
    </row>
    <row r="186" spans="3:4" ht="13.2" customHeight="1">
      <c r="C186" s="160"/>
      <c r="D186" s="160"/>
    </row>
    <row r="187" spans="3:4" ht="13.2" customHeight="1">
      <c r="C187" s="160"/>
      <c r="D187" s="160"/>
    </row>
    <row r="188" spans="3:4" ht="13.2" customHeight="1">
      <c r="C188" s="160"/>
      <c r="D188" s="160"/>
    </row>
    <row r="189" spans="3:4" ht="13.2" customHeight="1">
      <c r="C189" s="160"/>
      <c r="D189" s="160"/>
    </row>
    <row r="190" spans="3:4" ht="13.2" customHeight="1">
      <c r="C190" s="160"/>
      <c r="D190" s="160"/>
    </row>
    <row r="191" spans="3:4" ht="13.2" customHeight="1">
      <c r="C191" s="160"/>
      <c r="D191" s="160"/>
    </row>
    <row r="192" spans="3:4" ht="13.2" customHeight="1">
      <c r="C192" s="160"/>
      <c r="D192" s="160"/>
    </row>
    <row r="193" spans="3:4" ht="13.2" customHeight="1">
      <c r="C193" s="160"/>
      <c r="D193" s="160"/>
    </row>
    <row r="194" spans="3:4" ht="13.2" customHeight="1">
      <c r="C194" s="160"/>
      <c r="D194" s="160"/>
    </row>
    <row r="195" spans="3:4" ht="13.2" customHeight="1">
      <c r="C195" s="160"/>
      <c r="D195" s="160"/>
    </row>
    <row r="196" spans="3:4" ht="13.2" customHeight="1">
      <c r="C196" s="160"/>
      <c r="D196" s="160"/>
    </row>
    <row r="197" spans="3:4" ht="13.2" customHeight="1">
      <c r="C197" s="160"/>
      <c r="D197" s="160"/>
    </row>
    <row r="198" spans="3:4" ht="13.2" customHeight="1">
      <c r="C198" s="160"/>
      <c r="D198" s="160"/>
    </row>
    <row r="199" spans="3:4" ht="13.2" customHeight="1">
      <c r="C199" s="160"/>
      <c r="D199" s="160"/>
    </row>
    <row r="200" spans="3:4" ht="13.2" customHeight="1">
      <c r="C200" s="160"/>
      <c r="D200" s="160"/>
    </row>
    <row r="201" spans="3:4" ht="13.2" customHeight="1">
      <c r="C201" s="160"/>
      <c r="D201" s="160"/>
    </row>
    <row r="202" spans="3:4" ht="13.2" customHeight="1">
      <c r="C202" s="160"/>
      <c r="D202" s="160"/>
    </row>
    <row r="203" spans="3:4" ht="13.2" customHeight="1">
      <c r="C203" s="160"/>
      <c r="D203" s="160"/>
    </row>
    <row r="204" spans="3:4" ht="13.2" customHeight="1">
      <c r="C204" s="160"/>
      <c r="D204" s="160"/>
    </row>
    <row r="205" spans="3:4" ht="13.2" customHeight="1">
      <c r="C205" s="160"/>
      <c r="D205" s="160"/>
    </row>
    <row r="206" spans="3:4" ht="13.2" customHeight="1">
      <c r="C206" s="160"/>
      <c r="D206" s="160"/>
    </row>
    <row r="207" spans="3:4" ht="13.2" customHeight="1">
      <c r="C207" s="160"/>
      <c r="D207" s="160"/>
    </row>
    <row r="208" spans="3:4" ht="13.2" customHeight="1">
      <c r="C208" s="160"/>
      <c r="D208" s="160"/>
    </row>
    <row r="209" spans="3:4" ht="13.2" customHeight="1">
      <c r="C209" s="160"/>
      <c r="D209" s="160"/>
    </row>
    <row r="210" spans="3:4" ht="13.2" customHeight="1">
      <c r="C210" s="160"/>
      <c r="D210" s="160"/>
    </row>
    <row r="211" spans="3:4" ht="13.2" customHeight="1">
      <c r="C211" s="160"/>
      <c r="D211" s="160"/>
    </row>
    <row r="212" spans="3:4" ht="13.2" customHeight="1">
      <c r="C212" s="160"/>
      <c r="D212" s="160"/>
    </row>
    <row r="213" spans="3:4" ht="13.2" customHeight="1">
      <c r="C213" s="160"/>
      <c r="D213" s="160"/>
    </row>
    <row r="214" spans="3:4" ht="13.2" customHeight="1">
      <c r="C214" s="160"/>
      <c r="D214" s="160"/>
    </row>
    <row r="215" spans="3:4" ht="13.2" customHeight="1">
      <c r="C215" s="160"/>
      <c r="D215" s="160"/>
    </row>
    <row r="216" spans="3:4" ht="13.2" customHeight="1">
      <c r="C216" s="160"/>
      <c r="D216" s="160"/>
    </row>
    <row r="217" spans="3:4" ht="13.2" customHeight="1">
      <c r="C217" s="160"/>
      <c r="D217" s="160"/>
    </row>
    <row r="218" spans="3:4" ht="13.2" customHeight="1">
      <c r="C218" s="160"/>
      <c r="D218" s="160"/>
    </row>
    <row r="219" spans="3:4" ht="13.2" customHeight="1">
      <c r="C219" s="160"/>
      <c r="D219" s="160"/>
    </row>
    <row r="220" spans="3:4" ht="13.2" customHeight="1">
      <c r="C220" s="160"/>
      <c r="D220" s="160"/>
    </row>
    <row r="221" spans="3:4" ht="13.2" customHeight="1">
      <c r="C221" s="160"/>
      <c r="D221" s="160"/>
    </row>
    <row r="222" spans="3:4" ht="13.2" customHeight="1">
      <c r="C222" s="160"/>
      <c r="D222" s="160"/>
    </row>
    <row r="223" spans="3:4" ht="13.2" customHeight="1">
      <c r="C223" s="160"/>
      <c r="D223" s="160"/>
    </row>
    <row r="224" spans="3:4" ht="13.2" customHeight="1">
      <c r="C224" s="160"/>
      <c r="D224" s="160"/>
    </row>
    <row r="225" spans="3:4" ht="13.2" customHeight="1">
      <c r="C225" s="160"/>
      <c r="D225" s="160"/>
    </row>
    <row r="226" spans="3:4" ht="13.2" customHeight="1">
      <c r="C226" s="160"/>
      <c r="D226" s="160"/>
    </row>
    <row r="227" spans="3:4" ht="13.2" customHeight="1">
      <c r="C227" s="160"/>
      <c r="D227" s="160"/>
    </row>
    <row r="228" spans="3:4" ht="13.2" customHeight="1">
      <c r="C228" s="160"/>
      <c r="D228" s="160"/>
    </row>
    <row r="229" spans="3:4" ht="13.2" customHeight="1">
      <c r="C229" s="160"/>
      <c r="D229" s="160"/>
    </row>
    <row r="230" spans="3:4" ht="13.2" customHeight="1">
      <c r="C230" s="160"/>
      <c r="D230" s="160"/>
    </row>
    <row r="231" spans="3:4" ht="13.2" customHeight="1">
      <c r="C231" s="160"/>
      <c r="D231" s="160"/>
    </row>
    <row r="232" spans="3:4" ht="13.2" customHeight="1">
      <c r="C232" s="160"/>
      <c r="D232" s="160"/>
    </row>
    <row r="233" spans="3:4" ht="13.2" customHeight="1">
      <c r="C233" s="160"/>
      <c r="D233" s="160"/>
    </row>
    <row r="234" spans="3:4" ht="13.2" customHeight="1">
      <c r="C234" s="160"/>
      <c r="D234" s="160"/>
    </row>
    <row r="235" spans="3:4" ht="13.2" customHeight="1">
      <c r="C235" s="160"/>
      <c r="D235" s="160"/>
    </row>
    <row r="236" spans="3:4" ht="13.2" customHeight="1">
      <c r="C236" s="160"/>
      <c r="D236" s="160"/>
    </row>
    <row r="237" spans="3:4" ht="13.2" customHeight="1">
      <c r="C237" s="160"/>
      <c r="D237" s="160"/>
    </row>
    <row r="238" spans="3:4" ht="13.2" customHeight="1">
      <c r="C238" s="160"/>
      <c r="D238" s="160"/>
    </row>
    <row r="239" spans="3:4" ht="13.2" customHeight="1">
      <c r="C239" s="160"/>
      <c r="D239" s="160"/>
    </row>
    <row r="240" spans="3:4" ht="13.2" customHeight="1">
      <c r="C240" s="160"/>
      <c r="D240" s="160"/>
    </row>
    <row r="241" spans="3:4" ht="13.2" customHeight="1">
      <c r="C241" s="160"/>
      <c r="D241" s="160"/>
    </row>
    <row r="242" spans="3:4" ht="13.2" customHeight="1">
      <c r="C242" s="160"/>
      <c r="D242" s="160"/>
    </row>
    <row r="243" spans="3:4" ht="13.2" customHeight="1">
      <c r="C243" s="160"/>
      <c r="D243" s="160"/>
    </row>
    <row r="244" spans="3:4" ht="13.2" customHeight="1">
      <c r="C244" s="160"/>
      <c r="D244" s="160"/>
    </row>
    <row r="245" spans="3:4" ht="13.2" customHeight="1">
      <c r="C245" s="160"/>
      <c r="D245" s="160"/>
    </row>
    <row r="246" spans="3:4" ht="13.2" customHeight="1">
      <c r="C246" s="160"/>
      <c r="D246" s="160"/>
    </row>
    <row r="247" spans="3:4" ht="13.2" customHeight="1">
      <c r="C247" s="160"/>
      <c r="D247" s="160"/>
    </row>
    <row r="248" spans="3:4" ht="13.2" customHeight="1">
      <c r="C248" s="160"/>
      <c r="D248" s="160"/>
    </row>
    <row r="249" spans="3:4" ht="13.2" customHeight="1">
      <c r="C249" s="160"/>
      <c r="D249" s="160"/>
    </row>
    <row r="250" spans="3:4" ht="13.2" customHeight="1">
      <c r="C250" s="160"/>
      <c r="D250" s="160"/>
    </row>
    <row r="251" spans="3:4" ht="13.2" customHeight="1">
      <c r="C251" s="160"/>
      <c r="D251" s="160"/>
    </row>
    <row r="252" spans="3:4" ht="13.2" customHeight="1">
      <c r="C252" s="160"/>
      <c r="D252" s="160"/>
    </row>
    <row r="253" spans="3:4" ht="13.2" customHeight="1">
      <c r="C253" s="160"/>
      <c r="D253" s="160"/>
    </row>
    <row r="254" spans="3:4" ht="13.2" customHeight="1">
      <c r="C254" s="160"/>
      <c r="D254" s="160"/>
    </row>
    <row r="255" spans="3:4" ht="13.2" customHeight="1">
      <c r="C255" s="160"/>
      <c r="D255" s="160"/>
    </row>
    <row r="256" spans="3:4" ht="13.2" customHeight="1">
      <c r="C256" s="160"/>
      <c r="D256" s="160"/>
    </row>
    <row r="257" spans="3:4" ht="13.2" customHeight="1">
      <c r="C257" s="160"/>
      <c r="D257" s="160"/>
    </row>
    <row r="258" spans="3:4" ht="13.2" customHeight="1">
      <c r="C258" s="160"/>
      <c r="D258" s="160"/>
    </row>
    <row r="259" spans="3:4" ht="13.2" customHeight="1">
      <c r="C259" s="160"/>
      <c r="D259" s="160"/>
    </row>
    <row r="260" spans="3:4" ht="13.2" customHeight="1">
      <c r="C260" s="160"/>
      <c r="D260" s="160"/>
    </row>
    <row r="261" spans="3:4" ht="13.2" customHeight="1">
      <c r="C261" s="160"/>
      <c r="D261" s="160"/>
    </row>
    <row r="262" spans="3:4" ht="13.2" customHeight="1">
      <c r="C262" s="160"/>
      <c r="D262" s="160"/>
    </row>
    <row r="263" spans="3:4" ht="13.2" customHeight="1">
      <c r="C263" s="160"/>
      <c r="D263" s="160"/>
    </row>
    <row r="264" spans="3:4" ht="13.2" customHeight="1">
      <c r="C264" s="160"/>
      <c r="D264" s="160"/>
    </row>
    <row r="265" spans="3:4" ht="13.2" customHeight="1">
      <c r="C265" s="160"/>
      <c r="D265" s="160"/>
    </row>
    <row r="266" spans="3:4" ht="13.2" customHeight="1">
      <c r="C266" s="160"/>
      <c r="D266" s="160"/>
    </row>
    <row r="267" spans="3:4" ht="13.2" customHeight="1">
      <c r="C267" s="160"/>
      <c r="D267" s="160"/>
    </row>
    <row r="268" spans="3:4" ht="13.2" customHeight="1">
      <c r="C268" s="160"/>
      <c r="D268" s="160"/>
    </row>
    <row r="269" spans="3:4" ht="13.2" customHeight="1">
      <c r="C269" s="160"/>
      <c r="D269" s="160"/>
    </row>
    <row r="270" spans="3:4" ht="13.2" customHeight="1">
      <c r="C270" s="160"/>
      <c r="D270" s="160"/>
    </row>
    <row r="271" spans="3:4" ht="13.2" customHeight="1">
      <c r="C271" s="160"/>
      <c r="D271" s="160"/>
    </row>
    <row r="272" spans="3:4" ht="13.2" customHeight="1">
      <c r="C272" s="160"/>
      <c r="D272" s="160"/>
    </row>
    <row r="273" spans="3:4" ht="13.2" customHeight="1">
      <c r="C273" s="160"/>
      <c r="D273" s="160"/>
    </row>
    <row r="274" spans="3:4" ht="13.2" customHeight="1">
      <c r="C274" s="160"/>
      <c r="D274" s="160"/>
    </row>
    <row r="275" spans="3:4" ht="13.2" customHeight="1">
      <c r="C275" s="160"/>
      <c r="D275" s="160"/>
    </row>
    <row r="276" spans="3:4" ht="13.2" customHeight="1">
      <c r="C276" s="160"/>
      <c r="D276" s="160"/>
    </row>
    <row r="277" spans="3:4" ht="13.2" customHeight="1">
      <c r="C277" s="160"/>
      <c r="D277" s="160"/>
    </row>
    <row r="278" spans="3:4" ht="13.2" customHeight="1">
      <c r="C278" s="160"/>
      <c r="D278" s="160"/>
    </row>
    <row r="279" spans="3:4" ht="13.2" customHeight="1">
      <c r="C279" s="160"/>
      <c r="D279" s="160"/>
    </row>
    <row r="280" spans="3:4" ht="13.2" customHeight="1">
      <c r="C280" s="160"/>
      <c r="D280" s="160"/>
    </row>
    <row r="281" spans="3:4" ht="13.2" customHeight="1">
      <c r="C281" s="160"/>
      <c r="D281" s="160"/>
    </row>
    <row r="282" spans="3:4" ht="13.2" customHeight="1">
      <c r="C282" s="160"/>
      <c r="D282" s="160"/>
    </row>
    <row r="283" spans="3:4" ht="13.2" customHeight="1">
      <c r="C283" s="160"/>
      <c r="D283" s="160"/>
    </row>
    <row r="284" spans="3:4" ht="13.2" customHeight="1">
      <c r="C284" s="160"/>
      <c r="D284" s="160"/>
    </row>
    <row r="285" spans="3:4" ht="13.2" customHeight="1">
      <c r="C285" s="160"/>
      <c r="D285" s="160"/>
    </row>
    <row r="286" spans="3:4" ht="13.2" customHeight="1">
      <c r="C286" s="160"/>
      <c r="D286" s="160"/>
    </row>
    <row r="287" spans="3:4" ht="13.2" customHeight="1">
      <c r="C287" s="160"/>
      <c r="D287" s="160"/>
    </row>
    <row r="288" spans="3:4" ht="13.2" customHeight="1">
      <c r="C288" s="160"/>
      <c r="D288" s="160"/>
    </row>
    <row r="289" spans="3:4" ht="13.2" customHeight="1">
      <c r="C289" s="160"/>
      <c r="D289" s="160"/>
    </row>
    <row r="290" spans="3:4" ht="13.2" customHeight="1">
      <c r="C290" s="160"/>
      <c r="D290" s="160"/>
    </row>
    <row r="291" spans="3:4" ht="13.2" customHeight="1">
      <c r="C291" s="160"/>
      <c r="D291" s="160"/>
    </row>
    <row r="292" spans="3:4" ht="13.2" customHeight="1">
      <c r="C292" s="160"/>
      <c r="D292" s="160"/>
    </row>
    <row r="293" spans="3:4" ht="13.2" customHeight="1">
      <c r="C293" s="160"/>
      <c r="D293" s="160"/>
    </row>
    <row r="294" spans="3:4" ht="13.2" customHeight="1">
      <c r="C294" s="160"/>
      <c r="D294" s="160"/>
    </row>
    <row r="295" spans="3:4" ht="13.2" customHeight="1">
      <c r="C295" s="160"/>
      <c r="D295" s="160"/>
    </row>
    <row r="296" spans="3:4" ht="13.2" customHeight="1">
      <c r="C296" s="160"/>
      <c r="D296" s="160"/>
    </row>
    <row r="297" spans="3:4" ht="13.2" customHeight="1">
      <c r="C297" s="160"/>
      <c r="D297" s="160"/>
    </row>
    <row r="298" spans="3:4" ht="13.2" customHeight="1">
      <c r="C298" s="160"/>
      <c r="D298" s="160"/>
    </row>
    <row r="299" spans="3:4" ht="13.2" customHeight="1">
      <c r="C299" s="160"/>
      <c r="D299" s="160"/>
    </row>
    <row r="300" spans="3:4" ht="13.2" customHeight="1">
      <c r="C300" s="160"/>
      <c r="D300" s="160"/>
    </row>
    <row r="301" spans="3:4" ht="13.2" customHeight="1">
      <c r="C301" s="160"/>
      <c r="D301" s="160"/>
    </row>
    <row r="302" spans="3:4" ht="13.2" customHeight="1">
      <c r="C302" s="160"/>
      <c r="D302" s="160"/>
    </row>
    <row r="303" spans="3:4" ht="13.2" customHeight="1">
      <c r="C303" s="160"/>
      <c r="D303" s="160"/>
    </row>
    <row r="304" spans="3:4" ht="13.2" customHeight="1">
      <c r="C304" s="160"/>
      <c r="D304" s="160"/>
    </row>
    <row r="305" spans="3:4" ht="13.2" customHeight="1">
      <c r="C305" s="160"/>
      <c r="D305" s="160"/>
    </row>
    <row r="306" spans="3:4" ht="13.2" customHeight="1">
      <c r="C306" s="160"/>
      <c r="D306" s="160"/>
    </row>
    <row r="307" spans="3:4" ht="13.2" customHeight="1">
      <c r="C307" s="160"/>
      <c r="D307" s="160"/>
    </row>
    <row r="308" spans="3:4" ht="13.2" customHeight="1">
      <c r="C308" s="160"/>
      <c r="D308" s="160"/>
    </row>
    <row r="309" spans="3:4" ht="13.2" customHeight="1">
      <c r="C309" s="160"/>
      <c r="D309" s="160"/>
    </row>
    <row r="310" spans="3:4" ht="13.2" customHeight="1">
      <c r="C310" s="160"/>
      <c r="D310" s="160"/>
    </row>
    <row r="311" spans="3:4" ht="13.2" customHeight="1">
      <c r="C311" s="160"/>
      <c r="D311" s="160"/>
    </row>
    <row r="312" spans="3:4" ht="13.2" customHeight="1">
      <c r="C312" s="160"/>
      <c r="D312" s="160"/>
    </row>
    <row r="313" spans="3:4" ht="13.2" customHeight="1">
      <c r="C313" s="160"/>
      <c r="D313" s="160"/>
    </row>
    <row r="314" spans="3:4" ht="13.2" customHeight="1">
      <c r="C314" s="160"/>
      <c r="D314" s="160"/>
    </row>
    <row r="315" spans="3:4" ht="13.2" customHeight="1">
      <c r="C315" s="160"/>
      <c r="D315" s="160"/>
    </row>
    <row r="316" spans="3:4" ht="13.2" customHeight="1">
      <c r="C316" s="160"/>
      <c r="D316" s="160"/>
    </row>
    <row r="317" spans="3:4" ht="13.2" customHeight="1">
      <c r="C317" s="160"/>
      <c r="D317" s="160"/>
    </row>
    <row r="318" spans="3:4" ht="13.2" customHeight="1">
      <c r="C318" s="160"/>
      <c r="D318" s="160"/>
    </row>
    <row r="319" spans="3:4" ht="13.2" customHeight="1">
      <c r="C319" s="160"/>
      <c r="D319" s="160"/>
    </row>
    <row r="320" spans="3:4" ht="13.2" customHeight="1">
      <c r="C320" s="160"/>
      <c r="D320" s="160"/>
    </row>
    <row r="321" spans="3:4" ht="13.2" customHeight="1">
      <c r="C321" s="160"/>
      <c r="D321" s="160"/>
    </row>
    <row r="322" spans="3:4" ht="13.2" customHeight="1">
      <c r="C322" s="160"/>
      <c r="D322" s="160"/>
    </row>
    <row r="323" spans="3:4" ht="13.2" customHeight="1">
      <c r="C323" s="160"/>
      <c r="D323" s="160"/>
    </row>
    <row r="324" spans="3:4" ht="13.2" customHeight="1">
      <c r="C324" s="160"/>
      <c r="D324" s="160"/>
    </row>
    <row r="325" spans="3:4" ht="13.2" customHeight="1">
      <c r="C325" s="160"/>
      <c r="D325" s="160"/>
    </row>
    <row r="326" spans="3:4" ht="13.2" customHeight="1">
      <c r="C326" s="160"/>
      <c r="D326" s="160"/>
    </row>
    <row r="327" spans="3:4" ht="13.2" customHeight="1">
      <c r="C327" s="160"/>
      <c r="D327" s="160"/>
    </row>
    <row r="328" spans="3:4" ht="13.2" customHeight="1">
      <c r="C328" s="160"/>
      <c r="D328" s="160"/>
    </row>
    <row r="329" spans="3:4" ht="13.2" customHeight="1">
      <c r="C329" s="160"/>
      <c r="D329" s="160"/>
    </row>
    <row r="330" spans="3:4" ht="13.2" customHeight="1">
      <c r="C330" s="160"/>
      <c r="D330" s="160"/>
    </row>
    <row r="331" spans="3:4" ht="13.2" customHeight="1">
      <c r="C331" s="160"/>
      <c r="D331" s="160"/>
    </row>
    <row r="332" spans="3:4" ht="13.2" customHeight="1">
      <c r="C332" s="160"/>
      <c r="D332" s="160"/>
    </row>
    <row r="333" spans="3:4" ht="13.2" customHeight="1">
      <c r="C333" s="160"/>
      <c r="D333" s="160"/>
    </row>
    <row r="334" spans="3:4" ht="13.2" customHeight="1">
      <c r="C334" s="160"/>
      <c r="D334" s="160"/>
    </row>
    <row r="335" spans="3:4" ht="13.2" customHeight="1">
      <c r="C335" s="160"/>
      <c r="D335" s="160"/>
    </row>
    <row r="336" spans="3:4" ht="13.2" customHeight="1">
      <c r="C336" s="160"/>
      <c r="D336" s="160"/>
    </row>
    <row r="337" spans="3:4" ht="13.2" customHeight="1">
      <c r="C337" s="160"/>
      <c r="D337" s="160"/>
    </row>
    <row r="338" spans="3:4" ht="13.2" customHeight="1">
      <c r="C338" s="160"/>
      <c r="D338" s="160"/>
    </row>
    <row r="339" spans="3:4" ht="13.2" customHeight="1">
      <c r="C339" s="160"/>
      <c r="D339" s="160"/>
    </row>
    <row r="340" spans="3:4" ht="13.2" customHeight="1">
      <c r="C340" s="160"/>
      <c r="D340" s="160"/>
    </row>
    <row r="341" spans="3:4" ht="13.2" customHeight="1">
      <c r="C341" s="160"/>
      <c r="D341" s="160"/>
    </row>
    <row r="342" spans="3:4" ht="13.2" customHeight="1">
      <c r="C342" s="160"/>
      <c r="D342" s="160"/>
    </row>
    <row r="343" spans="3:4" ht="13.2" customHeight="1">
      <c r="C343" s="160"/>
      <c r="D343" s="160"/>
    </row>
    <row r="344" spans="3:4" ht="13.2" customHeight="1">
      <c r="C344" s="160"/>
      <c r="D344" s="160"/>
    </row>
    <row r="345" spans="3:4" ht="13.2" customHeight="1">
      <c r="C345" s="160"/>
      <c r="D345" s="160"/>
    </row>
    <row r="346" spans="3:4" ht="13.2" customHeight="1">
      <c r="C346" s="160"/>
      <c r="D346" s="160"/>
    </row>
    <row r="347" spans="3:4" ht="13.2" customHeight="1">
      <c r="C347" s="160"/>
      <c r="D347" s="160"/>
    </row>
    <row r="348" spans="3:4" ht="13.2" customHeight="1">
      <c r="C348" s="160"/>
      <c r="D348" s="160"/>
    </row>
    <row r="349" spans="3:4" ht="13.2" customHeight="1">
      <c r="C349" s="160"/>
      <c r="D349" s="160"/>
    </row>
    <row r="350" spans="3:4" ht="13.2" customHeight="1">
      <c r="C350" s="160"/>
      <c r="D350" s="160"/>
    </row>
    <row r="351" spans="3:4" ht="13.2" customHeight="1">
      <c r="C351" s="160"/>
      <c r="D351" s="160"/>
    </row>
    <row r="352" spans="3:4" ht="13.2" customHeight="1">
      <c r="C352" s="160"/>
      <c r="D352" s="160"/>
    </row>
    <row r="353" spans="3:4" ht="13.2" customHeight="1">
      <c r="C353" s="160"/>
      <c r="D353" s="160"/>
    </row>
    <row r="354" spans="3:4" ht="13.2" customHeight="1">
      <c r="C354" s="160"/>
      <c r="D354" s="160"/>
    </row>
    <row r="355" spans="3:4" ht="13.2" customHeight="1">
      <c r="C355" s="160"/>
      <c r="D355" s="160"/>
    </row>
    <row r="356" spans="3:4" ht="13.2" customHeight="1">
      <c r="C356" s="160"/>
      <c r="D356" s="160"/>
    </row>
    <row r="357" spans="3:4" ht="13.2" customHeight="1">
      <c r="C357" s="160"/>
      <c r="D357" s="160"/>
    </row>
    <row r="358" spans="3:4" ht="13.2" customHeight="1">
      <c r="C358" s="160"/>
      <c r="D358" s="160"/>
    </row>
    <row r="359" spans="3:4" ht="13.2" customHeight="1">
      <c r="C359" s="160"/>
      <c r="D359" s="160"/>
    </row>
    <row r="360" spans="3:4" ht="13.2" customHeight="1">
      <c r="C360" s="160"/>
      <c r="D360" s="160"/>
    </row>
    <row r="361" spans="3:4" ht="13.2" customHeight="1">
      <c r="C361" s="160"/>
      <c r="D361" s="160"/>
    </row>
    <row r="362" spans="3:4" ht="13.2" customHeight="1">
      <c r="C362" s="160"/>
      <c r="D362" s="160"/>
    </row>
    <row r="363" spans="3:4" ht="13.2" customHeight="1">
      <c r="C363" s="160"/>
      <c r="D363" s="160"/>
    </row>
    <row r="364" spans="3:4" ht="13.2" customHeight="1">
      <c r="C364" s="160"/>
      <c r="D364" s="160"/>
    </row>
    <row r="365" spans="3:4" ht="13.2" customHeight="1">
      <c r="C365" s="160"/>
      <c r="D365" s="160"/>
    </row>
    <row r="366" spans="3:4" ht="13.2" customHeight="1">
      <c r="C366" s="160"/>
      <c r="D366" s="160"/>
    </row>
    <row r="367" spans="3:4" ht="13.2" customHeight="1">
      <c r="C367" s="160"/>
      <c r="D367" s="160"/>
    </row>
    <row r="368" spans="3:4" ht="13.2" customHeight="1">
      <c r="C368" s="160"/>
      <c r="D368" s="160"/>
    </row>
    <row r="369" spans="3:4" ht="13.2" customHeight="1">
      <c r="C369" s="160"/>
      <c r="D369" s="160"/>
    </row>
    <row r="370" spans="3:4" ht="13.2" customHeight="1">
      <c r="C370" s="160"/>
      <c r="D370" s="160"/>
    </row>
    <row r="371" spans="3:4" ht="13.2" customHeight="1">
      <c r="C371" s="160"/>
      <c r="D371" s="160"/>
    </row>
    <row r="372" spans="3:4" ht="13.2" customHeight="1">
      <c r="C372" s="160"/>
      <c r="D372" s="160"/>
    </row>
    <row r="373" spans="3:4" ht="13.2" customHeight="1">
      <c r="C373" s="160"/>
      <c r="D373" s="160"/>
    </row>
    <row r="374" spans="3:4" ht="13.2" customHeight="1">
      <c r="C374" s="160"/>
      <c r="D374" s="160"/>
    </row>
    <row r="375" spans="3:4" ht="13.2" customHeight="1">
      <c r="C375" s="160"/>
      <c r="D375" s="160"/>
    </row>
    <row r="376" spans="3:4" ht="13.2" customHeight="1">
      <c r="C376" s="160"/>
      <c r="D376" s="160"/>
    </row>
    <row r="377" spans="3:4" ht="13.2" customHeight="1">
      <c r="C377" s="160"/>
      <c r="D377" s="160"/>
    </row>
    <row r="378" spans="3:4" ht="13.2" customHeight="1">
      <c r="C378" s="160"/>
      <c r="D378" s="160"/>
    </row>
    <row r="379" spans="3:4" ht="13.2" customHeight="1">
      <c r="C379" s="160"/>
      <c r="D379" s="160"/>
    </row>
    <row r="380" spans="3:4" ht="13.2" customHeight="1">
      <c r="C380" s="160"/>
      <c r="D380" s="160"/>
    </row>
    <row r="381" spans="3:4" ht="13.2" customHeight="1">
      <c r="C381" s="160"/>
      <c r="D381" s="160"/>
    </row>
    <row r="382" spans="3:4" ht="13.2" customHeight="1">
      <c r="C382" s="160"/>
      <c r="D382" s="160"/>
    </row>
    <row r="383" spans="3:4" ht="13.2" customHeight="1">
      <c r="C383" s="160"/>
      <c r="D383" s="160"/>
    </row>
    <row r="384" spans="3:4" ht="13.2" customHeight="1">
      <c r="C384" s="160"/>
      <c r="D384" s="160"/>
    </row>
    <row r="385" spans="3:4" ht="13.2" customHeight="1">
      <c r="C385" s="160"/>
      <c r="D385" s="160"/>
    </row>
    <row r="386" spans="3:4" ht="13.2" customHeight="1">
      <c r="C386" s="160"/>
      <c r="D386" s="160"/>
    </row>
    <row r="387" spans="3:4" ht="13.2" customHeight="1">
      <c r="C387" s="160"/>
      <c r="D387" s="160"/>
    </row>
    <row r="388" spans="3:4" ht="13.2" customHeight="1">
      <c r="C388" s="160"/>
      <c r="D388" s="160"/>
    </row>
    <row r="389" spans="3:4" ht="13.2" customHeight="1">
      <c r="C389" s="160"/>
      <c r="D389" s="160"/>
    </row>
    <row r="390" spans="3:4" ht="13.2" customHeight="1">
      <c r="C390" s="160"/>
      <c r="D390" s="160"/>
    </row>
    <row r="391" spans="3:4" ht="13.2" customHeight="1">
      <c r="C391" s="160"/>
      <c r="D391" s="160"/>
    </row>
    <row r="392" spans="3:4" ht="13.2" customHeight="1">
      <c r="C392" s="160"/>
      <c r="D392" s="160"/>
    </row>
    <row r="393" spans="3:4" ht="13.2" customHeight="1">
      <c r="C393" s="160"/>
      <c r="D393" s="160"/>
    </row>
    <row r="394" spans="3:4" ht="13.2" customHeight="1">
      <c r="C394" s="160"/>
      <c r="D394" s="160"/>
    </row>
    <row r="395" spans="3:4" ht="13.2" customHeight="1">
      <c r="C395" s="160"/>
      <c r="D395" s="160"/>
    </row>
    <row r="396" spans="3:4" ht="13.2" customHeight="1">
      <c r="C396" s="160"/>
      <c r="D396" s="160"/>
    </row>
    <row r="397" spans="3:4" ht="13.2" customHeight="1">
      <c r="C397" s="160"/>
      <c r="D397" s="160"/>
    </row>
    <row r="398" spans="3:4" ht="13.2" customHeight="1">
      <c r="C398" s="160"/>
      <c r="D398" s="160"/>
    </row>
    <row r="399" spans="3:4" ht="13.2" customHeight="1">
      <c r="C399" s="160"/>
      <c r="D399" s="160"/>
    </row>
    <row r="400" spans="3:4" ht="13.2" customHeight="1">
      <c r="C400" s="160"/>
      <c r="D400" s="160"/>
    </row>
    <row r="401" spans="3:4" ht="13.2" customHeight="1">
      <c r="C401" s="160"/>
      <c r="D401" s="160"/>
    </row>
    <row r="402" spans="3:4" ht="13.2" customHeight="1">
      <c r="C402" s="160"/>
      <c r="D402" s="160"/>
    </row>
    <row r="403" spans="3:4" ht="13.2" customHeight="1">
      <c r="C403" s="160"/>
      <c r="D403" s="160"/>
    </row>
    <row r="404" spans="3:4" ht="13.2" customHeight="1">
      <c r="C404" s="160"/>
      <c r="D404" s="160"/>
    </row>
    <row r="405" spans="3:4" ht="13.2" customHeight="1">
      <c r="C405" s="160"/>
      <c r="D405" s="160"/>
    </row>
    <row r="406" spans="3:4" ht="13.2" customHeight="1">
      <c r="C406" s="160"/>
      <c r="D406" s="160"/>
    </row>
    <row r="407" spans="3:4" ht="13.2" customHeight="1">
      <c r="C407" s="160"/>
      <c r="D407" s="160"/>
    </row>
    <row r="408" spans="3:4" ht="13.2" customHeight="1">
      <c r="C408" s="160"/>
      <c r="D408" s="160"/>
    </row>
    <row r="409" spans="3:4" ht="13.2" customHeight="1">
      <c r="C409" s="160"/>
      <c r="D409" s="160"/>
    </row>
    <row r="410" spans="3:4" ht="13.2" customHeight="1">
      <c r="C410" s="160"/>
      <c r="D410" s="160"/>
    </row>
    <row r="411" spans="3:4" ht="13.2" customHeight="1">
      <c r="C411" s="160"/>
      <c r="D411" s="160"/>
    </row>
    <row r="412" spans="3:4" ht="13.2" customHeight="1">
      <c r="C412" s="160"/>
      <c r="D412" s="160"/>
    </row>
    <row r="413" spans="3:4" ht="13.2" customHeight="1">
      <c r="C413" s="160"/>
      <c r="D413" s="160"/>
    </row>
    <row r="414" spans="3:4" ht="13.2" customHeight="1">
      <c r="C414" s="160"/>
      <c r="D414" s="160"/>
    </row>
    <row r="415" spans="3:4" ht="13.2" customHeight="1">
      <c r="C415" s="160"/>
      <c r="D415" s="160"/>
    </row>
    <row r="416" spans="3:4" ht="13.2" customHeight="1">
      <c r="C416" s="160"/>
      <c r="D416" s="160"/>
    </row>
    <row r="417" spans="3:4" ht="13.2" customHeight="1">
      <c r="C417" s="160"/>
      <c r="D417" s="160"/>
    </row>
    <row r="418" spans="3:4" ht="13.2" customHeight="1">
      <c r="C418" s="160"/>
      <c r="D418" s="160"/>
    </row>
    <row r="419" spans="3:4" ht="13.2" customHeight="1">
      <c r="C419" s="160"/>
      <c r="D419" s="160"/>
    </row>
    <row r="420" spans="3:4" ht="13.2" customHeight="1">
      <c r="C420" s="160"/>
      <c r="D420" s="160"/>
    </row>
    <row r="421" spans="3:4" ht="13.2" customHeight="1">
      <c r="C421" s="160"/>
      <c r="D421" s="160"/>
    </row>
    <row r="422" spans="3:4" ht="13.2" customHeight="1">
      <c r="C422" s="160"/>
      <c r="D422" s="160"/>
    </row>
    <row r="423" spans="3:4" ht="13.2" customHeight="1">
      <c r="C423" s="160"/>
      <c r="D423" s="160"/>
    </row>
    <row r="424" spans="3:4" ht="13.2" customHeight="1">
      <c r="C424" s="160"/>
      <c r="D424" s="160"/>
    </row>
    <row r="425" spans="3:4" ht="13.2" customHeight="1">
      <c r="C425" s="160"/>
      <c r="D425" s="160"/>
    </row>
    <row r="426" spans="3:4" ht="13.2" customHeight="1">
      <c r="C426" s="160"/>
      <c r="D426" s="160"/>
    </row>
    <row r="427" spans="3:4" ht="13.2" customHeight="1">
      <c r="C427" s="160"/>
      <c r="D427" s="160"/>
    </row>
    <row r="428" spans="3:4" ht="13.2" customHeight="1">
      <c r="C428" s="160"/>
      <c r="D428" s="160"/>
    </row>
    <row r="429" spans="3:4" ht="13.2" customHeight="1">
      <c r="C429" s="160"/>
      <c r="D429" s="160"/>
    </row>
    <row r="430" spans="3:4" ht="13.2" customHeight="1">
      <c r="C430" s="160"/>
      <c r="D430" s="160"/>
    </row>
    <row r="431" spans="3:4" ht="13.2" customHeight="1">
      <c r="C431" s="160"/>
      <c r="D431" s="160"/>
    </row>
    <row r="432" spans="3:4" ht="13.2" customHeight="1">
      <c r="C432" s="160"/>
      <c r="D432" s="160"/>
    </row>
    <row r="433" spans="3:4" ht="13.2" customHeight="1">
      <c r="C433" s="160"/>
      <c r="D433" s="160"/>
    </row>
    <row r="434" spans="3:4" ht="13.2" customHeight="1">
      <c r="C434" s="160"/>
      <c r="D434" s="160"/>
    </row>
    <row r="435" spans="3:4" ht="13.2" customHeight="1">
      <c r="C435" s="160"/>
      <c r="D435" s="160"/>
    </row>
    <row r="436" spans="3:4" ht="13.2" customHeight="1">
      <c r="C436" s="160"/>
      <c r="D436" s="160"/>
    </row>
    <row r="437" spans="3:4" ht="13.2" customHeight="1">
      <c r="C437" s="160"/>
      <c r="D437" s="160"/>
    </row>
    <row r="438" spans="3:4" ht="13.2" customHeight="1">
      <c r="C438" s="160"/>
      <c r="D438" s="160"/>
    </row>
    <row r="439" spans="3:4" ht="13.2" customHeight="1">
      <c r="C439" s="160"/>
      <c r="D439" s="160"/>
    </row>
    <row r="440" spans="3:4" ht="13.2" customHeight="1">
      <c r="C440" s="160"/>
      <c r="D440" s="160"/>
    </row>
    <row r="441" spans="3:4" ht="13.2" customHeight="1">
      <c r="C441" s="160"/>
      <c r="D441" s="160"/>
    </row>
    <row r="442" spans="3:4" ht="13.2" customHeight="1">
      <c r="C442" s="160"/>
      <c r="D442" s="160"/>
    </row>
    <row r="443" spans="3:4" ht="13.2" customHeight="1">
      <c r="C443" s="160"/>
      <c r="D443" s="160"/>
    </row>
    <row r="444" spans="3:4" ht="13.2" customHeight="1">
      <c r="C444" s="160"/>
      <c r="D444" s="160"/>
    </row>
    <row r="445" spans="3:4" ht="13.2" customHeight="1">
      <c r="C445" s="160"/>
      <c r="D445" s="160"/>
    </row>
    <row r="446" spans="3:4" ht="13.2" customHeight="1">
      <c r="C446" s="160"/>
      <c r="D446" s="160"/>
    </row>
    <row r="447" spans="3:4" ht="13.2" customHeight="1">
      <c r="C447" s="160"/>
      <c r="D447" s="160"/>
    </row>
    <row r="448" spans="3:4" ht="13.2" customHeight="1">
      <c r="C448" s="160"/>
      <c r="D448" s="160"/>
    </row>
    <row r="449" spans="3:4" ht="13.2" customHeight="1">
      <c r="C449" s="160"/>
      <c r="D449" s="160"/>
    </row>
    <row r="450" spans="3:4" ht="13.2" customHeight="1">
      <c r="C450" s="160"/>
      <c r="D450" s="160"/>
    </row>
    <row r="451" spans="3:4" ht="13.2" customHeight="1">
      <c r="C451" s="160"/>
      <c r="D451" s="160"/>
    </row>
    <row r="452" spans="3:4" ht="13.2" customHeight="1">
      <c r="C452" s="160"/>
      <c r="D452" s="160"/>
    </row>
    <row r="453" spans="3:4" ht="13.2" customHeight="1">
      <c r="C453" s="160"/>
      <c r="D453" s="160"/>
    </row>
    <row r="454" spans="3:4" ht="13.2" customHeight="1">
      <c r="C454" s="160"/>
      <c r="D454" s="160"/>
    </row>
    <row r="455" spans="3:4" ht="13.2" customHeight="1">
      <c r="C455" s="160"/>
      <c r="D455" s="160"/>
    </row>
    <row r="456" spans="3:4" ht="13.2" customHeight="1">
      <c r="C456" s="160"/>
      <c r="D456" s="160"/>
    </row>
    <row r="457" spans="3:4" ht="13.2" customHeight="1">
      <c r="C457" s="160"/>
      <c r="D457" s="160"/>
    </row>
    <row r="458" spans="3:4" ht="13.2" customHeight="1">
      <c r="C458" s="160"/>
      <c r="D458" s="160"/>
    </row>
    <row r="459" spans="3:4" ht="13.2" customHeight="1">
      <c r="C459" s="160"/>
      <c r="D459" s="160"/>
    </row>
    <row r="460" spans="3:4" ht="13.2" customHeight="1">
      <c r="C460" s="160"/>
      <c r="D460" s="160"/>
    </row>
    <row r="461" spans="3:4" ht="13.2" customHeight="1">
      <c r="C461" s="160"/>
      <c r="D461" s="160"/>
    </row>
    <row r="462" spans="3:4" ht="13.2" customHeight="1">
      <c r="C462" s="160"/>
      <c r="D462" s="160"/>
    </row>
    <row r="463" spans="3:4" ht="13.2" customHeight="1">
      <c r="C463" s="160"/>
      <c r="D463" s="160"/>
    </row>
    <row r="464" spans="3:4" ht="13.2" customHeight="1">
      <c r="C464" s="160"/>
      <c r="D464" s="160"/>
    </row>
    <row r="465" spans="3:4" ht="13.2" customHeight="1">
      <c r="C465" s="160"/>
      <c r="D465" s="160"/>
    </row>
    <row r="466" spans="3:4" ht="13.2" customHeight="1">
      <c r="C466" s="160"/>
      <c r="D466" s="160"/>
    </row>
    <row r="467" spans="3:4" ht="13.2" customHeight="1">
      <c r="C467" s="160"/>
      <c r="D467" s="160"/>
    </row>
    <row r="468" spans="3:4" ht="13.2" customHeight="1">
      <c r="C468" s="160"/>
      <c r="D468" s="160"/>
    </row>
    <row r="469" spans="3:4" ht="13.2" customHeight="1">
      <c r="C469" s="160"/>
      <c r="D469" s="160"/>
    </row>
    <row r="470" spans="3:4" ht="13.2" customHeight="1">
      <c r="C470" s="160"/>
      <c r="D470" s="160"/>
    </row>
    <row r="471" spans="3:4" ht="13.2" customHeight="1">
      <c r="C471" s="160"/>
      <c r="D471" s="160"/>
    </row>
    <row r="472" spans="3:4" ht="13.2" customHeight="1">
      <c r="C472" s="160"/>
      <c r="D472" s="160"/>
    </row>
    <row r="473" spans="3:4" ht="13.2" customHeight="1">
      <c r="C473" s="160"/>
      <c r="D473" s="160"/>
    </row>
    <row r="474" spans="3:4" ht="13.2" customHeight="1">
      <c r="C474" s="160"/>
      <c r="D474" s="160"/>
    </row>
    <row r="475" spans="3:4" ht="13.2" customHeight="1">
      <c r="C475" s="160"/>
      <c r="D475" s="160"/>
    </row>
    <row r="476" spans="3:4" ht="13.2" customHeight="1">
      <c r="C476" s="160"/>
      <c r="D476" s="160"/>
    </row>
    <row r="477" spans="3:4" ht="13.2" customHeight="1">
      <c r="C477" s="160"/>
      <c r="D477" s="160"/>
    </row>
    <row r="478" spans="3:4" ht="13.2" customHeight="1">
      <c r="C478" s="160"/>
      <c r="D478" s="160"/>
    </row>
    <row r="479" spans="3:4" ht="13.2" customHeight="1">
      <c r="C479" s="160"/>
      <c r="D479" s="160"/>
    </row>
    <row r="480" spans="3:4" ht="13.2" customHeight="1">
      <c r="C480" s="160"/>
      <c r="D480" s="160"/>
    </row>
    <row r="481" spans="3:4" ht="13.2" customHeight="1">
      <c r="C481" s="160"/>
      <c r="D481" s="160"/>
    </row>
    <row r="482" spans="3:4" ht="13.2" customHeight="1">
      <c r="C482" s="160"/>
      <c r="D482" s="160"/>
    </row>
    <row r="483" spans="3:4" ht="13.2" customHeight="1">
      <c r="C483" s="160"/>
      <c r="D483" s="160"/>
    </row>
    <row r="484" spans="3:4" ht="13.2" customHeight="1">
      <c r="C484" s="160"/>
      <c r="D484" s="160"/>
    </row>
    <row r="485" spans="3:4" ht="13.2" customHeight="1">
      <c r="C485" s="160"/>
      <c r="D485" s="160"/>
    </row>
    <row r="486" spans="3:4" ht="13.2" customHeight="1">
      <c r="C486" s="160"/>
      <c r="D486" s="160"/>
    </row>
    <row r="487" spans="3:4" ht="13.2" customHeight="1">
      <c r="C487" s="160"/>
      <c r="D487" s="160"/>
    </row>
    <row r="488" spans="3:4" ht="13.2" customHeight="1">
      <c r="C488" s="160"/>
      <c r="D488" s="160"/>
    </row>
    <row r="489" spans="3:4" ht="13.2" customHeight="1">
      <c r="C489" s="160"/>
      <c r="D489" s="160"/>
    </row>
    <row r="490" spans="3:4" ht="13.2" customHeight="1">
      <c r="C490" s="160"/>
      <c r="D490" s="160"/>
    </row>
    <row r="491" spans="3:4" ht="13.2" customHeight="1">
      <c r="C491" s="160"/>
      <c r="D491" s="160"/>
    </row>
    <row r="492" spans="3:4" ht="13.2" customHeight="1">
      <c r="C492" s="160"/>
      <c r="D492" s="160"/>
    </row>
    <row r="493" spans="3:4" ht="13.2" customHeight="1">
      <c r="C493" s="160"/>
      <c r="D493" s="160"/>
    </row>
    <row r="494" spans="3:4" ht="13.2" customHeight="1">
      <c r="C494" s="160"/>
      <c r="D494" s="160"/>
    </row>
    <row r="495" spans="3:4" ht="13.2" customHeight="1">
      <c r="C495" s="160"/>
      <c r="D495" s="160"/>
    </row>
    <row r="496" spans="3:4" ht="13.2" customHeight="1">
      <c r="C496" s="160"/>
      <c r="D496" s="160"/>
    </row>
    <row r="497" spans="3:4" ht="13.2" customHeight="1">
      <c r="C497" s="160"/>
      <c r="D497" s="160"/>
    </row>
    <row r="498" spans="3:4" ht="13.2" customHeight="1">
      <c r="C498" s="160"/>
      <c r="D498" s="160"/>
    </row>
    <row r="499" spans="3:4" ht="13.2" customHeight="1">
      <c r="C499" s="160"/>
      <c r="D499" s="160"/>
    </row>
    <row r="500" spans="3:4" ht="13.2" customHeight="1">
      <c r="C500" s="160"/>
      <c r="D500" s="160"/>
    </row>
    <row r="501" spans="3:4" ht="13.2" customHeight="1">
      <c r="C501" s="160"/>
      <c r="D501" s="160"/>
    </row>
    <row r="502" spans="3:4" ht="13.2" customHeight="1">
      <c r="C502" s="160"/>
      <c r="D502" s="160"/>
    </row>
    <row r="503" spans="3:4" ht="13.2" customHeight="1">
      <c r="C503" s="160"/>
      <c r="D503" s="160"/>
    </row>
    <row r="504" spans="3:4" ht="13.2" customHeight="1">
      <c r="C504" s="160"/>
      <c r="D504" s="160"/>
    </row>
    <row r="505" spans="3:4" ht="13.2" customHeight="1">
      <c r="C505" s="160"/>
      <c r="D505" s="160"/>
    </row>
    <row r="506" spans="3:4" ht="13.2" customHeight="1">
      <c r="C506" s="160"/>
      <c r="D506" s="160"/>
    </row>
    <row r="507" spans="3:4" ht="13.2" customHeight="1">
      <c r="C507" s="160"/>
      <c r="D507" s="160"/>
    </row>
    <row r="508" spans="3:4" ht="13.2" customHeight="1">
      <c r="C508" s="160"/>
      <c r="D508" s="160"/>
    </row>
    <row r="509" spans="3:4" ht="13.2" customHeight="1">
      <c r="C509" s="160"/>
      <c r="D509" s="160"/>
    </row>
    <row r="510" spans="3:4" ht="13.2" customHeight="1">
      <c r="C510" s="160"/>
      <c r="D510" s="160"/>
    </row>
    <row r="511" spans="3:4" ht="13.2" customHeight="1">
      <c r="C511" s="160"/>
      <c r="D511" s="160"/>
    </row>
    <row r="512" spans="3:4" ht="13.2" customHeight="1">
      <c r="C512" s="160"/>
      <c r="D512" s="160"/>
    </row>
    <row r="513" spans="3:4" ht="13.2" customHeight="1">
      <c r="C513" s="160"/>
      <c r="D513" s="160"/>
    </row>
    <row r="514" spans="3:4" ht="13.2" customHeight="1">
      <c r="C514" s="160"/>
      <c r="D514" s="160"/>
    </row>
    <row r="515" spans="3:4" ht="13.2" customHeight="1">
      <c r="C515" s="160"/>
      <c r="D515" s="160"/>
    </row>
    <row r="516" spans="3:4" ht="13.2" customHeight="1">
      <c r="C516" s="160"/>
      <c r="D516" s="160"/>
    </row>
    <row r="517" spans="3:4" ht="13.2" customHeight="1">
      <c r="C517" s="160"/>
      <c r="D517" s="160"/>
    </row>
    <row r="518" spans="3:4" ht="13.2" customHeight="1">
      <c r="C518" s="160"/>
      <c r="D518" s="160"/>
    </row>
    <row r="519" spans="3:4" ht="13.2" customHeight="1">
      <c r="C519" s="160"/>
      <c r="D519" s="160"/>
    </row>
    <row r="520" spans="3:4" ht="13.2" customHeight="1">
      <c r="C520" s="160"/>
      <c r="D520" s="160"/>
    </row>
    <row r="521" spans="3:4" ht="13.2" customHeight="1">
      <c r="C521" s="160"/>
      <c r="D521" s="160"/>
    </row>
    <row r="522" spans="3:4" ht="13.2" customHeight="1">
      <c r="C522" s="160"/>
      <c r="D522" s="160"/>
    </row>
    <row r="523" spans="3:4" ht="13.2" customHeight="1">
      <c r="C523" s="160"/>
      <c r="D523" s="160"/>
    </row>
    <row r="524" spans="3:4" ht="13.2" customHeight="1">
      <c r="C524" s="160"/>
      <c r="D524" s="160"/>
    </row>
    <row r="525" spans="3:4" ht="13.2" customHeight="1">
      <c r="C525" s="160"/>
      <c r="D525" s="160"/>
    </row>
    <row r="526" spans="3:4" ht="13.2" customHeight="1">
      <c r="C526" s="160"/>
      <c r="D526" s="160"/>
    </row>
    <row r="527" spans="3:4" ht="13.2" customHeight="1">
      <c r="C527" s="160"/>
      <c r="D527" s="160"/>
    </row>
    <row r="528" spans="3:4" ht="13.2" customHeight="1">
      <c r="C528" s="160"/>
      <c r="D528" s="160"/>
    </row>
    <row r="529" spans="3:4" ht="13.2" customHeight="1">
      <c r="C529" s="160"/>
      <c r="D529" s="160"/>
    </row>
    <row r="530" spans="3:4" ht="13.2" customHeight="1">
      <c r="C530" s="160"/>
      <c r="D530" s="160"/>
    </row>
    <row r="531" spans="3:4" ht="13.2" customHeight="1">
      <c r="C531" s="160"/>
      <c r="D531" s="160"/>
    </row>
    <row r="532" spans="3:4" ht="13.2" customHeight="1">
      <c r="C532" s="160"/>
      <c r="D532" s="160"/>
    </row>
    <row r="533" spans="3:4" ht="13.2" customHeight="1">
      <c r="C533" s="160"/>
      <c r="D533" s="160"/>
    </row>
    <row r="534" spans="3:4" ht="13.2" customHeight="1">
      <c r="C534" s="160"/>
      <c r="D534" s="160"/>
    </row>
    <row r="535" spans="3:4" ht="13.2" customHeight="1">
      <c r="C535" s="160"/>
      <c r="D535" s="160"/>
    </row>
    <row r="536" spans="3:4" ht="13.2" customHeight="1">
      <c r="C536" s="160"/>
      <c r="D536" s="160"/>
    </row>
    <row r="537" spans="3:4" ht="13.2" customHeight="1">
      <c r="C537" s="160"/>
      <c r="D537" s="160"/>
    </row>
    <row r="538" spans="3:4" ht="13.2" customHeight="1">
      <c r="C538" s="160"/>
      <c r="D538" s="160"/>
    </row>
    <row r="539" spans="3:4" ht="13.2" customHeight="1">
      <c r="C539" s="160"/>
      <c r="D539" s="160"/>
    </row>
    <row r="540" spans="3:4" ht="13.2" customHeight="1">
      <c r="C540" s="160"/>
      <c r="D540" s="160"/>
    </row>
    <row r="541" spans="3:4" ht="13.2" customHeight="1">
      <c r="C541" s="160"/>
      <c r="D541" s="160"/>
    </row>
    <row r="542" spans="3:4" ht="13.2" customHeight="1">
      <c r="C542" s="160"/>
      <c r="D542" s="160"/>
    </row>
    <row r="543" spans="3:4" ht="13.2" customHeight="1">
      <c r="C543" s="160"/>
      <c r="D543" s="160"/>
    </row>
    <row r="544" spans="3:4" ht="13.2" customHeight="1">
      <c r="C544" s="160"/>
      <c r="D544" s="160"/>
    </row>
    <row r="545" spans="3:4" ht="13.2" customHeight="1">
      <c r="C545" s="160"/>
      <c r="D545" s="160"/>
    </row>
    <row r="546" spans="3:4" ht="13.2" customHeight="1">
      <c r="C546" s="160"/>
      <c r="D546" s="160"/>
    </row>
    <row r="547" spans="3:4" ht="13.2" customHeight="1">
      <c r="C547" s="160"/>
      <c r="D547" s="160"/>
    </row>
    <row r="548" spans="3:4" ht="13.2" customHeight="1">
      <c r="C548" s="160"/>
      <c r="D548" s="160"/>
    </row>
    <row r="549" spans="3:4" ht="13.2" customHeight="1">
      <c r="C549" s="160"/>
      <c r="D549" s="160"/>
    </row>
    <row r="550" spans="3:4" ht="13.2" customHeight="1">
      <c r="C550" s="160"/>
      <c r="D550" s="160"/>
    </row>
    <row r="551" spans="3:4" ht="13.2" customHeight="1">
      <c r="C551" s="160"/>
      <c r="D551" s="160"/>
    </row>
    <row r="552" spans="3:4" ht="13.2" customHeight="1">
      <c r="C552" s="160"/>
      <c r="D552" s="160"/>
    </row>
    <row r="553" spans="3:4" ht="13.2" customHeight="1">
      <c r="C553" s="160"/>
      <c r="D553" s="160"/>
    </row>
    <row r="554" spans="3:4" ht="13.2" customHeight="1">
      <c r="C554" s="160"/>
      <c r="D554" s="160"/>
    </row>
    <row r="555" spans="3:4" ht="13.2" customHeight="1">
      <c r="C555" s="160"/>
      <c r="D555" s="160"/>
    </row>
    <row r="556" spans="3:4" ht="13.2" customHeight="1">
      <c r="C556" s="160"/>
      <c r="D556" s="160"/>
    </row>
    <row r="557" spans="3:4" ht="13.2" customHeight="1">
      <c r="C557" s="160"/>
      <c r="D557" s="160"/>
    </row>
    <row r="558" spans="3:4" ht="13.2" customHeight="1">
      <c r="C558" s="160"/>
      <c r="D558" s="160"/>
    </row>
    <row r="559" spans="3:4" ht="13.2" customHeight="1">
      <c r="C559" s="160"/>
      <c r="D559" s="160"/>
    </row>
    <row r="560" spans="3:4" ht="13.2" customHeight="1">
      <c r="C560" s="160"/>
      <c r="D560" s="160"/>
    </row>
    <row r="561" spans="3:4" ht="13.2" customHeight="1">
      <c r="C561" s="160"/>
      <c r="D561" s="160"/>
    </row>
    <row r="562" spans="3:4" ht="13.2" customHeight="1">
      <c r="C562" s="160"/>
      <c r="D562" s="160"/>
    </row>
    <row r="563" spans="3:4" ht="13.2" customHeight="1">
      <c r="C563" s="160"/>
      <c r="D563" s="160"/>
    </row>
    <row r="564" spans="3:4" ht="13.2" customHeight="1">
      <c r="C564" s="160"/>
      <c r="D564" s="160"/>
    </row>
    <row r="565" spans="3:4" ht="13.2" customHeight="1">
      <c r="C565" s="160"/>
      <c r="D565" s="160"/>
    </row>
    <row r="566" spans="3:4" ht="13.2" customHeight="1">
      <c r="C566" s="160"/>
      <c r="D566" s="160"/>
    </row>
    <row r="567" spans="3:4" ht="13.2" customHeight="1">
      <c r="C567" s="160"/>
      <c r="D567" s="160"/>
    </row>
    <row r="568" spans="3:4" ht="13.2" customHeight="1">
      <c r="C568" s="160"/>
      <c r="D568" s="160"/>
    </row>
    <row r="569" spans="3:4" ht="13.2" customHeight="1">
      <c r="C569" s="160"/>
      <c r="D569" s="160"/>
    </row>
    <row r="570" spans="3:4" ht="13.2" customHeight="1">
      <c r="C570" s="160"/>
      <c r="D570" s="160"/>
    </row>
    <row r="571" spans="3:4" ht="13.2" customHeight="1">
      <c r="C571" s="160"/>
      <c r="D571" s="160"/>
    </row>
    <row r="572" spans="3:4" ht="13.2" customHeight="1">
      <c r="C572" s="160"/>
      <c r="D572" s="160"/>
    </row>
    <row r="573" spans="3:4" ht="13.2" customHeight="1">
      <c r="C573" s="160"/>
      <c r="D573" s="160"/>
    </row>
    <row r="574" spans="3:4" ht="13.2" customHeight="1">
      <c r="C574" s="160"/>
      <c r="D574" s="160"/>
    </row>
    <row r="575" spans="3:4" ht="13.2" customHeight="1">
      <c r="C575" s="160"/>
      <c r="D575" s="160"/>
    </row>
    <row r="576" spans="3:4" ht="13.2" customHeight="1">
      <c r="C576" s="160"/>
      <c r="D576" s="160"/>
    </row>
    <row r="577" spans="3:4" ht="13.2" customHeight="1">
      <c r="C577" s="160"/>
      <c r="D577" s="160"/>
    </row>
    <row r="578" spans="3:4" ht="13.2" customHeight="1">
      <c r="C578" s="160"/>
      <c r="D578" s="160"/>
    </row>
    <row r="579" spans="3:4" ht="13.2" customHeight="1">
      <c r="C579" s="160"/>
      <c r="D579" s="160"/>
    </row>
    <row r="580" spans="3:4" ht="13.2" customHeight="1">
      <c r="C580" s="160"/>
      <c r="D580" s="160"/>
    </row>
    <row r="581" spans="3:4" ht="13.2" customHeight="1">
      <c r="C581" s="160"/>
      <c r="D581" s="160"/>
    </row>
    <row r="582" spans="3:4" ht="13.2" customHeight="1">
      <c r="C582" s="160"/>
      <c r="D582" s="160"/>
    </row>
    <row r="583" spans="3:4" ht="13.2" customHeight="1">
      <c r="C583" s="160"/>
      <c r="D583" s="160"/>
    </row>
    <row r="584" spans="3:4" ht="13.2" customHeight="1">
      <c r="C584" s="160"/>
      <c r="D584" s="160"/>
    </row>
    <row r="585" spans="3:4" ht="13.2" customHeight="1">
      <c r="C585" s="160"/>
      <c r="D585" s="160"/>
    </row>
    <row r="586" spans="3:4" ht="13.2" customHeight="1">
      <c r="C586" s="160"/>
      <c r="D586" s="160"/>
    </row>
    <row r="587" spans="3:4" ht="13.2" customHeight="1">
      <c r="C587" s="160"/>
      <c r="D587" s="160"/>
    </row>
    <row r="588" spans="3:4" ht="13.2" customHeight="1">
      <c r="C588" s="160"/>
      <c r="D588" s="160"/>
    </row>
    <row r="589" spans="3:4" ht="13.2" customHeight="1">
      <c r="C589" s="160"/>
      <c r="D589" s="160"/>
    </row>
    <row r="590" spans="3:4" ht="13.2" customHeight="1">
      <c r="C590" s="160"/>
      <c r="D590" s="160"/>
    </row>
    <row r="591" spans="3:4" ht="13.2" customHeight="1">
      <c r="C591" s="160"/>
      <c r="D591" s="160"/>
    </row>
    <row r="592" spans="3:4" ht="13.2" customHeight="1">
      <c r="C592" s="160"/>
      <c r="D592" s="160"/>
    </row>
    <row r="593" spans="3:4" ht="13.2" customHeight="1">
      <c r="C593" s="160"/>
      <c r="D593" s="160"/>
    </row>
    <row r="594" spans="3:4" ht="13.2" customHeight="1">
      <c r="C594" s="160"/>
      <c r="D594" s="160"/>
    </row>
    <row r="595" spans="3:4" ht="13.2" customHeight="1">
      <c r="C595" s="160"/>
      <c r="D595" s="160"/>
    </row>
    <row r="596" spans="3:4" ht="13.2" customHeight="1">
      <c r="C596" s="160"/>
      <c r="D596" s="160"/>
    </row>
    <row r="597" spans="3:4" ht="13.2" customHeight="1">
      <c r="C597" s="160"/>
      <c r="D597" s="160"/>
    </row>
    <row r="598" spans="3:4" ht="13.2" customHeight="1">
      <c r="C598" s="160"/>
      <c r="D598" s="160"/>
    </row>
    <row r="599" spans="3:4" ht="13.2" customHeight="1">
      <c r="C599" s="160"/>
      <c r="D599" s="160"/>
    </row>
    <row r="600" spans="3:4" ht="13.2" customHeight="1">
      <c r="C600" s="160"/>
      <c r="D600" s="160"/>
    </row>
    <row r="601" spans="3:4" ht="13.2" customHeight="1">
      <c r="C601" s="160"/>
      <c r="D601" s="160"/>
    </row>
    <row r="602" spans="3:4" ht="13.2" customHeight="1">
      <c r="C602" s="160"/>
      <c r="D602" s="160"/>
    </row>
    <row r="603" spans="3:4" ht="13.2" customHeight="1">
      <c r="C603" s="160"/>
      <c r="D603" s="160"/>
    </row>
    <row r="604" spans="3:4" ht="13.2" customHeight="1">
      <c r="C604" s="160"/>
      <c r="D604" s="160"/>
    </row>
    <row r="605" spans="3:4" ht="13.2" customHeight="1">
      <c r="C605" s="160"/>
      <c r="D605" s="160"/>
    </row>
    <row r="606" spans="3:4" ht="13.2" customHeight="1">
      <c r="C606" s="160"/>
      <c r="D606" s="160"/>
    </row>
    <row r="607" spans="3:4" ht="13.2" customHeight="1">
      <c r="C607" s="160"/>
      <c r="D607" s="160"/>
    </row>
    <row r="608" spans="3:4" ht="13.2" customHeight="1">
      <c r="C608" s="160"/>
      <c r="D608" s="160"/>
    </row>
    <row r="609" spans="3:4" ht="13.2" customHeight="1">
      <c r="C609" s="160"/>
      <c r="D609" s="160"/>
    </row>
    <row r="610" spans="3:4" ht="13.2" customHeight="1">
      <c r="C610" s="160"/>
      <c r="D610" s="160"/>
    </row>
    <row r="611" spans="3:4" ht="13.2" customHeight="1">
      <c r="C611" s="160"/>
      <c r="D611" s="160"/>
    </row>
    <row r="612" spans="3:4" ht="13.2" customHeight="1">
      <c r="C612" s="160"/>
      <c r="D612" s="160"/>
    </row>
    <row r="613" spans="3:4" ht="13.2" customHeight="1">
      <c r="C613" s="160"/>
      <c r="D613" s="160"/>
    </row>
    <row r="614" spans="3:4" ht="13.2" customHeight="1">
      <c r="C614" s="160"/>
      <c r="D614" s="160"/>
    </row>
    <row r="615" spans="3:4" ht="13.2" customHeight="1">
      <c r="C615" s="160"/>
      <c r="D615" s="160"/>
    </row>
    <row r="616" spans="3:4" ht="13.2" customHeight="1">
      <c r="C616" s="160"/>
      <c r="D616" s="160"/>
    </row>
    <row r="617" spans="3:4" ht="13.2" customHeight="1">
      <c r="C617" s="160"/>
      <c r="D617" s="160"/>
    </row>
    <row r="618" spans="3:4" ht="13.2" customHeight="1">
      <c r="C618" s="160"/>
      <c r="D618" s="160"/>
    </row>
    <row r="619" spans="3:4" ht="13.2" customHeight="1">
      <c r="C619" s="160"/>
      <c r="D619" s="160"/>
    </row>
    <row r="620" spans="3:4" ht="13.2" customHeight="1">
      <c r="C620" s="160"/>
      <c r="D620" s="160"/>
    </row>
    <row r="621" spans="3:4" ht="13.2" customHeight="1">
      <c r="C621" s="160"/>
      <c r="D621" s="160"/>
    </row>
    <row r="622" spans="3:4" ht="13.2" customHeight="1">
      <c r="C622" s="160"/>
      <c r="D622" s="160"/>
    </row>
    <row r="623" spans="3:4" ht="13.2" customHeight="1">
      <c r="C623" s="160"/>
      <c r="D623" s="160"/>
    </row>
    <row r="624" spans="3:4" ht="13.2" customHeight="1">
      <c r="C624" s="160"/>
      <c r="D624" s="160"/>
    </row>
    <row r="625" spans="3:4" ht="13.2" customHeight="1">
      <c r="C625" s="160"/>
      <c r="D625" s="160"/>
    </row>
    <row r="626" spans="3:4" ht="13.2" customHeight="1">
      <c r="C626" s="160"/>
      <c r="D626" s="160"/>
    </row>
    <row r="627" spans="3:4" ht="13.2" customHeight="1">
      <c r="C627" s="160"/>
      <c r="D627" s="160"/>
    </row>
    <row r="628" spans="3:4" ht="13.2" customHeight="1">
      <c r="C628" s="160"/>
      <c r="D628" s="160"/>
    </row>
    <row r="629" spans="3:4" ht="13.2" customHeight="1">
      <c r="C629" s="160"/>
      <c r="D629" s="160"/>
    </row>
    <row r="630" spans="3:4" ht="13.2" customHeight="1">
      <c r="C630" s="160"/>
      <c r="D630" s="160"/>
    </row>
    <row r="631" spans="3:4" ht="13.2" customHeight="1">
      <c r="C631" s="160"/>
      <c r="D631" s="160"/>
    </row>
    <row r="632" spans="3:4" ht="13.2" customHeight="1">
      <c r="C632" s="160"/>
      <c r="D632" s="160"/>
    </row>
    <row r="633" spans="3:4" ht="13.2" customHeight="1">
      <c r="C633" s="160"/>
      <c r="D633" s="160"/>
    </row>
    <row r="634" spans="3:4" ht="13.2" customHeight="1">
      <c r="C634" s="160"/>
      <c r="D634" s="160"/>
    </row>
    <row r="635" spans="3:4" ht="13.2" customHeight="1">
      <c r="C635" s="160"/>
      <c r="D635" s="160"/>
    </row>
    <row r="636" spans="3:4" ht="13.2" customHeight="1">
      <c r="C636" s="160"/>
      <c r="D636" s="160"/>
    </row>
    <row r="637" spans="3:4" ht="13.2" customHeight="1">
      <c r="C637" s="160"/>
      <c r="D637" s="160"/>
    </row>
    <row r="638" spans="3:4" ht="13.2" customHeight="1">
      <c r="C638" s="160"/>
      <c r="D638" s="160"/>
    </row>
    <row r="639" spans="3:4" ht="13.2" customHeight="1">
      <c r="C639" s="160"/>
      <c r="D639" s="160"/>
    </row>
    <row r="640" spans="3:4" ht="13.2" customHeight="1">
      <c r="C640" s="160"/>
      <c r="D640" s="160"/>
    </row>
    <row r="641" spans="3:4" ht="13.2" customHeight="1">
      <c r="C641" s="160"/>
      <c r="D641" s="160"/>
    </row>
    <row r="642" spans="3:4" ht="13.2" customHeight="1">
      <c r="C642" s="160"/>
      <c r="D642" s="160"/>
    </row>
    <row r="643" spans="3:4" ht="13.2" customHeight="1">
      <c r="C643" s="160"/>
      <c r="D643" s="160"/>
    </row>
    <row r="644" spans="3:4" ht="13.2" customHeight="1">
      <c r="C644" s="160"/>
      <c r="D644" s="160"/>
    </row>
    <row r="645" spans="3:4" ht="13.2" customHeight="1">
      <c r="C645" s="160"/>
      <c r="D645" s="160"/>
    </row>
    <row r="646" spans="3:4" ht="13.2" customHeight="1">
      <c r="C646" s="160"/>
      <c r="D646" s="160"/>
    </row>
    <row r="647" spans="3:4" ht="13.2" customHeight="1">
      <c r="C647" s="160"/>
      <c r="D647" s="160"/>
    </row>
    <row r="648" spans="3:4" ht="13.2" customHeight="1">
      <c r="C648" s="160"/>
      <c r="D648" s="160"/>
    </row>
    <row r="649" spans="3:4" ht="13.2" customHeight="1">
      <c r="C649" s="160"/>
      <c r="D649" s="160"/>
    </row>
    <row r="650" spans="3:4" ht="13.2" customHeight="1">
      <c r="C650" s="160"/>
      <c r="D650" s="160"/>
    </row>
    <row r="651" spans="3:4" ht="13.2" customHeight="1">
      <c r="C651" s="160"/>
      <c r="D651" s="160"/>
    </row>
    <row r="652" spans="3:4" ht="13.2" customHeight="1">
      <c r="C652" s="160"/>
      <c r="D652" s="160"/>
    </row>
    <row r="653" spans="3:4" ht="13.2" customHeight="1">
      <c r="C653" s="160"/>
      <c r="D653" s="160"/>
    </row>
    <row r="654" spans="3:4" ht="13.2" customHeight="1">
      <c r="C654" s="160"/>
      <c r="D654" s="160"/>
    </row>
    <row r="655" spans="3:4" ht="13.2" customHeight="1">
      <c r="C655" s="160"/>
      <c r="D655" s="160"/>
    </row>
    <row r="656" spans="3:4" ht="13.2" customHeight="1">
      <c r="C656" s="160"/>
      <c r="D656" s="160"/>
    </row>
    <row r="657" spans="3:4" ht="13.2" customHeight="1">
      <c r="C657" s="160"/>
      <c r="D657" s="160"/>
    </row>
    <row r="658" spans="3:4" ht="13.2" customHeight="1">
      <c r="C658" s="160"/>
      <c r="D658" s="160"/>
    </row>
    <row r="659" spans="3:4" ht="13.2" customHeight="1">
      <c r="C659" s="160"/>
      <c r="D659" s="160"/>
    </row>
    <row r="660" spans="3:4" ht="13.2" customHeight="1">
      <c r="C660" s="160"/>
      <c r="D660" s="160"/>
    </row>
    <row r="661" spans="3:4" ht="13.2" customHeight="1">
      <c r="C661" s="160"/>
      <c r="D661" s="160"/>
    </row>
    <row r="662" spans="3:4" ht="13.2" customHeight="1">
      <c r="C662" s="160"/>
      <c r="D662" s="160"/>
    </row>
    <row r="663" spans="3:4" ht="13.2" customHeight="1">
      <c r="C663" s="160"/>
      <c r="D663" s="160"/>
    </row>
    <row r="664" spans="3:4" ht="13.2" customHeight="1">
      <c r="C664" s="160"/>
      <c r="D664" s="160"/>
    </row>
    <row r="665" spans="3:4" ht="13.2" customHeight="1">
      <c r="C665" s="160"/>
      <c r="D665" s="160"/>
    </row>
    <row r="666" spans="3:4" ht="13.2" customHeight="1">
      <c r="C666" s="160"/>
      <c r="D666" s="160"/>
    </row>
    <row r="667" spans="3:4" ht="13.2" customHeight="1">
      <c r="C667" s="160"/>
      <c r="D667" s="160"/>
    </row>
    <row r="668" spans="3:4" ht="13.2" customHeight="1">
      <c r="C668" s="160"/>
      <c r="D668" s="160"/>
    </row>
    <row r="669" spans="3:4" ht="13.2" customHeight="1">
      <c r="C669" s="160"/>
      <c r="D669" s="160"/>
    </row>
    <row r="670" spans="3:4" ht="13.2" customHeight="1">
      <c r="C670" s="160"/>
      <c r="D670" s="160"/>
    </row>
    <row r="671" spans="3:4" ht="13.2" customHeight="1">
      <c r="C671" s="160"/>
      <c r="D671" s="160"/>
    </row>
    <row r="672" spans="3:4" ht="13.2" customHeight="1">
      <c r="C672" s="160"/>
      <c r="D672" s="160"/>
    </row>
    <row r="673" spans="3:4" ht="13.2" customHeight="1">
      <c r="C673" s="160"/>
      <c r="D673" s="160"/>
    </row>
    <row r="674" spans="3:4" ht="13.2" customHeight="1">
      <c r="C674" s="160"/>
      <c r="D674" s="160"/>
    </row>
    <row r="675" spans="3:4" ht="13.2" customHeight="1">
      <c r="C675" s="160"/>
      <c r="D675" s="160"/>
    </row>
    <row r="676" spans="3:4" ht="13.2" customHeight="1">
      <c r="C676" s="160"/>
      <c r="D676" s="160"/>
    </row>
    <row r="677" spans="3:4" ht="13.2" customHeight="1">
      <c r="C677" s="160"/>
      <c r="D677" s="160"/>
    </row>
    <row r="678" spans="3:4" ht="13.2" customHeight="1">
      <c r="C678" s="160"/>
      <c r="D678" s="160"/>
    </row>
    <row r="679" spans="3:4" ht="13.2" customHeight="1">
      <c r="C679" s="160"/>
      <c r="D679" s="160"/>
    </row>
    <row r="680" spans="3:4" ht="13.2" customHeight="1">
      <c r="C680" s="160"/>
      <c r="D680" s="160"/>
    </row>
    <row r="681" spans="3:4" ht="13.2" customHeight="1">
      <c r="C681" s="160"/>
      <c r="D681" s="160"/>
    </row>
    <row r="682" spans="3:4" ht="13.2" customHeight="1">
      <c r="C682" s="160"/>
      <c r="D682" s="160"/>
    </row>
    <row r="683" spans="3:4" ht="13.2" customHeight="1">
      <c r="C683" s="160"/>
      <c r="D683" s="160"/>
    </row>
    <row r="684" spans="3:4" ht="13.2" customHeight="1">
      <c r="C684" s="160"/>
      <c r="D684" s="160"/>
    </row>
    <row r="685" spans="3:4" ht="13.2" customHeight="1">
      <c r="C685" s="160"/>
      <c r="D685" s="160"/>
    </row>
    <row r="686" spans="3:4" ht="13.2" customHeight="1">
      <c r="C686" s="160"/>
      <c r="D686" s="160"/>
    </row>
    <row r="687" spans="3:4" ht="13.2" customHeight="1">
      <c r="C687" s="160"/>
      <c r="D687" s="160"/>
    </row>
    <row r="688" spans="3:4" ht="13.2" customHeight="1">
      <c r="C688" s="160"/>
      <c r="D688" s="160"/>
    </row>
    <row r="689" spans="3:4" ht="13.2" customHeight="1">
      <c r="C689" s="160"/>
      <c r="D689" s="160"/>
    </row>
    <row r="690" spans="3:4" ht="13.2" customHeight="1">
      <c r="C690" s="160"/>
      <c r="D690" s="160"/>
    </row>
    <row r="691" spans="3:4" ht="13.2" customHeight="1">
      <c r="C691" s="160"/>
      <c r="D691" s="160"/>
    </row>
    <row r="692" spans="3:4" ht="13.2" customHeight="1">
      <c r="C692" s="160"/>
      <c r="D692" s="160"/>
    </row>
    <row r="693" spans="3:4" ht="13.2" customHeight="1">
      <c r="C693" s="160"/>
      <c r="D693" s="160"/>
    </row>
    <row r="694" spans="3:4" ht="13.2" customHeight="1">
      <c r="C694" s="160"/>
      <c r="D694" s="160"/>
    </row>
    <row r="695" spans="3:4" ht="13.2" customHeight="1">
      <c r="C695" s="160"/>
      <c r="D695" s="160"/>
    </row>
    <row r="696" spans="3:4" ht="13.2" customHeight="1">
      <c r="C696" s="160"/>
      <c r="D696" s="160"/>
    </row>
    <row r="697" spans="3:4" ht="13.2" customHeight="1">
      <c r="C697" s="160"/>
      <c r="D697" s="160"/>
    </row>
    <row r="698" spans="3:4" ht="13.2" customHeight="1">
      <c r="C698" s="160"/>
      <c r="D698" s="160"/>
    </row>
    <row r="699" spans="3:4" ht="13.2" customHeight="1">
      <c r="C699" s="160"/>
      <c r="D699" s="160"/>
    </row>
    <row r="700" spans="3:4" ht="13.2" customHeight="1">
      <c r="C700" s="160"/>
      <c r="D700" s="160"/>
    </row>
    <row r="701" spans="3:4" ht="13.2" customHeight="1">
      <c r="C701" s="160"/>
      <c r="D701" s="160"/>
    </row>
    <row r="702" spans="3:4" ht="13.2" customHeight="1">
      <c r="C702" s="160"/>
      <c r="D702" s="160"/>
    </row>
    <row r="703" spans="3:4" ht="13.2" customHeight="1">
      <c r="C703" s="160"/>
      <c r="D703" s="160"/>
    </row>
    <row r="704" spans="3:4" ht="13.2" customHeight="1">
      <c r="C704" s="160"/>
      <c r="D704" s="160"/>
    </row>
    <row r="705" spans="3:4" ht="13.2" customHeight="1">
      <c r="C705" s="160"/>
      <c r="D705" s="160"/>
    </row>
    <row r="706" spans="3:4" ht="13.2" customHeight="1">
      <c r="C706" s="160"/>
      <c r="D706" s="160"/>
    </row>
    <row r="707" spans="3:4" ht="13.2" customHeight="1">
      <c r="C707" s="160"/>
      <c r="D707" s="160"/>
    </row>
    <row r="708" spans="3:4" ht="13.2" customHeight="1">
      <c r="C708" s="160"/>
      <c r="D708" s="160"/>
    </row>
    <row r="709" spans="3:4" ht="13.2" customHeight="1">
      <c r="C709" s="160"/>
      <c r="D709" s="160"/>
    </row>
    <row r="710" spans="3:4" ht="13.2" customHeight="1">
      <c r="C710" s="160"/>
      <c r="D710" s="160"/>
    </row>
    <row r="711" spans="3:4" ht="13.2" customHeight="1">
      <c r="C711" s="160"/>
      <c r="D711" s="160"/>
    </row>
    <row r="712" spans="3:4" ht="13.2" customHeight="1">
      <c r="C712" s="160"/>
      <c r="D712" s="160"/>
    </row>
    <row r="713" spans="3:4" ht="13.2" customHeight="1">
      <c r="C713" s="160"/>
      <c r="D713" s="160"/>
    </row>
    <row r="714" spans="3:4" ht="13.2" customHeight="1">
      <c r="C714" s="160"/>
      <c r="D714" s="160"/>
    </row>
    <row r="715" spans="3:4" ht="13.2" customHeight="1">
      <c r="C715" s="160"/>
      <c r="D715" s="160"/>
    </row>
    <row r="716" spans="3:4" ht="13.2" customHeight="1">
      <c r="C716" s="160"/>
      <c r="D716" s="160"/>
    </row>
    <row r="717" spans="3:4" ht="13.2" customHeight="1">
      <c r="C717" s="160"/>
      <c r="D717" s="160"/>
    </row>
    <row r="718" spans="3:4" ht="13.2" customHeight="1">
      <c r="C718" s="160"/>
      <c r="D718" s="160"/>
    </row>
    <row r="719" spans="3:4" ht="13.2" customHeight="1">
      <c r="C719" s="160"/>
      <c r="D719" s="160"/>
    </row>
    <row r="720" spans="3:4" ht="13.2" customHeight="1">
      <c r="C720" s="160"/>
      <c r="D720" s="160"/>
    </row>
    <row r="721" spans="3:4" ht="13.2" customHeight="1">
      <c r="C721" s="160"/>
      <c r="D721" s="160"/>
    </row>
    <row r="722" spans="3:4" ht="13.2" customHeight="1">
      <c r="C722" s="160"/>
      <c r="D722" s="160"/>
    </row>
    <row r="723" spans="3:4" ht="13.2" customHeight="1">
      <c r="C723" s="160"/>
      <c r="D723" s="160"/>
    </row>
    <row r="724" spans="3:4" ht="13.2" customHeight="1">
      <c r="C724" s="160"/>
      <c r="D724" s="160"/>
    </row>
    <row r="725" spans="3:4" ht="13.2" customHeight="1">
      <c r="C725" s="160"/>
      <c r="D725" s="160"/>
    </row>
    <row r="726" spans="3:4" ht="13.2" customHeight="1">
      <c r="C726" s="160"/>
      <c r="D726" s="160"/>
    </row>
    <row r="727" spans="3:4" ht="13.2" customHeight="1">
      <c r="C727" s="160"/>
      <c r="D727" s="160"/>
    </row>
    <row r="728" spans="3:4" ht="13.2" customHeight="1">
      <c r="C728" s="160"/>
      <c r="D728" s="160"/>
    </row>
    <row r="729" spans="3:4" ht="13.2" customHeight="1">
      <c r="C729" s="160"/>
      <c r="D729" s="160"/>
    </row>
    <row r="730" spans="3:4" ht="13.2" customHeight="1">
      <c r="C730" s="160"/>
      <c r="D730" s="160"/>
    </row>
    <row r="731" spans="3:4" ht="13.2" customHeight="1">
      <c r="C731" s="160"/>
      <c r="D731" s="160"/>
    </row>
    <row r="732" spans="3:4" ht="13.2" customHeight="1">
      <c r="C732" s="160"/>
      <c r="D732" s="160"/>
    </row>
    <row r="733" spans="3:4" ht="13.2" customHeight="1">
      <c r="C733" s="160"/>
      <c r="D733" s="160"/>
    </row>
    <row r="734" spans="3:4" ht="13.2" customHeight="1">
      <c r="C734" s="160"/>
      <c r="D734" s="160"/>
    </row>
    <row r="735" spans="3:4" ht="13.2" customHeight="1">
      <c r="C735" s="160"/>
      <c r="D735" s="160"/>
    </row>
    <row r="736" spans="3:4" ht="13.2" customHeight="1">
      <c r="C736" s="160"/>
      <c r="D736" s="160"/>
    </row>
    <row r="737" spans="3:4" ht="13.2" customHeight="1">
      <c r="C737" s="160"/>
      <c r="D737" s="160"/>
    </row>
    <row r="738" spans="3:4" ht="13.2" customHeight="1">
      <c r="C738" s="160"/>
      <c r="D738" s="160"/>
    </row>
    <row r="739" spans="3:4" ht="13.2" customHeight="1">
      <c r="C739" s="160"/>
      <c r="D739" s="160"/>
    </row>
    <row r="740" spans="3:4" ht="13.2" customHeight="1">
      <c r="C740" s="160"/>
      <c r="D740" s="160"/>
    </row>
    <row r="741" spans="3:4" ht="13.2" customHeight="1">
      <c r="C741" s="160"/>
      <c r="D741" s="160"/>
    </row>
    <row r="742" spans="3:4" ht="13.2" customHeight="1">
      <c r="C742" s="160"/>
      <c r="D742" s="160"/>
    </row>
    <row r="743" spans="3:4" ht="13.2" customHeight="1">
      <c r="C743" s="160"/>
      <c r="D743" s="160"/>
    </row>
    <row r="744" spans="3:4" ht="13.2" customHeight="1">
      <c r="C744" s="160"/>
      <c r="D744" s="160"/>
    </row>
    <row r="745" spans="3:4" ht="13.2" customHeight="1">
      <c r="C745" s="160"/>
      <c r="D745" s="160"/>
    </row>
    <row r="746" spans="3:4" ht="13.2" customHeight="1">
      <c r="C746" s="160"/>
      <c r="D746" s="160"/>
    </row>
    <row r="747" spans="3:4" ht="13.2" customHeight="1">
      <c r="C747" s="160"/>
      <c r="D747" s="160"/>
    </row>
    <row r="748" spans="3:4" ht="13.2" customHeight="1">
      <c r="C748" s="160"/>
      <c r="D748" s="160"/>
    </row>
    <row r="749" spans="3:4" ht="13.2" customHeight="1">
      <c r="C749" s="160"/>
      <c r="D749" s="160"/>
    </row>
    <row r="750" spans="3:4" ht="13.2" customHeight="1">
      <c r="C750" s="160"/>
      <c r="D750" s="160"/>
    </row>
    <row r="751" spans="3:4" ht="13.2" customHeight="1">
      <c r="C751" s="160"/>
      <c r="D751" s="160"/>
    </row>
    <row r="752" spans="3:4" ht="13.2" customHeight="1">
      <c r="C752" s="160"/>
      <c r="D752" s="160"/>
    </row>
    <row r="753" spans="3:4" ht="13.2" customHeight="1">
      <c r="C753" s="160"/>
      <c r="D753" s="160"/>
    </row>
    <row r="754" spans="3:4" ht="13.2" customHeight="1">
      <c r="C754" s="160"/>
      <c r="D754" s="160"/>
    </row>
    <row r="755" spans="3:4" ht="13.2" customHeight="1">
      <c r="C755" s="160"/>
      <c r="D755" s="160"/>
    </row>
    <row r="756" spans="3:4" ht="13.2" customHeight="1">
      <c r="C756" s="160"/>
      <c r="D756" s="160"/>
    </row>
    <row r="757" spans="3:4" ht="13.2" customHeight="1">
      <c r="C757" s="160"/>
      <c r="D757" s="160"/>
    </row>
    <row r="758" spans="3:4" ht="13.2" customHeight="1">
      <c r="C758" s="160"/>
      <c r="D758" s="160"/>
    </row>
    <row r="759" spans="3:4" ht="13.2" customHeight="1">
      <c r="C759" s="160"/>
      <c r="D759" s="160"/>
    </row>
    <row r="760" spans="3:4" ht="13.2" customHeight="1">
      <c r="C760" s="160"/>
      <c r="D760" s="160"/>
    </row>
    <row r="761" spans="3:4" ht="13.2" customHeight="1">
      <c r="C761" s="160"/>
      <c r="D761" s="160"/>
    </row>
    <row r="762" spans="3:4" ht="13.2" customHeight="1">
      <c r="C762" s="160"/>
      <c r="D762" s="160"/>
    </row>
    <row r="763" spans="3:4" ht="13.2" customHeight="1">
      <c r="C763" s="160"/>
      <c r="D763" s="160"/>
    </row>
    <row r="764" spans="3:4" ht="13.2" customHeight="1">
      <c r="C764" s="160"/>
      <c r="D764" s="160"/>
    </row>
    <row r="765" spans="3:4" ht="13.2" customHeight="1">
      <c r="C765" s="160"/>
      <c r="D765" s="160"/>
    </row>
    <row r="766" spans="3:4" ht="13.2" customHeight="1">
      <c r="C766" s="160"/>
      <c r="D766" s="160"/>
    </row>
    <row r="767" spans="3:4" ht="13.2" customHeight="1">
      <c r="C767" s="160"/>
      <c r="D767" s="160"/>
    </row>
    <row r="768" spans="3:4" ht="13.2" customHeight="1">
      <c r="C768" s="160"/>
      <c r="D768" s="160"/>
    </row>
    <row r="769" spans="3:4" ht="13.2" customHeight="1">
      <c r="C769" s="160"/>
      <c r="D769" s="160"/>
    </row>
    <row r="770" spans="3:4" ht="13.2" customHeight="1">
      <c r="C770" s="160"/>
      <c r="D770" s="160"/>
    </row>
    <row r="771" spans="3:4" ht="13.2" customHeight="1">
      <c r="C771" s="160"/>
      <c r="D771" s="160"/>
    </row>
    <row r="772" spans="3:4" ht="13.2" customHeight="1">
      <c r="C772" s="160"/>
      <c r="D772" s="160"/>
    </row>
    <row r="773" spans="3:4" ht="13.2" customHeight="1">
      <c r="C773" s="160"/>
      <c r="D773" s="160"/>
    </row>
    <row r="774" spans="3:4" ht="13.2" customHeight="1">
      <c r="C774" s="160"/>
      <c r="D774" s="160"/>
    </row>
    <row r="775" spans="3:4" ht="13.2" customHeight="1">
      <c r="C775" s="160"/>
      <c r="D775" s="160"/>
    </row>
    <row r="776" spans="3:4" ht="13.2" customHeight="1">
      <c r="C776" s="160"/>
      <c r="D776" s="160"/>
    </row>
    <row r="777" spans="3:4" ht="13.2" customHeight="1">
      <c r="C777" s="160"/>
      <c r="D777" s="160"/>
    </row>
    <row r="778" spans="3:4" ht="13.2" customHeight="1">
      <c r="C778" s="160"/>
      <c r="D778" s="160"/>
    </row>
    <row r="779" spans="3:4" ht="13.2" customHeight="1">
      <c r="C779" s="160"/>
      <c r="D779" s="160"/>
    </row>
    <row r="780" spans="3:4" ht="13.2" customHeight="1">
      <c r="C780" s="160"/>
      <c r="D780" s="160"/>
    </row>
    <row r="781" spans="3:4" ht="13.2" customHeight="1">
      <c r="C781" s="160"/>
      <c r="D781" s="160"/>
    </row>
    <row r="782" spans="3:4" ht="13.2" customHeight="1">
      <c r="C782" s="160"/>
      <c r="D782" s="160"/>
    </row>
    <row r="783" spans="3:4" ht="13.2" customHeight="1">
      <c r="C783" s="160"/>
      <c r="D783" s="160"/>
    </row>
    <row r="784" spans="3:4" ht="13.2" customHeight="1">
      <c r="C784" s="160"/>
      <c r="D784" s="160"/>
    </row>
    <row r="785" spans="3:4" ht="13.2" customHeight="1">
      <c r="C785" s="160"/>
      <c r="D785" s="160"/>
    </row>
    <row r="786" spans="3:4" ht="13.2" customHeight="1">
      <c r="C786" s="160"/>
      <c r="D786" s="160"/>
    </row>
    <row r="787" spans="3:4" ht="13.2" customHeight="1">
      <c r="C787" s="160"/>
      <c r="D787" s="160"/>
    </row>
    <row r="788" spans="3:4" ht="13.2" customHeight="1">
      <c r="C788" s="160"/>
      <c r="D788" s="160"/>
    </row>
    <row r="789" spans="3:4" ht="13.2" customHeight="1">
      <c r="C789" s="160"/>
      <c r="D789" s="160"/>
    </row>
    <row r="790" spans="3:4" ht="13.2" customHeight="1">
      <c r="C790" s="160"/>
      <c r="D790" s="160"/>
    </row>
    <row r="791" spans="3:4" ht="13.2" customHeight="1">
      <c r="C791" s="160"/>
      <c r="D791" s="160"/>
    </row>
    <row r="792" spans="3:4" ht="13.2" customHeight="1">
      <c r="C792" s="160"/>
      <c r="D792" s="160"/>
    </row>
    <row r="793" spans="3:4" ht="13.2" customHeight="1">
      <c r="C793" s="160"/>
      <c r="D793" s="160"/>
    </row>
    <row r="794" spans="3:4" ht="13.2" customHeight="1">
      <c r="C794" s="160"/>
      <c r="D794" s="160"/>
    </row>
    <row r="795" spans="3:4" ht="13.2" customHeight="1">
      <c r="C795" s="160"/>
      <c r="D795" s="160"/>
    </row>
    <row r="796" spans="3:4" ht="13.2" customHeight="1">
      <c r="C796" s="160"/>
      <c r="D796" s="160"/>
    </row>
    <row r="797" spans="3:4" ht="13.2" customHeight="1">
      <c r="C797" s="160"/>
      <c r="D797" s="160"/>
    </row>
    <row r="798" spans="3:4" ht="13.2" customHeight="1">
      <c r="C798" s="160"/>
      <c r="D798" s="160"/>
    </row>
    <row r="799" spans="3:4" ht="13.2" customHeight="1">
      <c r="C799" s="160"/>
      <c r="D799" s="160"/>
    </row>
    <row r="800" spans="3:4" ht="13.2" customHeight="1">
      <c r="C800" s="160"/>
      <c r="D800" s="160"/>
    </row>
    <row r="801" spans="3:4" ht="13.2" customHeight="1">
      <c r="C801" s="160"/>
      <c r="D801" s="160"/>
    </row>
    <row r="802" spans="3:4" ht="13.2" customHeight="1">
      <c r="C802" s="160"/>
      <c r="D802" s="160"/>
    </row>
    <row r="803" spans="3:4" ht="13.2" customHeight="1">
      <c r="C803" s="160"/>
      <c r="D803" s="160"/>
    </row>
    <row r="804" spans="3:4" ht="13.2" customHeight="1">
      <c r="C804" s="160"/>
      <c r="D804" s="160"/>
    </row>
    <row r="805" spans="3:4" ht="13.2" customHeight="1">
      <c r="C805" s="160"/>
      <c r="D805" s="160"/>
    </row>
    <row r="806" spans="3:4" ht="13.2" customHeight="1">
      <c r="C806" s="160"/>
      <c r="D806" s="160"/>
    </row>
    <row r="807" spans="3:4" ht="13.2" customHeight="1">
      <c r="C807" s="160"/>
      <c r="D807" s="160"/>
    </row>
    <row r="808" spans="3:4" ht="13.2" customHeight="1">
      <c r="C808" s="160"/>
      <c r="D808" s="160"/>
    </row>
    <row r="809" spans="3:4" ht="13.2" customHeight="1">
      <c r="C809" s="160"/>
      <c r="D809" s="160"/>
    </row>
    <row r="810" spans="3:4" ht="13.2" customHeight="1">
      <c r="C810" s="160"/>
      <c r="D810" s="160"/>
    </row>
    <row r="811" spans="3:4" ht="13.2" customHeight="1">
      <c r="C811" s="160"/>
      <c r="D811" s="160"/>
    </row>
    <row r="812" spans="3:4" ht="13.2" customHeight="1">
      <c r="C812" s="160"/>
      <c r="D812" s="160"/>
    </row>
    <row r="813" spans="3:4" ht="13.2" customHeight="1">
      <c r="C813" s="160"/>
      <c r="D813" s="160"/>
    </row>
    <row r="814" spans="3:4" ht="13.2" customHeight="1">
      <c r="C814" s="160"/>
      <c r="D814" s="160"/>
    </row>
    <row r="815" spans="3:4" ht="13.2" customHeight="1">
      <c r="C815" s="160"/>
      <c r="D815" s="160"/>
    </row>
    <row r="816" spans="3:4" ht="13.2" customHeight="1">
      <c r="C816" s="160"/>
      <c r="D816" s="160"/>
    </row>
    <row r="817" spans="3:4" ht="13.2" customHeight="1">
      <c r="C817" s="160"/>
      <c r="D817" s="160"/>
    </row>
    <row r="818" spans="3:4" ht="13.2" customHeight="1">
      <c r="C818" s="160"/>
      <c r="D818" s="160"/>
    </row>
    <row r="819" spans="3:4" ht="13.2" customHeight="1">
      <c r="C819" s="160"/>
      <c r="D819" s="160"/>
    </row>
    <row r="820" spans="3:4" ht="13.2" customHeight="1">
      <c r="C820" s="160"/>
      <c r="D820" s="160"/>
    </row>
    <row r="821" spans="3:4" ht="13.2" customHeight="1">
      <c r="C821" s="160"/>
      <c r="D821" s="160"/>
    </row>
    <row r="822" spans="3:4" ht="13.2" customHeight="1">
      <c r="C822" s="160"/>
      <c r="D822" s="160"/>
    </row>
    <row r="823" spans="3:4" ht="13.2" customHeight="1">
      <c r="C823" s="160"/>
      <c r="D823" s="160"/>
    </row>
    <row r="824" spans="3:4" ht="13.2" customHeight="1">
      <c r="C824" s="160"/>
      <c r="D824" s="160"/>
    </row>
    <row r="825" spans="3:4" ht="13.2" customHeight="1">
      <c r="C825" s="160"/>
      <c r="D825" s="160"/>
    </row>
    <row r="826" spans="3:4" ht="13.2" customHeight="1">
      <c r="C826" s="160"/>
      <c r="D826" s="160"/>
    </row>
    <row r="827" spans="3:4" ht="13.2" customHeight="1">
      <c r="C827" s="160"/>
      <c r="D827" s="160"/>
    </row>
    <row r="828" spans="3:4" ht="13.2" customHeight="1">
      <c r="C828" s="160"/>
      <c r="D828" s="160"/>
    </row>
    <row r="829" spans="3:4" ht="13.2" customHeight="1">
      <c r="C829" s="160"/>
      <c r="D829" s="160"/>
    </row>
    <row r="830" spans="3:4" ht="13.2" customHeight="1">
      <c r="C830" s="160"/>
      <c r="D830" s="160"/>
    </row>
    <row r="831" spans="3:4" ht="13.2" customHeight="1">
      <c r="C831" s="160"/>
      <c r="D831" s="160"/>
    </row>
    <row r="832" spans="3:4" ht="13.2" customHeight="1">
      <c r="C832" s="160"/>
      <c r="D832" s="160"/>
    </row>
    <row r="833" spans="3:4" ht="13.2" customHeight="1">
      <c r="C833" s="160"/>
      <c r="D833" s="160"/>
    </row>
    <row r="834" spans="3:4" ht="13.2" customHeight="1">
      <c r="C834" s="160"/>
      <c r="D834" s="160"/>
    </row>
    <row r="835" spans="3:4" ht="13.2" customHeight="1">
      <c r="C835" s="160"/>
      <c r="D835" s="160"/>
    </row>
    <row r="836" spans="3:4" ht="13.2" customHeight="1">
      <c r="C836" s="160"/>
      <c r="D836" s="160"/>
    </row>
    <row r="837" spans="3:4" ht="13.2" customHeight="1">
      <c r="C837" s="160"/>
      <c r="D837" s="160"/>
    </row>
    <row r="838" spans="3:4" ht="13.2" customHeight="1">
      <c r="C838" s="160"/>
      <c r="D838" s="160"/>
    </row>
    <row r="839" spans="3:4" ht="13.2" customHeight="1">
      <c r="C839" s="160"/>
      <c r="D839" s="160"/>
    </row>
    <row r="840" spans="3:4" ht="13.2" customHeight="1">
      <c r="C840" s="160"/>
      <c r="D840" s="160"/>
    </row>
    <row r="841" spans="3:4" ht="13.2" customHeight="1">
      <c r="C841" s="160"/>
      <c r="D841" s="160"/>
    </row>
    <row r="842" spans="3:4" ht="13.2" customHeight="1">
      <c r="C842" s="160"/>
      <c r="D842" s="160"/>
    </row>
    <row r="843" spans="3:4" ht="13.2" customHeight="1">
      <c r="C843" s="160"/>
      <c r="D843" s="160"/>
    </row>
    <row r="844" spans="3:4" ht="13.2" customHeight="1">
      <c r="C844" s="160"/>
      <c r="D844" s="160"/>
    </row>
    <row r="845" spans="3:4" ht="13.2" customHeight="1">
      <c r="C845" s="160"/>
      <c r="D845" s="160"/>
    </row>
    <row r="846" spans="3:4" ht="13.2" customHeight="1">
      <c r="C846" s="160"/>
      <c r="D846" s="160"/>
    </row>
    <row r="847" spans="3:4" ht="13.2" customHeight="1">
      <c r="C847" s="160"/>
      <c r="D847" s="160"/>
    </row>
    <row r="848" spans="3:4" ht="13.2" customHeight="1">
      <c r="C848" s="160"/>
      <c r="D848" s="160"/>
    </row>
    <row r="849" spans="3:4" ht="13.2" customHeight="1">
      <c r="C849" s="160"/>
      <c r="D849" s="160"/>
    </row>
    <row r="850" spans="3:4" ht="13.2" customHeight="1">
      <c r="C850" s="160"/>
      <c r="D850" s="160"/>
    </row>
    <row r="851" spans="3:4" ht="13.2" customHeight="1">
      <c r="C851" s="160"/>
      <c r="D851" s="160"/>
    </row>
    <row r="852" spans="3:4" ht="13.2" customHeight="1">
      <c r="C852" s="160"/>
      <c r="D852" s="160"/>
    </row>
    <row r="853" spans="3:4" ht="13.2" customHeight="1">
      <c r="C853" s="160"/>
      <c r="D853" s="160"/>
    </row>
    <row r="854" spans="3:4" ht="13.2" customHeight="1">
      <c r="C854" s="160"/>
      <c r="D854" s="160"/>
    </row>
    <row r="855" spans="3:4" ht="13.2" customHeight="1">
      <c r="C855" s="160"/>
      <c r="D855" s="160"/>
    </row>
    <row r="856" spans="3:4" ht="13.2" customHeight="1">
      <c r="C856" s="160"/>
      <c r="D856" s="160"/>
    </row>
    <row r="857" spans="3:4" ht="13.2" customHeight="1">
      <c r="C857" s="160"/>
      <c r="D857" s="160"/>
    </row>
    <row r="858" spans="3:4" ht="13.2" customHeight="1">
      <c r="C858" s="160"/>
      <c r="D858" s="160"/>
    </row>
    <row r="859" spans="3:4" ht="13.2" customHeight="1">
      <c r="C859" s="160"/>
      <c r="D859" s="160"/>
    </row>
    <row r="860" spans="3:4" ht="13.2" customHeight="1">
      <c r="C860" s="160"/>
      <c r="D860" s="160"/>
    </row>
    <row r="861" spans="3:4" ht="13.2" customHeight="1">
      <c r="C861" s="160"/>
      <c r="D861" s="160"/>
    </row>
    <row r="862" spans="3:4" ht="13.2" customHeight="1">
      <c r="C862" s="160"/>
      <c r="D862" s="160"/>
    </row>
    <row r="863" spans="3:4" ht="13.2" customHeight="1">
      <c r="C863" s="160"/>
      <c r="D863" s="160"/>
    </row>
    <row r="864" spans="3:4" ht="13.2" customHeight="1">
      <c r="C864" s="160"/>
      <c r="D864" s="160"/>
    </row>
    <row r="865" spans="3:4" ht="13.2" customHeight="1">
      <c r="C865" s="160"/>
      <c r="D865" s="160"/>
    </row>
    <row r="866" spans="3:4" ht="13.2" customHeight="1">
      <c r="C866" s="160"/>
      <c r="D866" s="160"/>
    </row>
    <row r="867" spans="3:4" ht="13.2" customHeight="1">
      <c r="C867" s="160"/>
      <c r="D867" s="160"/>
    </row>
    <row r="868" spans="3:4" ht="13.2" customHeight="1">
      <c r="C868" s="160"/>
      <c r="D868" s="160"/>
    </row>
    <row r="869" spans="3:4" ht="13.2" customHeight="1">
      <c r="C869" s="160"/>
      <c r="D869" s="160"/>
    </row>
    <row r="870" spans="3:4" ht="13.2" customHeight="1">
      <c r="C870" s="160"/>
      <c r="D870" s="160"/>
    </row>
    <row r="871" spans="3:4" ht="13.2" customHeight="1">
      <c r="C871" s="160"/>
      <c r="D871" s="160"/>
    </row>
    <row r="872" spans="3:4" ht="13.2" customHeight="1">
      <c r="C872" s="160"/>
      <c r="D872" s="160"/>
    </row>
    <row r="873" spans="3:4" ht="13.2" customHeight="1">
      <c r="C873" s="160"/>
      <c r="D873" s="160"/>
    </row>
    <row r="874" spans="3:4" ht="13.2" customHeight="1">
      <c r="C874" s="160"/>
      <c r="D874" s="160"/>
    </row>
    <row r="875" spans="3:4" ht="13.2" customHeight="1">
      <c r="C875" s="160"/>
      <c r="D875" s="160"/>
    </row>
    <row r="876" spans="3:4" ht="13.2" customHeight="1">
      <c r="C876" s="160"/>
      <c r="D876" s="160"/>
    </row>
    <row r="877" spans="3:4" ht="13.2" customHeight="1">
      <c r="C877" s="160"/>
      <c r="D877" s="160"/>
    </row>
    <row r="878" spans="3:4" ht="13.2" customHeight="1">
      <c r="C878" s="160"/>
      <c r="D878" s="160"/>
    </row>
    <row r="879" spans="3:4" ht="13.2" customHeight="1">
      <c r="C879" s="160"/>
      <c r="D879" s="160"/>
    </row>
    <row r="880" spans="3:4" ht="13.2" customHeight="1">
      <c r="C880" s="160"/>
      <c r="D880" s="160"/>
    </row>
    <row r="881" spans="3:4" ht="13.2" customHeight="1">
      <c r="C881" s="160"/>
      <c r="D881" s="160"/>
    </row>
    <row r="882" spans="3:4" ht="13.2" customHeight="1">
      <c r="C882" s="160"/>
      <c r="D882" s="160"/>
    </row>
    <row r="883" spans="3:4" ht="13.2" customHeight="1">
      <c r="C883" s="160"/>
      <c r="D883" s="160"/>
    </row>
    <row r="884" spans="3:4" ht="13.2" customHeight="1">
      <c r="C884" s="160"/>
      <c r="D884" s="160"/>
    </row>
    <row r="885" spans="3:4" ht="13.2" customHeight="1">
      <c r="C885" s="160"/>
      <c r="D885" s="160"/>
    </row>
    <row r="886" spans="3:4" ht="13.2" customHeight="1">
      <c r="C886" s="160"/>
      <c r="D886" s="160"/>
    </row>
    <row r="887" spans="3:4" ht="13.2" customHeight="1">
      <c r="C887" s="160"/>
      <c r="D887" s="160"/>
    </row>
    <row r="888" spans="3:4" ht="13.2" customHeight="1">
      <c r="C888" s="160"/>
      <c r="D888" s="160"/>
    </row>
    <row r="889" spans="3:4" ht="13.2" customHeight="1">
      <c r="C889" s="160"/>
      <c r="D889" s="160"/>
    </row>
    <row r="890" spans="3:4" ht="13.2" customHeight="1">
      <c r="C890" s="160"/>
      <c r="D890" s="160"/>
    </row>
    <row r="891" spans="3:4" ht="13.2" customHeight="1">
      <c r="C891" s="160"/>
      <c r="D891" s="160"/>
    </row>
    <row r="892" spans="3:4" ht="13.2" customHeight="1">
      <c r="C892" s="160"/>
      <c r="D892" s="160"/>
    </row>
    <row r="893" spans="3:4" ht="13.2" customHeight="1">
      <c r="C893" s="160"/>
      <c r="D893" s="160"/>
    </row>
    <row r="894" spans="3:4" ht="13.2" customHeight="1">
      <c r="C894" s="160"/>
      <c r="D894" s="160"/>
    </row>
    <row r="895" spans="3:4" ht="13.2" customHeight="1">
      <c r="C895" s="160"/>
      <c r="D895" s="160"/>
    </row>
    <row r="896" spans="3:4" ht="13.2" customHeight="1">
      <c r="C896" s="160"/>
      <c r="D896" s="160"/>
    </row>
    <row r="897" spans="3:4" ht="13.2" customHeight="1">
      <c r="C897" s="160"/>
      <c r="D897" s="160"/>
    </row>
    <row r="898" spans="3:4" ht="13.2" customHeight="1">
      <c r="C898" s="160"/>
      <c r="D898" s="160"/>
    </row>
    <row r="899" spans="3:4" ht="13.2" customHeight="1">
      <c r="C899" s="160"/>
      <c r="D899" s="160"/>
    </row>
    <row r="900" spans="3:4" ht="13.2" customHeight="1">
      <c r="C900" s="160"/>
      <c r="D900" s="160"/>
    </row>
    <row r="901" spans="3:4" ht="13.2" customHeight="1">
      <c r="C901" s="160"/>
      <c r="D901" s="160"/>
    </row>
    <row r="902" spans="3:4" ht="13.2" customHeight="1">
      <c r="C902" s="160"/>
      <c r="D902" s="160"/>
    </row>
    <row r="903" spans="3:4" ht="13.2" customHeight="1">
      <c r="C903" s="160"/>
      <c r="D903" s="160"/>
    </row>
    <row r="904" spans="3:4" ht="13.2" customHeight="1">
      <c r="C904" s="160"/>
      <c r="D904" s="160"/>
    </row>
    <row r="905" spans="3:4" ht="13.2" customHeight="1">
      <c r="C905" s="160"/>
      <c r="D905" s="160"/>
    </row>
    <row r="906" spans="3:4" ht="13.2" customHeight="1">
      <c r="C906" s="160"/>
      <c r="D906" s="160"/>
    </row>
    <row r="907" spans="3:4" ht="13.2" customHeight="1">
      <c r="C907" s="160"/>
      <c r="D907" s="160"/>
    </row>
    <row r="908" spans="3:4" ht="13.2" customHeight="1">
      <c r="C908" s="160"/>
      <c r="D908" s="160"/>
    </row>
    <row r="909" spans="3:4" ht="13.2" customHeight="1">
      <c r="C909" s="160"/>
      <c r="D909" s="160"/>
    </row>
    <row r="910" spans="3:4" ht="13.2" customHeight="1">
      <c r="C910" s="160"/>
      <c r="D910" s="160"/>
    </row>
    <row r="911" spans="3:4" ht="13.2" customHeight="1">
      <c r="C911" s="160"/>
      <c r="D911" s="160"/>
    </row>
    <row r="912" spans="3:4" ht="13.2" customHeight="1">
      <c r="C912" s="160"/>
      <c r="D912" s="160"/>
    </row>
    <row r="913" spans="3:4" ht="13.2" customHeight="1">
      <c r="C913" s="160"/>
      <c r="D913" s="160"/>
    </row>
    <row r="914" spans="3:4" ht="13.2" customHeight="1">
      <c r="C914" s="160"/>
      <c r="D914" s="160"/>
    </row>
    <row r="915" spans="3:4" ht="13.2" customHeight="1">
      <c r="C915" s="160"/>
      <c r="D915" s="160"/>
    </row>
    <row r="916" spans="3:4" ht="13.2" customHeight="1">
      <c r="C916" s="160"/>
      <c r="D916" s="160"/>
    </row>
    <row r="917" spans="3:4" ht="13.2" customHeight="1">
      <c r="C917" s="160"/>
      <c r="D917" s="160"/>
    </row>
    <row r="918" spans="3:4" ht="13.2" customHeight="1">
      <c r="C918" s="160"/>
      <c r="D918" s="160"/>
    </row>
    <row r="919" spans="3:4" ht="13.2" customHeight="1">
      <c r="C919" s="160"/>
      <c r="D919" s="160"/>
    </row>
    <row r="920" spans="3:4" ht="13.2" customHeight="1">
      <c r="C920" s="160"/>
      <c r="D920" s="160"/>
    </row>
    <row r="921" spans="3:4" ht="13.2" customHeight="1">
      <c r="C921" s="160"/>
      <c r="D921" s="160"/>
    </row>
    <row r="922" spans="3:4" ht="13.2" customHeight="1">
      <c r="C922" s="160"/>
      <c r="D922" s="160"/>
    </row>
    <row r="923" spans="3:4" ht="13.2" customHeight="1">
      <c r="C923" s="160"/>
      <c r="D923" s="160"/>
    </row>
    <row r="924" spans="3:4" ht="13.2" customHeight="1">
      <c r="C924" s="160"/>
      <c r="D924" s="160"/>
    </row>
    <row r="925" spans="3:4" ht="13.2" customHeight="1">
      <c r="C925" s="160"/>
      <c r="D925" s="160"/>
    </row>
    <row r="926" spans="3:4" ht="13.2" customHeight="1">
      <c r="C926" s="160"/>
      <c r="D926" s="160"/>
    </row>
    <row r="927" spans="3:4" ht="13.2" customHeight="1">
      <c r="C927" s="160"/>
      <c r="D927" s="160"/>
    </row>
    <row r="928" spans="3:4" ht="13.2" customHeight="1">
      <c r="C928" s="160"/>
      <c r="D928" s="160"/>
    </row>
    <row r="929" spans="3:4" ht="13.2" customHeight="1">
      <c r="C929" s="160"/>
      <c r="D929" s="160"/>
    </row>
    <row r="930" spans="3:4" ht="13.2" customHeight="1">
      <c r="C930" s="160"/>
      <c r="D930" s="160"/>
    </row>
    <row r="931" spans="3:4" ht="13.2" customHeight="1">
      <c r="C931" s="160"/>
      <c r="D931" s="160"/>
    </row>
    <row r="932" spans="3:4" ht="13.2" customHeight="1">
      <c r="C932" s="160"/>
      <c r="D932" s="160"/>
    </row>
    <row r="933" spans="3:4" ht="13.2" customHeight="1">
      <c r="C933" s="160"/>
      <c r="D933" s="160"/>
    </row>
    <row r="934" spans="3:4" ht="13.2" customHeight="1">
      <c r="C934" s="160"/>
      <c r="D934" s="160"/>
    </row>
    <row r="935" spans="3:4" ht="13.2" customHeight="1">
      <c r="C935" s="160"/>
      <c r="D935" s="160"/>
    </row>
    <row r="936" spans="3:4" ht="13.2" customHeight="1">
      <c r="C936" s="160"/>
      <c r="D936" s="160"/>
    </row>
    <row r="937" spans="3:4" ht="13.2" customHeight="1">
      <c r="C937" s="160"/>
      <c r="D937" s="160"/>
    </row>
    <row r="938" spans="3:4" ht="13.2" customHeight="1">
      <c r="C938" s="160"/>
      <c r="D938" s="160"/>
    </row>
    <row r="939" spans="3:4" ht="13.2" customHeight="1">
      <c r="C939" s="160"/>
      <c r="D939" s="160"/>
    </row>
    <row r="940" spans="3:4" ht="13.2" customHeight="1">
      <c r="C940" s="160"/>
      <c r="D940" s="160"/>
    </row>
    <row r="941" spans="3:4" ht="13.2" customHeight="1">
      <c r="C941" s="160"/>
      <c r="D941" s="160"/>
    </row>
    <row r="942" spans="3:4" ht="13.2" customHeight="1">
      <c r="C942" s="160"/>
      <c r="D942" s="160"/>
    </row>
    <row r="943" spans="3:4" ht="13.2" customHeight="1">
      <c r="C943" s="160"/>
      <c r="D943" s="160"/>
    </row>
    <row r="944" spans="3:4" ht="13.2" customHeight="1">
      <c r="C944" s="160"/>
      <c r="D944" s="160"/>
    </row>
    <row r="945" spans="3:4" ht="13.2" customHeight="1">
      <c r="C945" s="160"/>
      <c r="D945" s="160"/>
    </row>
    <row r="946" spans="3:4" ht="13.2" customHeight="1">
      <c r="C946" s="160"/>
      <c r="D946" s="160"/>
    </row>
    <row r="947" spans="3:4" ht="13.2" customHeight="1">
      <c r="C947" s="160"/>
      <c r="D947" s="160"/>
    </row>
    <row r="948" spans="3:4" ht="13.2" customHeight="1">
      <c r="C948" s="160"/>
      <c r="D948" s="160"/>
    </row>
    <row r="949" spans="3:4" ht="13.2" customHeight="1">
      <c r="C949" s="160"/>
      <c r="D949" s="160"/>
    </row>
    <row r="950" spans="3:4" ht="13.2" customHeight="1">
      <c r="C950" s="160"/>
      <c r="D950" s="160"/>
    </row>
    <row r="951" spans="3:4" ht="13.2" customHeight="1">
      <c r="C951" s="160"/>
      <c r="D951" s="160"/>
    </row>
    <row r="952" spans="3:4" ht="13.2" customHeight="1">
      <c r="C952" s="160"/>
      <c r="D952" s="160"/>
    </row>
    <row r="953" spans="3:4" ht="13.2" customHeight="1">
      <c r="C953" s="160"/>
      <c r="D953" s="160"/>
    </row>
    <row r="954" spans="3:4" ht="13.2" customHeight="1">
      <c r="C954" s="160"/>
      <c r="D954" s="160"/>
    </row>
    <row r="955" spans="3:4" ht="13.2" customHeight="1">
      <c r="C955" s="160"/>
      <c r="D955" s="160"/>
    </row>
    <row r="956" spans="3:4" ht="13.2" customHeight="1">
      <c r="C956" s="160"/>
      <c r="D956" s="160"/>
    </row>
    <row r="957" spans="3:4" ht="13.2" customHeight="1">
      <c r="C957" s="160"/>
      <c r="D957" s="160"/>
    </row>
    <row r="958" spans="3:4" ht="13.2" customHeight="1">
      <c r="C958" s="160"/>
      <c r="D958" s="160"/>
    </row>
    <row r="959" spans="3:4" ht="13.2" customHeight="1">
      <c r="C959" s="160"/>
      <c r="D959" s="160"/>
    </row>
    <row r="960" spans="3:4" ht="13.2" customHeight="1">
      <c r="C960" s="160"/>
      <c r="D960" s="160"/>
    </row>
    <row r="961" spans="3:4" ht="13.2" customHeight="1">
      <c r="C961" s="160"/>
      <c r="D961" s="160"/>
    </row>
    <row r="962" spans="3:4" ht="13.2" customHeight="1">
      <c r="C962" s="160"/>
      <c r="D962" s="160"/>
    </row>
    <row r="963" spans="3:4" ht="13.2" customHeight="1">
      <c r="C963" s="160"/>
      <c r="D963" s="160"/>
    </row>
    <row r="964" spans="3:4" ht="13.2" customHeight="1">
      <c r="C964" s="160"/>
      <c r="D964" s="160"/>
    </row>
    <row r="965" spans="3:4" ht="13.2" customHeight="1">
      <c r="C965" s="160"/>
      <c r="D965" s="160"/>
    </row>
    <row r="966" spans="3:4" ht="13.2" customHeight="1">
      <c r="C966" s="160"/>
      <c r="D966" s="160"/>
    </row>
    <row r="967" spans="3:4" ht="13.2" customHeight="1">
      <c r="C967" s="160"/>
      <c r="D967" s="160"/>
    </row>
    <row r="968" spans="3:4" ht="13.2" customHeight="1">
      <c r="C968" s="160"/>
      <c r="D968" s="160"/>
    </row>
    <row r="969" spans="3:4" ht="13.2" customHeight="1">
      <c r="C969" s="160"/>
      <c r="D969" s="160"/>
    </row>
    <row r="970" spans="3:4" ht="13.2" customHeight="1">
      <c r="C970" s="160"/>
      <c r="D970" s="160"/>
    </row>
    <row r="971" spans="3:4" ht="13.2" customHeight="1">
      <c r="C971" s="160"/>
      <c r="D971" s="160"/>
    </row>
    <row r="972" spans="3:4" ht="13.2" customHeight="1">
      <c r="C972" s="160"/>
      <c r="D972" s="160"/>
    </row>
    <row r="973" spans="3:4" ht="13.2" customHeight="1">
      <c r="C973" s="160"/>
      <c r="D973" s="160"/>
    </row>
    <row r="974" spans="3:4" ht="13.2" customHeight="1">
      <c r="C974" s="160"/>
      <c r="D974" s="160"/>
    </row>
    <row r="975" spans="3:4" ht="13.2" customHeight="1">
      <c r="C975" s="160"/>
      <c r="D975" s="160"/>
    </row>
    <row r="976" spans="3:4" ht="13.2" customHeight="1">
      <c r="C976" s="160"/>
      <c r="D976" s="160"/>
    </row>
    <row r="977" spans="3:4" ht="13.2" customHeight="1">
      <c r="C977" s="160"/>
      <c r="D977" s="160"/>
    </row>
    <row r="978" spans="3:4" ht="13.2" customHeight="1">
      <c r="C978" s="160"/>
      <c r="D978" s="160"/>
    </row>
    <row r="979" spans="3:4" ht="13.2" customHeight="1">
      <c r="C979" s="160"/>
      <c r="D979" s="160"/>
    </row>
    <row r="980" spans="3:4" ht="13.2" customHeight="1">
      <c r="C980" s="160"/>
      <c r="D980" s="160"/>
    </row>
    <row r="981" spans="3:4" ht="13.2" customHeight="1">
      <c r="C981" s="160"/>
      <c r="D981" s="160"/>
    </row>
    <row r="982" spans="3:4" ht="13.2" customHeight="1">
      <c r="C982" s="160"/>
      <c r="D982" s="160"/>
    </row>
    <row r="983" spans="3:4" ht="13.2" customHeight="1">
      <c r="C983" s="160"/>
      <c r="D983" s="160"/>
    </row>
    <row r="984" spans="3:4" ht="13.2" customHeight="1">
      <c r="C984" s="160"/>
      <c r="D984" s="160"/>
    </row>
    <row r="985" spans="3:4" ht="13.2" customHeight="1">
      <c r="C985" s="160"/>
      <c r="D985" s="160"/>
    </row>
    <row r="986" spans="3:4" ht="13.2" customHeight="1">
      <c r="C986" s="160"/>
      <c r="D986" s="160"/>
    </row>
    <row r="987" spans="3:4" ht="13.2" customHeight="1">
      <c r="C987" s="160"/>
      <c r="D987" s="160"/>
    </row>
    <row r="988" spans="3:4" ht="13.2" customHeight="1">
      <c r="C988" s="160"/>
      <c r="D988" s="160"/>
    </row>
    <row r="989" spans="3:4" ht="13.2" customHeight="1">
      <c r="C989" s="160"/>
      <c r="D989" s="160"/>
    </row>
    <row r="990" spans="3:4" ht="13.2" customHeight="1">
      <c r="C990" s="160"/>
      <c r="D990" s="160"/>
    </row>
    <row r="991" spans="3:4" ht="13.2" customHeight="1">
      <c r="C991" s="160"/>
      <c r="D991" s="160"/>
    </row>
    <row r="992" spans="3:4" ht="13.2" customHeight="1">
      <c r="C992" s="160"/>
      <c r="D992" s="160"/>
    </row>
    <row r="993" spans="3:4" ht="13.2" customHeight="1">
      <c r="C993" s="160"/>
      <c r="D993" s="160"/>
    </row>
    <row r="994" spans="3:4" ht="13.2" customHeight="1">
      <c r="C994" s="160"/>
      <c r="D994" s="160"/>
    </row>
    <row r="995" spans="3:4" ht="13.2" customHeight="1">
      <c r="C995" s="160"/>
      <c r="D995" s="160"/>
    </row>
    <row r="996" spans="3:4" ht="13.2" customHeight="1">
      <c r="C996" s="160"/>
      <c r="D996" s="160"/>
    </row>
    <row r="997" spans="3:4" ht="13.2" customHeight="1">
      <c r="C997" s="160"/>
      <c r="D997" s="160"/>
    </row>
    <row r="998" spans="3:4" ht="13.2" customHeight="1">
      <c r="C998" s="160"/>
      <c r="D998" s="160"/>
    </row>
    <row r="999" spans="3:4" ht="13.2" customHeight="1">
      <c r="C999" s="160"/>
      <c r="D999" s="160"/>
    </row>
    <row r="1000" spans="3:4" ht="13.2" customHeight="1">
      <c r="C1000" s="160"/>
      <c r="D1000" s="160"/>
    </row>
    <row r="1001" spans="3:4" ht="13.2" customHeight="1">
      <c r="C1001" s="160"/>
      <c r="D1001" s="160"/>
    </row>
  </sheetData>
  <mergeCells count="4">
    <mergeCell ref="A18:B18"/>
    <mergeCell ref="A20:B20"/>
    <mergeCell ref="A11:B11"/>
    <mergeCell ref="C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99"/>
  <sheetViews>
    <sheetView topLeftCell="A19" workbookViewId="0">
      <pane xSplit="2" topLeftCell="C1" activePane="topRight" state="frozen"/>
      <selection pane="topRight" activeCell="D2" sqref="D2"/>
    </sheetView>
  </sheetViews>
  <sheetFormatPr defaultColWidth="12.6640625" defaultRowHeight="15.75" customHeight="1"/>
  <cols>
    <col min="1" max="1" width="4.33203125" style="323" customWidth="1"/>
  </cols>
  <sheetData>
    <row r="1" spans="1:10">
      <c r="A1" s="163"/>
      <c r="B1" s="164"/>
      <c r="C1" s="165"/>
      <c r="D1" s="166"/>
      <c r="E1" s="167"/>
      <c r="F1" s="167"/>
      <c r="G1" s="167"/>
      <c r="H1" s="160"/>
    </row>
    <row r="2" spans="1:10">
      <c r="A2" s="394" t="s">
        <v>0</v>
      </c>
      <c r="B2" s="395" t="s">
        <v>1</v>
      </c>
      <c r="C2" s="168" t="s">
        <v>2</v>
      </c>
      <c r="D2" s="172" t="s">
        <v>3</v>
      </c>
      <c r="E2" s="168" t="s">
        <v>4</v>
      </c>
      <c r="F2" s="168" t="s">
        <v>5</v>
      </c>
      <c r="G2" s="168" t="s">
        <v>6</v>
      </c>
      <c r="H2" s="160"/>
      <c r="J2" s="169"/>
    </row>
    <row r="3" spans="1:10">
      <c r="A3" s="362"/>
      <c r="B3" s="362"/>
      <c r="C3" s="170">
        <f>+SUM(C4:C34)</f>
        <v>198000000</v>
      </c>
      <c r="D3" s="171">
        <f>SUM(D4:D34)</f>
        <v>798099147.27272689</v>
      </c>
      <c r="E3" s="172">
        <f>SUM(E4:E34)</f>
        <v>399</v>
      </c>
      <c r="F3" s="171">
        <f>SUM(F4:F36)</f>
        <v>1124484021</v>
      </c>
      <c r="G3" s="173">
        <f t="shared" ref="G3:G34" si="0">IFERROR(D3/F3,0)</f>
        <v>0.7097469882791041</v>
      </c>
      <c r="H3" s="174">
        <f>SUM(H4:H36)</f>
        <v>269705000</v>
      </c>
      <c r="I3" s="174"/>
      <c r="J3" s="174"/>
    </row>
    <row r="4" spans="1:10">
      <c r="A4" s="175">
        <v>1</v>
      </c>
      <c r="B4" s="176">
        <v>46204</v>
      </c>
      <c r="C4" s="177">
        <v>44000000</v>
      </c>
      <c r="D4" s="177">
        <f>'NH Anh CT'!D17</f>
        <v>48972522.727272727</v>
      </c>
      <c r="E4" s="178">
        <v>7</v>
      </c>
      <c r="F4" s="179">
        <v>23975000</v>
      </c>
      <c r="G4" s="180">
        <f t="shared" si="0"/>
        <v>2.0426495402407809</v>
      </c>
      <c r="H4" s="181">
        <v>3375000</v>
      </c>
      <c r="I4" s="182">
        <f t="shared" ref="I4:I34" si="1">F4-H4</f>
        <v>20600000</v>
      </c>
    </row>
    <row r="5" spans="1:10">
      <c r="A5" s="183">
        <v>2</v>
      </c>
      <c r="B5" s="184">
        <v>46205</v>
      </c>
      <c r="C5" s="186"/>
      <c r="D5" s="186">
        <f>'NH Anh CT'!E17</f>
        <v>36598002.727272727</v>
      </c>
      <c r="E5" s="187">
        <v>14</v>
      </c>
      <c r="F5" s="188">
        <v>45590000</v>
      </c>
      <c r="G5" s="189">
        <f t="shared" si="0"/>
        <v>0.80276382380506095</v>
      </c>
      <c r="H5" s="181">
        <v>13050000</v>
      </c>
      <c r="I5" s="182">
        <f t="shared" si="1"/>
        <v>32540000</v>
      </c>
    </row>
    <row r="6" spans="1:10">
      <c r="A6" s="175">
        <v>3</v>
      </c>
      <c r="B6" s="176">
        <v>46206</v>
      </c>
      <c r="C6" s="177">
        <v>66000000</v>
      </c>
      <c r="D6" s="177">
        <f>'NH Anh CT'!F17</f>
        <v>13933988.18181818</v>
      </c>
      <c r="E6" s="178">
        <v>20</v>
      </c>
      <c r="F6" s="179">
        <v>63165000</v>
      </c>
      <c r="G6" s="180">
        <f t="shared" si="0"/>
        <v>0.22059666242093215</v>
      </c>
      <c r="H6" s="181">
        <v>24780000</v>
      </c>
      <c r="I6" s="182">
        <f t="shared" si="1"/>
        <v>38385000</v>
      </c>
    </row>
    <row r="7" spans="1:10">
      <c r="A7" s="183">
        <v>4</v>
      </c>
      <c r="B7" s="184">
        <v>46207</v>
      </c>
      <c r="C7" s="186"/>
      <c r="D7" s="186">
        <f>'NH Anh CT'!G17</f>
        <v>26869589.09090909</v>
      </c>
      <c r="E7" s="187">
        <v>8</v>
      </c>
      <c r="F7" s="188">
        <v>26005000</v>
      </c>
      <c r="G7" s="189">
        <f t="shared" si="0"/>
        <v>1.0332470329132508</v>
      </c>
      <c r="H7" s="181">
        <v>3375000</v>
      </c>
      <c r="I7" s="182">
        <f t="shared" si="1"/>
        <v>22630000</v>
      </c>
    </row>
    <row r="8" spans="1:10">
      <c r="A8" s="175">
        <v>5</v>
      </c>
      <c r="B8" s="176">
        <v>46208</v>
      </c>
      <c r="C8" s="177"/>
      <c r="D8" s="177">
        <f>'NH Anh CT'!H17</f>
        <v>19099313.636363633</v>
      </c>
      <c r="E8" s="178">
        <v>13</v>
      </c>
      <c r="F8" s="179">
        <v>37860000</v>
      </c>
      <c r="G8" s="180">
        <f t="shared" si="0"/>
        <v>0.50447209816068761</v>
      </c>
      <c r="H8" s="181">
        <v>8530000</v>
      </c>
      <c r="I8" s="182">
        <f t="shared" si="1"/>
        <v>29330000</v>
      </c>
    </row>
    <row r="9" spans="1:10">
      <c r="A9" s="183">
        <v>6</v>
      </c>
      <c r="B9" s="184">
        <v>46209</v>
      </c>
      <c r="C9" s="186">
        <v>88000000</v>
      </c>
      <c r="D9" s="186">
        <f>'NH Anh CT'!I17</f>
        <v>31317289.09090909</v>
      </c>
      <c r="E9" s="187">
        <v>6</v>
      </c>
      <c r="F9" s="188">
        <v>20665000</v>
      </c>
      <c r="G9" s="189">
        <f t="shared" si="0"/>
        <v>1.5154749136660581</v>
      </c>
      <c r="H9" s="181">
        <v>10640000</v>
      </c>
      <c r="I9" s="182">
        <f t="shared" si="1"/>
        <v>10025000</v>
      </c>
    </row>
    <row r="10" spans="1:10">
      <c r="A10" s="175">
        <v>7</v>
      </c>
      <c r="B10" s="176">
        <v>46210</v>
      </c>
      <c r="C10" s="177"/>
      <c r="D10" s="177">
        <f>'NH Anh CT'!J17</f>
        <v>32464935.454545453</v>
      </c>
      <c r="E10" s="178">
        <v>20</v>
      </c>
      <c r="F10" s="179">
        <v>60085000</v>
      </c>
      <c r="G10" s="180">
        <f t="shared" si="0"/>
        <v>0.54031680876334287</v>
      </c>
      <c r="H10" s="181">
        <v>12630000</v>
      </c>
      <c r="I10" s="182">
        <f t="shared" si="1"/>
        <v>47455000</v>
      </c>
    </row>
    <row r="11" spans="1:10">
      <c r="A11" s="183">
        <v>8</v>
      </c>
      <c r="B11" s="184">
        <v>46211</v>
      </c>
      <c r="C11" s="186"/>
      <c r="D11" s="186">
        <f>'NH Anh CT'!K17</f>
        <v>21969305.454545453</v>
      </c>
      <c r="E11" s="187">
        <v>16</v>
      </c>
      <c r="F11" s="188">
        <v>49510000</v>
      </c>
      <c r="G11" s="189">
        <f t="shared" si="0"/>
        <v>0.44373470924147551</v>
      </c>
      <c r="H11" s="181">
        <v>9445000</v>
      </c>
      <c r="I11" s="182">
        <f t="shared" si="1"/>
        <v>40065000</v>
      </c>
    </row>
    <row r="12" spans="1:10">
      <c r="A12" s="175">
        <v>9</v>
      </c>
      <c r="B12" s="176">
        <v>46212</v>
      </c>
      <c r="C12" s="177"/>
      <c r="D12" s="177">
        <f>'NH Anh CT'!L17</f>
        <v>34078275.454545453</v>
      </c>
      <c r="E12" s="178">
        <v>8</v>
      </c>
      <c r="F12" s="179">
        <v>23270000</v>
      </c>
      <c r="G12" s="180">
        <f t="shared" si="0"/>
        <v>1.464472516310505</v>
      </c>
      <c r="H12" s="181">
        <v>5820000</v>
      </c>
      <c r="I12" s="182">
        <f t="shared" si="1"/>
        <v>17450000</v>
      </c>
    </row>
    <row r="13" spans="1:10">
      <c r="A13" s="183">
        <v>10</v>
      </c>
      <c r="B13" s="184">
        <v>46213</v>
      </c>
      <c r="C13" s="186"/>
      <c r="D13" s="186">
        <f>'NH Anh CT'!M17</f>
        <v>24759420.909090906</v>
      </c>
      <c r="E13" s="187">
        <v>9</v>
      </c>
      <c r="F13" s="188">
        <v>27925000</v>
      </c>
      <c r="G13" s="189">
        <f t="shared" si="0"/>
        <v>0.88663996093432074</v>
      </c>
      <c r="H13" s="160"/>
      <c r="I13" s="182">
        <f t="shared" si="1"/>
        <v>27925000</v>
      </c>
    </row>
    <row r="14" spans="1:10">
      <c r="A14" s="175">
        <v>11</v>
      </c>
      <c r="B14" s="176">
        <v>46214</v>
      </c>
      <c r="C14" s="177"/>
      <c r="D14" s="177">
        <f>'NH Anh CT'!N17</f>
        <v>21841720.909090906</v>
      </c>
      <c r="E14" s="178">
        <v>19</v>
      </c>
      <c r="F14" s="179">
        <v>59780000</v>
      </c>
      <c r="G14" s="180">
        <f t="shared" si="0"/>
        <v>0.36536836582621124</v>
      </c>
      <c r="H14" s="181">
        <v>12420000</v>
      </c>
      <c r="I14" s="182">
        <f t="shared" si="1"/>
        <v>47360000</v>
      </c>
    </row>
    <row r="15" spans="1:10">
      <c r="A15" s="183">
        <v>12</v>
      </c>
      <c r="B15" s="184">
        <v>46215</v>
      </c>
      <c r="C15" s="186"/>
      <c r="D15" s="186">
        <f>'NH Anh CT'!O17</f>
        <v>24287485.454545453</v>
      </c>
      <c r="E15" s="187">
        <v>10</v>
      </c>
      <c r="F15" s="188">
        <v>31885000</v>
      </c>
      <c r="G15" s="189">
        <f t="shared" si="0"/>
        <v>0.76172135657975393</v>
      </c>
      <c r="H15" s="181">
        <v>13410000</v>
      </c>
      <c r="I15" s="182">
        <f t="shared" si="1"/>
        <v>18475000</v>
      </c>
    </row>
    <row r="16" spans="1:10">
      <c r="A16" s="175">
        <v>13</v>
      </c>
      <c r="B16" s="176">
        <v>46216</v>
      </c>
      <c r="C16" s="177"/>
      <c r="D16" s="177">
        <f>'NH Anh CT'!P17</f>
        <v>22379703.636363633</v>
      </c>
      <c r="E16" s="178">
        <v>8</v>
      </c>
      <c r="F16" s="179">
        <v>25210000</v>
      </c>
      <c r="G16" s="180">
        <f t="shared" si="0"/>
        <v>0.88773120334643529</v>
      </c>
      <c r="H16" s="181">
        <v>6970000</v>
      </c>
      <c r="I16" s="182">
        <f t="shared" si="1"/>
        <v>18240000</v>
      </c>
    </row>
    <row r="17" spans="1:9">
      <c r="A17" s="183">
        <v>14</v>
      </c>
      <c r="B17" s="184">
        <v>46217</v>
      </c>
      <c r="C17" s="186"/>
      <c r="D17" s="186">
        <f>'NH Anh CT'!Q17</f>
        <v>31173619.09090909</v>
      </c>
      <c r="E17" s="187">
        <v>16</v>
      </c>
      <c r="F17" s="188">
        <v>50490000</v>
      </c>
      <c r="G17" s="180">
        <f t="shared" si="0"/>
        <v>0.61742164965159618</v>
      </c>
      <c r="H17" s="181">
        <v>3330000</v>
      </c>
      <c r="I17" s="182">
        <f t="shared" si="1"/>
        <v>47160000</v>
      </c>
    </row>
    <row r="18" spans="1:9">
      <c r="A18" s="175">
        <v>15</v>
      </c>
      <c r="B18" s="176">
        <v>46218</v>
      </c>
      <c r="C18" s="177"/>
      <c r="D18" s="177">
        <f>'NH Anh CT'!R17</f>
        <v>7745617.2727272725</v>
      </c>
      <c r="E18" s="178">
        <v>16</v>
      </c>
      <c r="F18" s="179">
        <v>51525000</v>
      </c>
      <c r="G18" s="180">
        <f t="shared" si="0"/>
        <v>0.15032736094570157</v>
      </c>
      <c r="H18" s="181">
        <v>11860000</v>
      </c>
      <c r="I18" s="182">
        <f t="shared" si="1"/>
        <v>39665000</v>
      </c>
    </row>
    <row r="19" spans="1:9">
      <c r="A19" s="183">
        <v>16</v>
      </c>
      <c r="B19" s="184">
        <v>46219</v>
      </c>
      <c r="C19" s="186"/>
      <c r="D19" s="186">
        <f>'NH Anh CT'!S17</f>
        <v>26358823.636363633</v>
      </c>
      <c r="E19" s="187">
        <v>8</v>
      </c>
      <c r="F19" s="188">
        <v>24970000</v>
      </c>
      <c r="G19" s="189">
        <f t="shared" si="0"/>
        <v>1.0556196890814431</v>
      </c>
      <c r="H19" s="181"/>
      <c r="I19" s="182">
        <f t="shared" si="1"/>
        <v>24970000</v>
      </c>
    </row>
    <row r="20" spans="1:9">
      <c r="A20" s="175">
        <v>17</v>
      </c>
      <c r="B20" s="176">
        <v>46220</v>
      </c>
      <c r="C20" s="177"/>
      <c r="D20" s="205">
        <f>'NH Anh CT'!T17</f>
        <v>21106821.818181816</v>
      </c>
      <c r="E20" s="178">
        <v>20</v>
      </c>
      <c r="F20" s="179">
        <v>65865000</v>
      </c>
      <c r="G20" s="180">
        <f t="shared" si="0"/>
        <v>0.32045580836835674</v>
      </c>
      <c r="H20" s="181">
        <v>9775000</v>
      </c>
      <c r="I20" s="182">
        <f t="shared" si="1"/>
        <v>56090000</v>
      </c>
    </row>
    <row r="21" spans="1:9">
      <c r="A21" s="183">
        <v>18</v>
      </c>
      <c r="B21" s="184">
        <v>46221</v>
      </c>
      <c r="C21" s="186"/>
      <c r="D21" s="186">
        <f>'NH Anh CT'!U17</f>
        <v>26177272.727272727</v>
      </c>
      <c r="E21" s="187">
        <v>12</v>
      </c>
      <c r="F21" s="188">
        <v>39025000</v>
      </c>
      <c r="G21" s="189">
        <f t="shared" si="0"/>
        <v>0.67078213266554076</v>
      </c>
      <c r="H21" s="181">
        <v>15780000</v>
      </c>
      <c r="I21" s="182">
        <f t="shared" si="1"/>
        <v>23245000</v>
      </c>
    </row>
    <row r="22" spans="1:9">
      <c r="A22" s="175">
        <v>19</v>
      </c>
      <c r="B22" s="176">
        <v>46222</v>
      </c>
      <c r="C22" s="177"/>
      <c r="D22" s="177">
        <f>'NH Anh CT'!V17</f>
        <v>35190143.636363633</v>
      </c>
      <c r="E22" s="178">
        <v>13</v>
      </c>
      <c r="F22" s="179">
        <v>42510000</v>
      </c>
      <c r="G22" s="180">
        <f t="shared" si="0"/>
        <v>0.82780860118474786</v>
      </c>
      <c r="H22" s="181">
        <v>3375000</v>
      </c>
      <c r="I22" s="182">
        <f t="shared" si="1"/>
        <v>39135000</v>
      </c>
    </row>
    <row r="23" spans="1:9">
      <c r="A23" s="183">
        <v>20</v>
      </c>
      <c r="B23" s="184">
        <v>46223</v>
      </c>
      <c r="C23" s="186"/>
      <c r="D23" s="186">
        <f>'NH Anh CT'!W17</f>
        <v>10454012.727272727</v>
      </c>
      <c r="E23" s="187">
        <v>15</v>
      </c>
      <c r="F23" s="188">
        <v>41975000</v>
      </c>
      <c r="G23" s="189">
        <f t="shared" si="0"/>
        <v>0.24905331095348962</v>
      </c>
      <c r="H23" s="181">
        <v>13360000</v>
      </c>
      <c r="I23" s="182">
        <f t="shared" si="1"/>
        <v>28615000</v>
      </c>
    </row>
    <row r="24" spans="1:9">
      <c r="A24" s="175">
        <v>21</v>
      </c>
      <c r="B24" s="176">
        <v>46224</v>
      </c>
      <c r="C24" s="177"/>
      <c r="D24" s="177">
        <f>'NH Anh CT'!X17</f>
        <v>35497104.545454539</v>
      </c>
      <c r="E24" s="178">
        <v>14</v>
      </c>
      <c r="F24" s="179">
        <v>44645000</v>
      </c>
      <c r="G24" s="180">
        <f t="shared" si="0"/>
        <v>0.79509697716327787</v>
      </c>
      <c r="H24" s="181">
        <v>6730000</v>
      </c>
      <c r="I24" s="182">
        <f t="shared" si="1"/>
        <v>37915000</v>
      </c>
    </row>
    <row r="25" spans="1:9">
      <c r="A25" s="183">
        <v>22</v>
      </c>
      <c r="B25" s="184">
        <v>46225</v>
      </c>
      <c r="C25" s="186"/>
      <c r="D25" s="186">
        <f>'NH Anh CT'!Y17</f>
        <v>31560834.545454543</v>
      </c>
      <c r="E25" s="187">
        <v>17</v>
      </c>
      <c r="F25" s="188">
        <v>50365000</v>
      </c>
      <c r="G25" s="189">
        <f t="shared" si="0"/>
        <v>0.62664220282844318</v>
      </c>
      <c r="H25" s="181">
        <v>3330000</v>
      </c>
      <c r="I25" s="182">
        <f t="shared" si="1"/>
        <v>47035000</v>
      </c>
    </row>
    <row r="26" spans="1:9">
      <c r="A26" s="175">
        <v>23</v>
      </c>
      <c r="B26" s="176">
        <v>46226</v>
      </c>
      <c r="C26" s="177"/>
      <c r="D26" s="177">
        <f>'NH Anh CT'!Z17</f>
        <v>18123156.363636363</v>
      </c>
      <c r="E26" s="178">
        <v>21</v>
      </c>
      <c r="F26" s="179">
        <v>68085000</v>
      </c>
      <c r="G26" s="180">
        <f t="shared" si="0"/>
        <v>0.26618427500383879</v>
      </c>
      <c r="H26" s="181">
        <v>12950000</v>
      </c>
      <c r="I26" s="182">
        <f t="shared" si="1"/>
        <v>55135000</v>
      </c>
    </row>
    <row r="27" spans="1:9">
      <c r="A27" s="183">
        <v>24</v>
      </c>
      <c r="B27" s="184">
        <v>46227</v>
      </c>
      <c r="C27" s="186"/>
      <c r="D27" s="186">
        <f>'NH Anh CT'!AA17</f>
        <v>35071099.090909086</v>
      </c>
      <c r="E27" s="187">
        <v>13</v>
      </c>
      <c r="F27" s="188">
        <v>43030000</v>
      </c>
      <c r="G27" s="189">
        <f t="shared" si="0"/>
        <v>0.81503832421355071</v>
      </c>
      <c r="H27" s="160"/>
      <c r="I27" s="182">
        <f t="shared" si="1"/>
        <v>43030000</v>
      </c>
    </row>
    <row r="28" spans="1:9">
      <c r="A28" s="175">
        <v>25</v>
      </c>
      <c r="B28" s="176">
        <v>46228</v>
      </c>
      <c r="C28" s="177"/>
      <c r="D28" s="177">
        <f>'NH Anh CT'!AB17</f>
        <v>26859347.27272727</v>
      </c>
      <c r="E28" s="178">
        <v>13</v>
      </c>
      <c r="F28" s="179">
        <v>44250000</v>
      </c>
      <c r="G28" s="180">
        <f t="shared" si="0"/>
        <v>0.60699089881869539</v>
      </c>
      <c r="H28" s="181">
        <v>18765000</v>
      </c>
      <c r="I28" s="182">
        <f t="shared" si="1"/>
        <v>25485000</v>
      </c>
    </row>
    <row r="29" spans="1:9">
      <c r="A29" s="183">
        <v>26</v>
      </c>
      <c r="B29" s="184">
        <v>46229</v>
      </c>
      <c r="C29" s="186"/>
      <c r="D29" s="186">
        <f>'NH Anh CT'!AC17</f>
        <v>18659398.18181818</v>
      </c>
      <c r="E29" s="187">
        <v>7</v>
      </c>
      <c r="F29" s="188">
        <v>22630000</v>
      </c>
      <c r="G29" s="189">
        <f t="shared" si="0"/>
        <v>0.82454256216607069</v>
      </c>
      <c r="H29" s="181">
        <v>6955000</v>
      </c>
      <c r="I29" s="182">
        <f t="shared" si="1"/>
        <v>15675000</v>
      </c>
    </row>
    <row r="30" spans="1:9">
      <c r="A30" s="175">
        <v>27</v>
      </c>
      <c r="B30" s="176">
        <v>46230</v>
      </c>
      <c r="C30" s="177"/>
      <c r="D30" s="177">
        <f>'NH Anh CT'!AD17</f>
        <v>17169156.363636363</v>
      </c>
      <c r="E30" s="178">
        <v>12</v>
      </c>
      <c r="F30" s="179">
        <v>39690000</v>
      </c>
      <c r="G30" s="180">
        <f t="shared" si="0"/>
        <v>0.4325814150576055</v>
      </c>
      <c r="H30" s="181">
        <v>13580000</v>
      </c>
      <c r="I30" s="182">
        <f t="shared" si="1"/>
        <v>26110000</v>
      </c>
    </row>
    <row r="31" spans="1:9">
      <c r="A31" s="183">
        <v>28</v>
      </c>
      <c r="B31" s="184">
        <v>46231</v>
      </c>
      <c r="C31" s="186"/>
      <c r="D31" s="186">
        <f>'NH Anh CT'!AE17</f>
        <v>0</v>
      </c>
      <c r="E31" s="187">
        <v>3</v>
      </c>
      <c r="F31" s="188">
        <v>9830000</v>
      </c>
      <c r="G31" s="189">
        <f t="shared" si="0"/>
        <v>0</v>
      </c>
      <c r="H31" s="181">
        <v>3545000</v>
      </c>
      <c r="I31" s="182">
        <f t="shared" si="1"/>
        <v>6285000</v>
      </c>
    </row>
    <row r="32" spans="1:9">
      <c r="A32" s="175">
        <v>29</v>
      </c>
      <c r="B32" s="176">
        <v>46232</v>
      </c>
      <c r="C32" s="177"/>
      <c r="D32" s="177">
        <f>'NH Anh CT'!AF17</f>
        <v>34213240.909090906</v>
      </c>
      <c r="E32" s="178">
        <v>8</v>
      </c>
      <c r="F32" s="179">
        <v>25900000</v>
      </c>
      <c r="G32" s="180">
        <f t="shared" si="0"/>
        <v>1.3209745524745524</v>
      </c>
      <c r="H32" s="160"/>
      <c r="I32" s="63">
        <f t="shared" si="1"/>
        <v>25900000</v>
      </c>
    </row>
    <row r="33" spans="1:9">
      <c r="A33" s="183">
        <v>30</v>
      </c>
      <c r="B33" s="184">
        <v>46233</v>
      </c>
      <c r="C33" s="186"/>
      <c r="D33" s="186">
        <f>'NH Anh CT'!AG17</f>
        <v>37684788.18181818</v>
      </c>
      <c r="E33" s="187">
        <v>23</v>
      </c>
      <c r="F33" s="188">
        <v>72730000</v>
      </c>
      <c r="G33" s="189">
        <f t="shared" si="0"/>
        <v>0.51814640700973713</v>
      </c>
      <c r="H33" s="181">
        <v>19015000</v>
      </c>
      <c r="I33" s="63">
        <f t="shared" si="1"/>
        <v>53715000</v>
      </c>
    </row>
    <row r="34" spans="1:9">
      <c r="A34" s="175">
        <v>31</v>
      </c>
      <c r="B34" s="176">
        <v>46234</v>
      </c>
      <c r="C34" s="177"/>
      <c r="D34" s="177">
        <f>'NH Anh CT'!AH17</f>
        <v>26483158.18181818</v>
      </c>
      <c r="E34" s="178">
        <v>10</v>
      </c>
      <c r="F34" s="179">
        <v>32525000</v>
      </c>
      <c r="G34" s="180">
        <f t="shared" si="0"/>
        <v>0.81424006708126606</v>
      </c>
      <c r="H34" s="181">
        <v>2910000</v>
      </c>
      <c r="I34" s="63">
        <f t="shared" si="1"/>
        <v>29615000</v>
      </c>
    </row>
    <row r="35" spans="1:9">
      <c r="A35" s="207"/>
      <c r="B35" s="208"/>
      <c r="C35" s="210"/>
      <c r="D35" s="209"/>
      <c r="E35" s="210"/>
      <c r="F35" s="211">
        <v>-140480979</v>
      </c>
      <c r="G35" s="212"/>
      <c r="H35" s="160"/>
    </row>
    <row r="36" spans="1:9">
      <c r="A36" s="213"/>
      <c r="B36" s="214"/>
      <c r="C36" s="215"/>
      <c r="D36" s="215"/>
      <c r="E36" s="215"/>
      <c r="F36" s="215"/>
      <c r="G36" s="215"/>
      <c r="H36" s="160"/>
    </row>
    <row r="37" spans="1:9">
      <c r="A37" s="213"/>
      <c r="B37" s="214"/>
      <c r="C37" s="215"/>
      <c r="D37" s="215"/>
      <c r="E37" s="215"/>
      <c r="F37" s="215"/>
      <c r="G37" s="215"/>
      <c r="H37" s="160"/>
    </row>
    <row r="38" spans="1:9">
      <c r="A38" s="213"/>
      <c r="B38" s="214"/>
      <c r="C38" s="215"/>
      <c r="D38" s="215"/>
      <c r="E38" s="215"/>
      <c r="F38" s="215"/>
      <c r="G38" s="215"/>
      <c r="H38" s="160"/>
    </row>
    <row r="39" spans="1:9">
      <c r="A39" s="213"/>
      <c r="B39" s="214"/>
      <c r="C39" s="215"/>
      <c r="D39" s="215"/>
      <c r="E39" s="215"/>
      <c r="F39" s="215"/>
      <c r="G39" s="215"/>
      <c r="H39" s="160"/>
    </row>
    <row r="40" spans="1:9">
      <c r="A40" s="213"/>
      <c r="B40" s="214"/>
      <c r="C40" s="215"/>
      <c r="D40" s="215"/>
      <c r="E40" s="215"/>
      <c r="F40" s="215"/>
      <c r="G40" s="215"/>
      <c r="H40" s="160"/>
    </row>
    <row r="41" spans="1:9">
      <c r="A41" s="213"/>
      <c r="B41" s="214"/>
      <c r="C41" s="215"/>
      <c r="D41" s="215"/>
      <c r="E41" s="215"/>
      <c r="F41" s="215"/>
      <c r="G41" s="215"/>
      <c r="H41" s="160"/>
    </row>
    <row r="42" spans="1:9">
      <c r="A42" s="213"/>
      <c r="B42" s="214"/>
      <c r="C42" s="215"/>
      <c r="D42" s="215"/>
      <c r="E42" s="215"/>
      <c r="F42" s="215"/>
      <c r="G42" s="215"/>
      <c r="H42" s="160"/>
    </row>
    <row r="43" spans="1:9">
      <c r="A43" s="213"/>
      <c r="B43" s="214"/>
      <c r="C43" s="215"/>
      <c r="D43" s="215"/>
      <c r="E43" s="215"/>
      <c r="F43" s="215"/>
      <c r="G43" s="215"/>
      <c r="H43" s="160"/>
    </row>
    <row r="44" spans="1:9">
      <c r="A44" s="213"/>
      <c r="B44" s="214"/>
      <c r="C44" s="215"/>
      <c r="D44" s="215"/>
      <c r="E44" s="215"/>
      <c r="F44" s="215"/>
      <c r="G44" s="215"/>
      <c r="H44" s="160"/>
    </row>
    <row r="45" spans="1:9">
      <c r="A45" s="213"/>
      <c r="B45" s="214"/>
      <c r="C45" s="215"/>
      <c r="D45" s="215"/>
      <c r="E45" s="215"/>
      <c r="F45" s="215"/>
      <c r="G45" s="215"/>
      <c r="H45" s="160"/>
    </row>
    <row r="46" spans="1:9">
      <c r="A46" s="213"/>
      <c r="B46" s="214"/>
      <c r="C46" s="215"/>
      <c r="D46" s="215"/>
      <c r="E46" s="215"/>
      <c r="F46" s="215"/>
      <c r="G46" s="215"/>
      <c r="H46" s="160"/>
    </row>
    <row r="47" spans="1:9">
      <c r="A47" s="213"/>
      <c r="B47" s="214"/>
      <c r="C47" s="215"/>
      <c r="D47" s="215"/>
      <c r="E47" s="215"/>
      <c r="F47" s="215"/>
      <c r="G47" s="215"/>
      <c r="H47" s="160"/>
    </row>
    <row r="48" spans="1:9">
      <c r="A48" s="213"/>
      <c r="B48" s="214"/>
      <c r="C48" s="215"/>
      <c r="D48" s="215"/>
      <c r="E48" s="215"/>
      <c r="F48" s="215"/>
      <c r="G48" s="215"/>
      <c r="H48" s="160"/>
    </row>
    <row r="49" spans="1:8">
      <c r="A49" s="213"/>
      <c r="B49" s="214"/>
      <c r="C49" s="215"/>
      <c r="D49" s="215"/>
      <c r="E49" s="215"/>
      <c r="F49" s="215"/>
      <c r="G49" s="215"/>
      <c r="H49" s="160"/>
    </row>
    <row r="50" spans="1:8">
      <c r="A50" s="213"/>
      <c r="B50" s="214"/>
      <c r="C50" s="215"/>
      <c r="D50" s="215"/>
      <c r="E50" s="215"/>
      <c r="F50" s="215"/>
      <c r="G50" s="215"/>
      <c r="H50" s="160"/>
    </row>
    <row r="51" spans="1:8">
      <c r="A51" s="213"/>
      <c r="B51" s="214"/>
      <c r="C51" s="215"/>
      <c r="D51" s="215"/>
      <c r="E51" s="215"/>
      <c r="F51" s="215"/>
      <c r="G51" s="215"/>
      <c r="H51" s="160"/>
    </row>
    <row r="52" spans="1:8">
      <c r="A52" s="213"/>
      <c r="B52" s="214"/>
      <c r="C52" s="215"/>
      <c r="D52" s="215"/>
      <c r="E52" s="215"/>
      <c r="F52" s="215"/>
      <c r="G52" s="215"/>
      <c r="H52" s="160"/>
    </row>
    <row r="53" spans="1:8">
      <c r="A53" s="213"/>
      <c r="B53" s="214"/>
      <c r="C53" s="215"/>
      <c r="D53" s="215"/>
      <c r="E53" s="215"/>
      <c r="F53" s="215"/>
      <c r="G53" s="215"/>
      <c r="H53" s="160"/>
    </row>
    <row r="54" spans="1:8">
      <c r="A54" s="213"/>
      <c r="B54" s="214"/>
      <c r="C54" s="215"/>
      <c r="D54" s="215"/>
      <c r="E54" s="215"/>
      <c r="F54" s="215"/>
      <c r="G54" s="215"/>
      <c r="H54" s="160"/>
    </row>
    <row r="55" spans="1:8">
      <c r="A55" s="213"/>
      <c r="B55" s="214"/>
      <c r="C55" s="215"/>
      <c r="D55" s="215"/>
      <c r="E55" s="215"/>
      <c r="F55" s="215"/>
      <c r="G55" s="215"/>
      <c r="H55" s="160"/>
    </row>
    <row r="56" spans="1:8">
      <c r="A56" s="213"/>
      <c r="B56" s="214"/>
      <c r="C56" s="215"/>
      <c r="D56" s="215"/>
      <c r="E56" s="215"/>
      <c r="F56" s="215"/>
      <c r="G56" s="215"/>
      <c r="H56" s="160"/>
    </row>
    <row r="57" spans="1:8">
      <c r="A57" s="213"/>
      <c r="B57" s="214"/>
      <c r="C57" s="215"/>
      <c r="D57" s="215"/>
      <c r="E57" s="215"/>
      <c r="F57" s="215"/>
      <c r="G57" s="215"/>
      <c r="H57" s="160"/>
    </row>
    <row r="58" spans="1:8">
      <c r="A58" s="213"/>
      <c r="B58" s="214"/>
      <c r="C58" s="215"/>
      <c r="D58" s="215"/>
      <c r="E58" s="215"/>
      <c r="F58" s="215"/>
      <c r="G58" s="215"/>
      <c r="H58" s="160"/>
    </row>
    <row r="59" spans="1:8">
      <c r="A59" s="213"/>
      <c r="B59" s="214"/>
      <c r="C59" s="215"/>
      <c r="D59" s="215"/>
      <c r="E59" s="215"/>
      <c r="F59" s="215"/>
      <c r="G59" s="215"/>
      <c r="H59" s="160"/>
    </row>
    <row r="60" spans="1:8">
      <c r="A60" s="213"/>
      <c r="B60" s="214"/>
      <c r="C60" s="215"/>
      <c r="D60" s="215"/>
      <c r="E60" s="215"/>
      <c r="F60" s="215"/>
      <c r="G60" s="215"/>
      <c r="H60" s="160"/>
    </row>
    <row r="61" spans="1:8">
      <c r="A61" s="213"/>
      <c r="B61" s="214"/>
      <c r="C61" s="215"/>
      <c r="D61" s="215"/>
      <c r="E61" s="215"/>
      <c r="F61" s="215"/>
      <c r="G61" s="215"/>
      <c r="H61" s="160"/>
    </row>
    <row r="62" spans="1:8">
      <c r="A62" s="213"/>
      <c r="B62" s="214"/>
      <c r="C62" s="215"/>
      <c r="D62" s="215"/>
      <c r="E62" s="215"/>
      <c r="F62" s="215"/>
      <c r="G62" s="215"/>
      <c r="H62" s="160"/>
    </row>
    <row r="63" spans="1:8">
      <c r="A63" s="213"/>
      <c r="B63" s="214"/>
      <c r="C63" s="215"/>
      <c r="D63" s="215"/>
      <c r="E63" s="215"/>
      <c r="F63" s="215"/>
      <c r="G63" s="215"/>
      <c r="H63" s="160"/>
    </row>
    <row r="64" spans="1:8">
      <c r="A64" s="213"/>
      <c r="B64" s="214"/>
      <c r="C64" s="215"/>
      <c r="D64" s="215"/>
      <c r="E64" s="215"/>
      <c r="F64" s="215"/>
      <c r="G64" s="215"/>
      <c r="H64" s="160"/>
    </row>
    <row r="65" spans="1:8">
      <c r="A65" s="213"/>
      <c r="B65" s="214"/>
      <c r="C65" s="215"/>
      <c r="D65" s="215"/>
      <c r="E65" s="215"/>
      <c r="F65" s="215"/>
      <c r="G65" s="215"/>
      <c r="H65" s="160"/>
    </row>
    <row r="66" spans="1:8">
      <c r="A66" s="213"/>
      <c r="B66" s="214"/>
      <c r="C66" s="215"/>
      <c r="D66" s="215"/>
      <c r="E66" s="215"/>
      <c r="F66" s="215"/>
      <c r="G66" s="215"/>
      <c r="H66" s="160"/>
    </row>
    <row r="67" spans="1:8">
      <c r="A67" s="213"/>
      <c r="B67" s="214"/>
      <c r="C67" s="215"/>
      <c r="D67" s="215"/>
      <c r="E67" s="215"/>
      <c r="F67" s="215"/>
      <c r="G67" s="215"/>
      <c r="H67" s="160"/>
    </row>
    <row r="68" spans="1:8">
      <c r="A68" s="213"/>
      <c r="B68" s="214"/>
      <c r="C68" s="215"/>
      <c r="D68" s="215"/>
      <c r="E68" s="215"/>
      <c r="F68" s="215"/>
      <c r="G68" s="215"/>
      <c r="H68" s="160"/>
    </row>
    <row r="69" spans="1:8">
      <c r="A69" s="213"/>
      <c r="B69" s="214"/>
      <c r="C69" s="215"/>
      <c r="D69" s="215"/>
      <c r="E69" s="215"/>
      <c r="F69" s="215"/>
      <c r="G69" s="215"/>
      <c r="H69" s="160"/>
    </row>
    <row r="70" spans="1:8">
      <c r="A70" s="213"/>
      <c r="B70" s="214"/>
      <c r="C70" s="215"/>
      <c r="D70" s="215"/>
      <c r="E70" s="215"/>
      <c r="F70" s="215"/>
      <c r="G70" s="215"/>
      <c r="H70" s="160"/>
    </row>
    <row r="71" spans="1:8">
      <c r="A71" s="213"/>
      <c r="B71" s="214"/>
      <c r="C71" s="215"/>
      <c r="D71" s="215"/>
      <c r="E71" s="215"/>
      <c r="F71" s="215"/>
      <c r="G71" s="215"/>
      <c r="H71" s="160"/>
    </row>
    <row r="72" spans="1:8">
      <c r="A72" s="213"/>
      <c r="B72" s="214"/>
      <c r="C72" s="215"/>
      <c r="D72" s="215"/>
      <c r="E72" s="215"/>
      <c r="F72" s="215"/>
      <c r="G72" s="215"/>
      <c r="H72" s="160"/>
    </row>
    <row r="73" spans="1:8">
      <c r="A73" s="213"/>
      <c r="B73" s="214"/>
      <c r="C73" s="215"/>
      <c r="D73" s="215"/>
      <c r="E73" s="215"/>
      <c r="F73" s="215"/>
      <c r="G73" s="215"/>
      <c r="H73" s="160"/>
    </row>
    <row r="74" spans="1:8">
      <c r="A74" s="213"/>
      <c r="B74" s="214"/>
      <c r="C74" s="215"/>
      <c r="D74" s="215"/>
      <c r="E74" s="215"/>
      <c r="F74" s="215"/>
      <c r="G74" s="215"/>
      <c r="H74" s="160"/>
    </row>
    <row r="75" spans="1:8">
      <c r="A75" s="213"/>
      <c r="B75" s="214"/>
      <c r="C75" s="215"/>
      <c r="D75" s="215"/>
      <c r="E75" s="215"/>
      <c r="F75" s="215"/>
      <c r="G75" s="215"/>
      <c r="H75" s="160"/>
    </row>
    <row r="76" spans="1:8">
      <c r="A76" s="213"/>
      <c r="B76" s="214"/>
      <c r="C76" s="215"/>
      <c r="D76" s="215"/>
      <c r="E76" s="215"/>
      <c r="F76" s="215"/>
      <c r="G76" s="215"/>
      <c r="H76" s="160"/>
    </row>
    <row r="77" spans="1:8">
      <c r="A77" s="213"/>
      <c r="B77" s="214"/>
      <c r="C77" s="215"/>
      <c r="D77" s="215"/>
      <c r="E77" s="215"/>
      <c r="F77" s="215"/>
      <c r="G77" s="215"/>
      <c r="H77" s="160"/>
    </row>
    <row r="78" spans="1:8">
      <c r="A78" s="213"/>
      <c r="B78" s="214"/>
      <c r="C78" s="215"/>
      <c r="D78" s="215"/>
      <c r="E78" s="215"/>
      <c r="F78" s="215"/>
      <c r="G78" s="215"/>
      <c r="H78" s="160"/>
    </row>
    <row r="79" spans="1:8">
      <c r="A79" s="213"/>
      <c r="B79" s="214"/>
      <c r="C79" s="215"/>
      <c r="D79" s="215"/>
      <c r="E79" s="215"/>
      <c r="F79" s="215"/>
      <c r="G79" s="215"/>
      <c r="H79" s="160"/>
    </row>
    <row r="80" spans="1:8">
      <c r="A80" s="213"/>
      <c r="B80" s="214"/>
      <c r="C80" s="215"/>
      <c r="D80" s="215"/>
      <c r="E80" s="215"/>
      <c r="F80" s="215"/>
      <c r="G80" s="215"/>
      <c r="H80" s="160"/>
    </row>
    <row r="81" spans="1:8">
      <c r="A81" s="213"/>
      <c r="B81" s="214"/>
      <c r="C81" s="215"/>
      <c r="D81" s="215"/>
      <c r="E81" s="215"/>
      <c r="F81" s="215"/>
      <c r="G81" s="215"/>
      <c r="H81" s="160"/>
    </row>
    <row r="82" spans="1:8">
      <c r="A82" s="213"/>
      <c r="B82" s="214"/>
      <c r="C82" s="215"/>
      <c r="D82" s="215"/>
      <c r="E82" s="215"/>
      <c r="F82" s="215"/>
      <c r="G82" s="215"/>
      <c r="H82" s="160"/>
    </row>
    <row r="83" spans="1:8">
      <c r="A83" s="213"/>
      <c r="B83" s="214"/>
      <c r="C83" s="215"/>
      <c r="D83" s="215"/>
      <c r="E83" s="215"/>
      <c r="F83" s="215"/>
      <c r="G83" s="215"/>
      <c r="H83" s="160"/>
    </row>
    <row r="84" spans="1:8">
      <c r="A84" s="213"/>
      <c r="B84" s="214"/>
      <c r="C84" s="215"/>
      <c r="D84" s="215"/>
      <c r="E84" s="215"/>
      <c r="F84" s="215"/>
      <c r="G84" s="215"/>
      <c r="H84" s="160"/>
    </row>
    <row r="85" spans="1:8">
      <c r="A85" s="213"/>
      <c r="B85" s="214"/>
      <c r="C85" s="215"/>
      <c r="D85" s="215"/>
      <c r="E85" s="215"/>
      <c r="F85" s="215"/>
      <c r="G85" s="215"/>
      <c r="H85" s="160"/>
    </row>
    <row r="86" spans="1:8">
      <c r="A86" s="213"/>
      <c r="B86" s="214"/>
      <c r="C86" s="215"/>
      <c r="D86" s="215"/>
      <c r="E86" s="215"/>
      <c r="F86" s="215"/>
      <c r="G86" s="215"/>
      <c r="H86" s="160"/>
    </row>
    <row r="87" spans="1:8">
      <c r="A87" s="213"/>
      <c r="B87" s="214"/>
      <c r="C87" s="215"/>
      <c r="D87" s="215"/>
      <c r="E87" s="215"/>
      <c r="F87" s="215"/>
      <c r="G87" s="215"/>
      <c r="H87" s="160"/>
    </row>
    <row r="88" spans="1:8">
      <c r="A88" s="213"/>
      <c r="B88" s="214"/>
      <c r="C88" s="215"/>
      <c r="D88" s="215"/>
      <c r="E88" s="215"/>
      <c r="F88" s="215"/>
      <c r="G88" s="215"/>
      <c r="H88" s="160"/>
    </row>
    <row r="89" spans="1:8">
      <c r="A89" s="213"/>
      <c r="B89" s="214"/>
      <c r="C89" s="215"/>
      <c r="D89" s="215"/>
      <c r="E89" s="215"/>
      <c r="F89" s="215"/>
      <c r="G89" s="215"/>
      <c r="H89" s="160"/>
    </row>
    <row r="90" spans="1:8">
      <c r="A90" s="213"/>
      <c r="B90" s="214"/>
      <c r="C90" s="215"/>
      <c r="D90" s="215"/>
      <c r="E90" s="215"/>
      <c r="F90" s="215"/>
      <c r="G90" s="215"/>
      <c r="H90" s="160"/>
    </row>
    <row r="91" spans="1:8">
      <c r="A91" s="213"/>
      <c r="B91" s="214"/>
      <c r="C91" s="215"/>
      <c r="D91" s="215"/>
      <c r="E91" s="215"/>
      <c r="F91" s="215"/>
      <c r="G91" s="215"/>
      <c r="H91" s="160"/>
    </row>
    <row r="92" spans="1:8">
      <c r="A92" s="213"/>
      <c r="B92" s="214"/>
      <c r="C92" s="215"/>
      <c r="D92" s="215"/>
      <c r="E92" s="215"/>
      <c r="F92" s="215"/>
      <c r="G92" s="215"/>
      <c r="H92" s="160"/>
    </row>
    <row r="93" spans="1:8">
      <c r="A93" s="213"/>
      <c r="B93" s="214"/>
      <c r="C93" s="215"/>
      <c r="D93" s="215"/>
      <c r="E93" s="215"/>
      <c r="F93" s="215"/>
      <c r="G93" s="215"/>
      <c r="H93" s="160"/>
    </row>
    <row r="94" spans="1:8">
      <c r="A94" s="213"/>
      <c r="B94" s="214"/>
      <c r="C94" s="215"/>
      <c r="D94" s="215"/>
      <c r="E94" s="215"/>
      <c r="F94" s="215"/>
      <c r="G94" s="215"/>
      <c r="H94" s="160"/>
    </row>
    <row r="95" spans="1:8">
      <c r="A95" s="213"/>
      <c r="B95" s="214"/>
      <c r="C95" s="215"/>
      <c r="D95" s="215"/>
      <c r="E95" s="215"/>
      <c r="F95" s="215"/>
      <c r="G95" s="215"/>
      <c r="H95" s="160"/>
    </row>
    <row r="96" spans="1:8">
      <c r="A96" s="213"/>
      <c r="B96" s="214"/>
      <c r="C96" s="215"/>
      <c r="D96" s="215"/>
      <c r="E96" s="215"/>
      <c r="F96" s="215"/>
      <c r="G96" s="215"/>
      <c r="H96" s="160"/>
    </row>
    <row r="97" spans="1:8">
      <c r="A97" s="213"/>
      <c r="B97" s="214"/>
      <c r="C97" s="215"/>
      <c r="D97" s="215"/>
      <c r="E97" s="215"/>
      <c r="F97" s="215"/>
      <c r="G97" s="215"/>
      <c r="H97" s="160"/>
    </row>
    <row r="98" spans="1:8">
      <c r="A98" s="213"/>
      <c r="B98" s="214"/>
      <c r="C98" s="215"/>
      <c r="D98" s="215"/>
      <c r="E98" s="215"/>
      <c r="F98" s="215"/>
      <c r="G98" s="215"/>
      <c r="H98" s="160"/>
    </row>
    <row r="99" spans="1:8">
      <c r="A99" s="213"/>
      <c r="B99" s="214"/>
      <c r="C99" s="215"/>
      <c r="D99" s="215"/>
      <c r="E99" s="215"/>
      <c r="F99" s="215"/>
      <c r="G99" s="215"/>
      <c r="H99" s="160"/>
    </row>
    <row r="100" spans="1:8">
      <c r="A100" s="213"/>
      <c r="B100" s="214"/>
      <c r="C100" s="215"/>
      <c r="D100" s="215"/>
      <c r="E100" s="215"/>
      <c r="F100" s="215"/>
      <c r="G100" s="215"/>
      <c r="H100" s="160"/>
    </row>
    <row r="101" spans="1:8">
      <c r="A101" s="213"/>
      <c r="B101" s="214"/>
      <c r="C101" s="215"/>
      <c r="D101" s="215"/>
      <c r="E101" s="215"/>
      <c r="F101" s="215"/>
      <c r="G101" s="215"/>
      <c r="H101" s="160"/>
    </row>
    <row r="102" spans="1:8">
      <c r="A102" s="213"/>
      <c r="B102" s="214"/>
      <c r="C102" s="215"/>
      <c r="D102" s="215"/>
      <c r="E102" s="215"/>
      <c r="F102" s="215"/>
      <c r="G102" s="215"/>
      <c r="H102" s="160"/>
    </row>
    <row r="103" spans="1:8">
      <c r="A103" s="213"/>
      <c r="B103" s="214"/>
      <c r="C103" s="215"/>
      <c r="D103" s="215"/>
      <c r="E103" s="215"/>
      <c r="F103" s="215"/>
      <c r="G103" s="215"/>
      <c r="H103" s="160"/>
    </row>
    <row r="104" spans="1:8">
      <c r="A104" s="213"/>
      <c r="B104" s="214"/>
      <c r="C104" s="215"/>
      <c r="D104" s="215"/>
      <c r="E104" s="215"/>
      <c r="F104" s="215"/>
      <c r="G104" s="215"/>
      <c r="H104" s="160"/>
    </row>
    <row r="105" spans="1:8">
      <c r="A105" s="213"/>
      <c r="B105" s="214"/>
      <c r="C105" s="215"/>
      <c r="D105" s="215"/>
      <c r="E105" s="215"/>
      <c r="F105" s="215"/>
      <c r="G105" s="215"/>
      <c r="H105" s="160"/>
    </row>
    <row r="106" spans="1:8">
      <c r="A106" s="213"/>
      <c r="B106" s="214"/>
      <c r="C106" s="215"/>
      <c r="D106" s="215"/>
      <c r="E106" s="215"/>
      <c r="F106" s="215"/>
      <c r="G106" s="215"/>
      <c r="H106" s="160"/>
    </row>
    <row r="107" spans="1:8">
      <c r="A107" s="213"/>
      <c r="B107" s="214"/>
      <c r="C107" s="215"/>
      <c r="D107" s="215"/>
      <c r="E107" s="215"/>
      <c r="F107" s="215"/>
      <c r="G107" s="215"/>
      <c r="H107" s="160"/>
    </row>
    <row r="108" spans="1:8">
      <c r="A108" s="213"/>
      <c r="B108" s="214"/>
      <c r="C108" s="215"/>
      <c r="D108" s="215"/>
      <c r="E108" s="215"/>
      <c r="F108" s="215"/>
      <c r="G108" s="215"/>
      <c r="H108" s="160"/>
    </row>
    <row r="109" spans="1:8">
      <c r="A109" s="213"/>
      <c r="B109" s="214"/>
      <c r="C109" s="215"/>
      <c r="D109" s="215"/>
      <c r="E109" s="215"/>
      <c r="F109" s="215"/>
      <c r="G109" s="215"/>
      <c r="H109" s="160"/>
    </row>
    <row r="110" spans="1:8">
      <c r="A110" s="213"/>
      <c r="B110" s="214"/>
      <c r="C110" s="215"/>
      <c r="D110" s="215"/>
      <c r="E110" s="215"/>
      <c r="F110" s="215"/>
      <c r="G110" s="215"/>
      <c r="H110" s="160"/>
    </row>
    <row r="111" spans="1:8">
      <c r="A111" s="213"/>
      <c r="B111" s="214"/>
      <c r="C111" s="215"/>
      <c r="D111" s="215"/>
      <c r="E111" s="215"/>
      <c r="F111" s="215"/>
      <c r="G111" s="215"/>
      <c r="H111" s="160"/>
    </row>
    <row r="112" spans="1:8">
      <c r="A112" s="213"/>
      <c r="B112" s="214"/>
      <c r="C112" s="215"/>
      <c r="D112" s="215"/>
      <c r="E112" s="215"/>
      <c r="F112" s="215"/>
      <c r="G112" s="215"/>
      <c r="H112" s="160"/>
    </row>
    <row r="113" spans="1:8">
      <c r="A113" s="213"/>
      <c r="B113" s="214"/>
      <c r="C113" s="215"/>
      <c r="D113" s="215"/>
      <c r="E113" s="215"/>
      <c r="F113" s="215"/>
      <c r="G113" s="215"/>
      <c r="H113" s="160"/>
    </row>
    <row r="114" spans="1:8">
      <c r="A114" s="213"/>
      <c r="B114" s="214"/>
      <c r="C114" s="215"/>
      <c r="D114" s="215"/>
      <c r="E114" s="215"/>
      <c r="F114" s="215"/>
      <c r="G114" s="215"/>
      <c r="H114" s="160"/>
    </row>
    <row r="115" spans="1:8">
      <c r="A115" s="213"/>
      <c r="B115" s="214"/>
      <c r="C115" s="215"/>
      <c r="D115" s="215"/>
      <c r="E115" s="215"/>
      <c r="F115" s="215"/>
      <c r="G115" s="215"/>
      <c r="H115" s="160"/>
    </row>
    <row r="116" spans="1:8">
      <c r="A116" s="213"/>
      <c r="B116" s="214"/>
      <c r="C116" s="215"/>
      <c r="D116" s="215"/>
      <c r="E116" s="215"/>
      <c r="F116" s="215"/>
      <c r="G116" s="215"/>
      <c r="H116" s="160"/>
    </row>
    <row r="117" spans="1:8">
      <c r="A117" s="213"/>
      <c r="B117" s="214"/>
      <c r="C117" s="215"/>
      <c r="D117" s="215"/>
      <c r="E117" s="215"/>
      <c r="F117" s="215"/>
      <c r="G117" s="215"/>
      <c r="H117" s="160"/>
    </row>
    <row r="118" spans="1:8">
      <c r="A118" s="213"/>
      <c r="B118" s="214"/>
      <c r="C118" s="215"/>
      <c r="D118" s="215"/>
      <c r="E118" s="215"/>
      <c r="F118" s="215"/>
      <c r="G118" s="215"/>
      <c r="H118" s="160"/>
    </row>
    <row r="119" spans="1:8">
      <c r="A119" s="213"/>
      <c r="B119" s="214"/>
      <c r="C119" s="215"/>
      <c r="D119" s="215"/>
      <c r="E119" s="215"/>
      <c r="F119" s="215"/>
      <c r="G119" s="215"/>
      <c r="H119" s="160"/>
    </row>
    <row r="120" spans="1:8">
      <c r="A120" s="213"/>
      <c r="B120" s="214"/>
      <c r="C120" s="215"/>
      <c r="D120" s="215"/>
      <c r="E120" s="215"/>
      <c r="F120" s="215"/>
      <c r="G120" s="215"/>
      <c r="H120" s="160"/>
    </row>
    <row r="121" spans="1:8">
      <c r="A121" s="213"/>
      <c r="B121" s="214"/>
      <c r="C121" s="215"/>
      <c r="D121" s="215"/>
      <c r="E121" s="215"/>
      <c r="F121" s="215"/>
      <c r="G121" s="215"/>
      <c r="H121" s="160"/>
    </row>
    <row r="122" spans="1:8">
      <c r="A122" s="213"/>
      <c r="B122" s="214"/>
      <c r="C122" s="215"/>
      <c r="D122" s="215"/>
      <c r="E122" s="215"/>
      <c r="F122" s="215"/>
      <c r="G122" s="215"/>
      <c r="H122" s="160"/>
    </row>
    <row r="123" spans="1:8">
      <c r="A123" s="213"/>
      <c r="B123" s="214"/>
      <c r="C123" s="215"/>
      <c r="D123" s="215"/>
      <c r="E123" s="215"/>
      <c r="F123" s="215"/>
      <c r="G123" s="215"/>
      <c r="H123" s="160"/>
    </row>
    <row r="124" spans="1:8">
      <c r="A124" s="213"/>
      <c r="B124" s="214"/>
      <c r="C124" s="215"/>
      <c r="D124" s="215"/>
      <c r="E124" s="215"/>
      <c r="F124" s="215"/>
      <c r="G124" s="215"/>
      <c r="H124" s="160"/>
    </row>
    <row r="125" spans="1:8">
      <c r="A125" s="213"/>
      <c r="B125" s="214"/>
      <c r="C125" s="215"/>
      <c r="D125" s="215"/>
      <c r="E125" s="215"/>
      <c r="F125" s="215"/>
      <c r="G125" s="215"/>
      <c r="H125" s="160"/>
    </row>
    <row r="126" spans="1:8">
      <c r="A126" s="213"/>
      <c r="B126" s="214"/>
      <c r="C126" s="215"/>
      <c r="D126" s="215"/>
      <c r="E126" s="215"/>
      <c r="F126" s="215"/>
      <c r="G126" s="215"/>
      <c r="H126" s="160"/>
    </row>
    <row r="127" spans="1:8">
      <c r="A127" s="213"/>
      <c r="B127" s="214"/>
      <c r="C127" s="215"/>
      <c r="D127" s="215"/>
      <c r="E127" s="215"/>
      <c r="F127" s="215"/>
      <c r="G127" s="215"/>
      <c r="H127" s="160"/>
    </row>
    <row r="128" spans="1:8">
      <c r="A128" s="213"/>
      <c r="B128" s="214"/>
      <c r="C128" s="215"/>
      <c r="D128" s="215"/>
      <c r="E128" s="215"/>
      <c r="F128" s="215"/>
      <c r="G128" s="215"/>
      <c r="H128" s="160"/>
    </row>
    <row r="129" spans="1:8">
      <c r="A129" s="213"/>
      <c r="B129" s="214"/>
      <c r="C129" s="215"/>
      <c r="D129" s="215"/>
      <c r="E129" s="215"/>
      <c r="F129" s="215"/>
      <c r="G129" s="215"/>
      <c r="H129" s="160"/>
    </row>
    <row r="130" spans="1:8">
      <c r="A130" s="213"/>
      <c r="B130" s="214"/>
      <c r="C130" s="215"/>
      <c r="D130" s="215"/>
      <c r="E130" s="215"/>
      <c r="F130" s="215"/>
      <c r="G130" s="215"/>
      <c r="H130" s="160"/>
    </row>
    <row r="131" spans="1:8">
      <c r="A131" s="213"/>
      <c r="B131" s="214"/>
      <c r="C131" s="215"/>
      <c r="D131" s="215"/>
      <c r="E131" s="215"/>
      <c r="F131" s="215"/>
      <c r="G131" s="215"/>
      <c r="H131" s="160"/>
    </row>
    <row r="132" spans="1:8">
      <c r="A132" s="213"/>
      <c r="B132" s="214"/>
      <c r="C132" s="215"/>
      <c r="D132" s="215"/>
      <c r="E132" s="215"/>
      <c r="F132" s="215"/>
      <c r="G132" s="215"/>
      <c r="H132" s="160"/>
    </row>
    <row r="133" spans="1:8">
      <c r="A133" s="213"/>
      <c r="B133" s="214"/>
      <c r="C133" s="215"/>
      <c r="D133" s="215"/>
      <c r="E133" s="215"/>
      <c r="F133" s="215"/>
      <c r="G133" s="215"/>
      <c r="H133" s="160"/>
    </row>
    <row r="134" spans="1:8">
      <c r="A134" s="213"/>
      <c r="B134" s="214"/>
      <c r="C134" s="215"/>
      <c r="D134" s="215"/>
      <c r="E134" s="215"/>
      <c r="F134" s="215"/>
      <c r="G134" s="215"/>
      <c r="H134" s="160"/>
    </row>
    <row r="135" spans="1:8">
      <c r="A135" s="213"/>
      <c r="B135" s="214"/>
      <c r="C135" s="215"/>
      <c r="D135" s="215"/>
      <c r="E135" s="215"/>
      <c r="F135" s="215"/>
      <c r="G135" s="215"/>
      <c r="H135" s="160"/>
    </row>
    <row r="136" spans="1:8">
      <c r="A136" s="213"/>
      <c r="B136" s="214"/>
      <c r="C136" s="215"/>
      <c r="D136" s="215"/>
      <c r="E136" s="215"/>
      <c r="F136" s="215"/>
      <c r="G136" s="215"/>
      <c r="H136" s="160"/>
    </row>
    <row r="137" spans="1:8">
      <c r="A137" s="213"/>
      <c r="B137" s="214"/>
      <c r="C137" s="215"/>
      <c r="D137" s="215"/>
      <c r="E137" s="215"/>
      <c r="F137" s="215"/>
      <c r="G137" s="215"/>
      <c r="H137" s="160"/>
    </row>
    <row r="138" spans="1:8">
      <c r="A138" s="213"/>
      <c r="B138" s="214"/>
      <c r="C138" s="215"/>
      <c r="D138" s="215"/>
      <c r="E138" s="215"/>
      <c r="F138" s="215"/>
      <c r="G138" s="215"/>
      <c r="H138" s="160"/>
    </row>
    <row r="139" spans="1:8">
      <c r="A139" s="213"/>
      <c r="B139" s="214"/>
      <c r="C139" s="215"/>
      <c r="D139" s="215"/>
      <c r="E139" s="215"/>
      <c r="F139" s="215"/>
      <c r="G139" s="215"/>
      <c r="H139" s="160"/>
    </row>
    <row r="140" spans="1:8">
      <c r="A140" s="213"/>
      <c r="B140" s="214"/>
      <c r="C140" s="215"/>
      <c r="D140" s="215"/>
      <c r="E140" s="215"/>
      <c r="F140" s="215"/>
      <c r="G140" s="215"/>
      <c r="H140" s="160"/>
    </row>
    <row r="141" spans="1:8">
      <c r="A141" s="213"/>
      <c r="B141" s="214"/>
      <c r="C141" s="215"/>
      <c r="D141" s="215"/>
      <c r="E141" s="215"/>
      <c r="F141" s="215"/>
      <c r="G141" s="215"/>
      <c r="H141" s="160"/>
    </row>
    <row r="142" spans="1:8">
      <c r="A142" s="213"/>
      <c r="B142" s="214"/>
      <c r="C142" s="215"/>
      <c r="D142" s="215"/>
      <c r="E142" s="215"/>
      <c r="F142" s="215"/>
      <c r="G142" s="215"/>
      <c r="H142" s="160"/>
    </row>
    <row r="143" spans="1:8">
      <c r="A143" s="213"/>
      <c r="B143" s="214"/>
      <c r="C143" s="215"/>
      <c r="D143" s="215"/>
      <c r="E143" s="215"/>
      <c r="F143" s="215"/>
      <c r="G143" s="215"/>
      <c r="H143" s="160"/>
    </row>
    <row r="144" spans="1:8">
      <c r="A144" s="213"/>
      <c r="B144" s="214"/>
      <c r="C144" s="215"/>
      <c r="D144" s="215"/>
      <c r="E144" s="215"/>
      <c r="F144" s="215"/>
      <c r="G144" s="215"/>
      <c r="H144" s="160"/>
    </row>
    <row r="145" spans="1:8">
      <c r="A145" s="213"/>
      <c r="B145" s="214"/>
      <c r="C145" s="215"/>
      <c r="D145" s="215"/>
      <c r="E145" s="215"/>
      <c r="F145" s="215"/>
      <c r="G145" s="215"/>
      <c r="H145" s="160"/>
    </row>
    <row r="146" spans="1:8">
      <c r="A146" s="213"/>
      <c r="B146" s="214"/>
      <c r="C146" s="215"/>
      <c r="D146" s="215"/>
      <c r="E146" s="215"/>
      <c r="F146" s="215"/>
      <c r="G146" s="215"/>
      <c r="H146" s="160"/>
    </row>
    <row r="147" spans="1:8">
      <c r="A147" s="213"/>
      <c r="B147" s="214"/>
      <c r="C147" s="215"/>
      <c r="D147" s="215"/>
      <c r="E147" s="215"/>
      <c r="F147" s="215"/>
      <c r="G147" s="215"/>
      <c r="H147" s="160"/>
    </row>
    <row r="148" spans="1:8">
      <c r="A148" s="213"/>
      <c r="B148" s="214"/>
      <c r="C148" s="215"/>
      <c r="D148" s="215"/>
      <c r="E148" s="215"/>
      <c r="F148" s="215"/>
      <c r="G148" s="215"/>
      <c r="H148" s="160"/>
    </row>
    <row r="149" spans="1:8">
      <c r="A149" s="213"/>
      <c r="B149" s="214"/>
      <c r="C149" s="215"/>
      <c r="D149" s="215"/>
      <c r="E149" s="215"/>
      <c r="F149" s="215"/>
      <c r="G149" s="215"/>
      <c r="H149" s="160"/>
    </row>
    <row r="150" spans="1:8">
      <c r="A150" s="213"/>
      <c r="B150" s="214"/>
      <c r="C150" s="215"/>
      <c r="D150" s="215"/>
      <c r="E150" s="215"/>
      <c r="F150" s="215"/>
      <c r="G150" s="215"/>
      <c r="H150" s="160"/>
    </row>
    <row r="151" spans="1:8">
      <c r="A151" s="213"/>
      <c r="B151" s="214"/>
      <c r="C151" s="215"/>
      <c r="D151" s="215"/>
      <c r="E151" s="215"/>
      <c r="F151" s="215"/>
      <c r="G151" s="215"/>
      <c r="H151" s="160"/>
    </row>
    <row r="152" spans="1:8">
      <c r="A152" s="213"/>
      <c r="B152" s="214"/>
      <c r="C152" s="215"/>
      <c r="D152" s="215"/>
      <c r="E152" s="215"/>
      <c r="F152" s="215"/>
      <c r="G152" s="215"/>
      <c r="H152" s="160"/>
    </row>
    <row r="153" spans="1:8">
      <c r="A153" s="213"/>
      <c r="B153" s="214"/>
      <c r="C153" s="215"/>
      <c r="D153" s="215"/>
      <c r="E153" s="215"/>
      <c r="F153" s="215"/>
      <c r="G153" s="215"/>
      <c r="H153" s="160"/>
    </row>
    <row r="154" spans="1:8">
      <c r="A154" s="213"/>
      <c r="B154" s="214"/>
      <c r="C154" s="215"/>
      <c r="D154" s="215"/>
      <c r="E154" s="215"/>
      <c r="F154" s="215"/>
      <c r="G154" s="215"/>
      <c r="H154" s="160"/>
    </row>
    <row r="155" spans="1:8">
      <c r="A155" s="213"/>
      <c r="B155" s="214"/>
      <c r="C155" s="215"/>
      <c r="D155" s="215"/>
      <c r="E155" s="215"/>
      <c r="F155" s="215"/>
      <c r="G155" s="215"/>
      <c r="H155" s="160"/>
    </row>
    <row r="156" spans="1:8">
      <c r="A156" s="213"/>
      <c r="B156" s="214"/>
      <c r="C156" s="215"/>
      <c r="D156" s="215"/>
      <c r="E156" s="215"/>
      <c r="F156" s="215"/>
      <c r="G156" s="215"/>
      <c r="H156" s="160"/>
    </row>
    <row r="157" spans="1:8">
      <c r="A157" s="213"/>
      <c r="B157" s="214"/>
      <c r="C157" s="215"/>
      <c r="D157" s="215"/>
      <c r="E157" s="215"/>
      <c r="F157" s="215"/>
      <c r="G157" s="215"/>
      <c r="H157" s="160"/>
    </row>
    <row r="158" spans="1:8">
      <c r="A158" s="213"/>
      <c r="B158" s="214"/>
      <c r="C158" s="215"/>
      <c r="D158" s="215"/>
      <c r="E158" s="215"/>
      <c r="F158" s="215"/>
      <c r="G158" s="215"/>
      <c r="H158" s="160"/>
    </row>
    <row r="159" spans="1:8">
      <c r="A159" s="213"/>
      <c r="B159" s="214"/>
      <c r="C159" s="215"/>
      <c r="D159" s="215"/>
      <c r="E159" s="215"/>
      <c r="F159" s="215"/>
      <c r="G159" s="215"/>
      <c r="H159" s="160"/>
    </row>
    <row r="160" spans="1:8">
      <c r="A160" s="213"/>
      <c r="B160" s="214"/>
      <c r="C160" s="215"/>
      <c r="D160" s="215"/>
      <c r="E160" s="215"/>
      <c r="F160" s="215"/>
      <c r="G160" s="215"/>
      <c r="H160" s="160"/>
    </row>
    <row r="161" spans="1:8">
      <c r="A161" s="213"/>
      <c r="B161" s="214"/>
      <c r="C161" s="215"/>
      <c r="D161" s="215"/>
      <c r="E161" s="215"/>
      <c r="F161" s="215"/>
      <c r="G161" s="215"/>
      <c r="H161" s="160"/>
    </row>
    <row r="162" spans="1:8">
      <c r="A162" s="213"/>
      <c r="B162" s="214"/>
      <c r="C162" s="215"/>
      <c r="D162" s="215"/>
      <c r="E162" s="215"/>
      <c r="F162" s="215"/>
      <c r="G162" s="215"/>
      <c r="H162" s="160"/>
    </row>
    <row r="163" spans="1:8">
      <c r="A163" s="213"/>
      <c r="B163" s="214"/>
      <c r="C163" s="215"/>
      <c r="D163" s="215"/>
      <c r="E163" s="215"/>
      <c r="F163" s="215"/>
      <c r="G163" s="215"/>
      <c r="H163" s="160"/>
    </row>
    <row r="164" spans="1:8">
      <c r="A164" s="213"/>
      <c r="B164" s="214"/>
      <c r="C164" s="215"/>
      <c r="D164" s="215"/>
      <c r="E164" s="215"/>
      <c r="F164" s="215"/>
      <c r="G164" s="215"/>
      <c r="H164" s="160"/>
    </row>
    <row r="165" spans="1:8">
      <c r="A165" s="213"/>
      <c r="B165" s="214"/>
      <c r="C165" s="215"/>
      <c r="D165" s="215"/>
      <c r="E165" s="215"/>
      <c r="F165" s="215"/>
      <c r="G165" s="215"/>
      <c r="H165" s="160"/>
    </row>
    <row r="166" spans="1:8">
      <c r="A166" s="213"/>
      <c r="B166" s="214"/>
      <c r="C166" s="215"/>
      <c r="D166" s="215"/>
      <c r="E166" s="215"/>
      <c r="F166" s="215"/>
      <c r="G166" s="215"/>
      <c r="H166" s="160"/>
    </row>
    <row r="167" spans="1:8">
      <c r="A167" s="213"/>
      <c r="B167" s="214"/>
      <c r="C167" s="215"/>
      <c r="D167" s="215"/>
      <c r="E167" s="215"/>
      <c r="F167" s="215"/>
      <c r="G167" s="215"/>
      <c r="H167" s="160"/>
    </row>
    <row r="168" spans="1:8">
      <c r="A168" s="213"/>
      <c r="B168" s="214"/>
      <c r="C168" s="215"/>
      <c r="D168" s="215"/>
      <c r="E168" s="215"/>
      <c r="F168" s="215"/>
      <c r="G168" s="215"/>
      <c r="H168" s="160"/>
    </row>
    <row r="169" spans="1:8">
      <c r="A169" s="213"/>
      <c r="B169" s="214"/>
      <c r="C169" s="215"/>
      <c r="D169" s="215"/>
      <c r="E169" s="215"/>
      <c r="F169" s="215"/>
      <c r="G169" s="215"/>
      <c r="H169" s="160"/>
    </row>
    <row r="170" spans="1:8">
      <c r="A170" s="213"/>
      <c r="B170" s="214"/>
      <c r="C170" s="215"/>
      <c r="D170" s="215"/>
      <c r="E170" s="215"/>
      <c r="F170" s="215"/>
      <c r="G170" s="215"/>
      <c r="H170" s="160"/>
    </row>
    <row r="171" spans="1:8">
      <c r="A171" s="213"/>
      <c r="B171" s="214"/>
      <c r="C171" s="215"/>
      <c r="D171" s="215"/>
      <c r="E171" s="215"/>
      <c r="F171" s="215"/>
      <c r="G171" s="215"/>
      <c r="H171" s="160"/>
    </row>
    <row r="172" spans="1:8">
      <c r="A172" s="213"/>
      <c r="B172" s="214"/>
      <c r="C172" s="215"/>
      <c r="D172" s="215"/>
      <c r="E172" s="215"/>
      <c r="F172" s="215"/>
      <c r="G172" s="215"/>
      <c r="H172" s="160"/>
    </row>
    <row r="173" spans="1:8">
      <c r="A173" s="213"/>
      <c r="B173" s="214"/>
      <c r="C173" s="215"/>
      <c r="D173" s="215"/>
      <c r="E173" s="215"/>
      <c r="F173" s="215"/>
      <c r="G173" s="215"/>
      <c r="H173" s="160"/>
    </row>
    <row r="174" spans="1:8">
      <c r="A174" s="213"/>
      <c r="B174" s="214"/>
      <c r="C174" s="215"/>
      <c r="D174" s="215"/>
      <c r="E174" s="215"/>
      <c r="F174" s="215"/>
      <c r="G174" s="215"/>
      <c r="H174" s="160"/>
    </row>
    <row r="175" spans="1:8">
      <c r="A175" s="213"/>
      <c r="B175" s="214"/>
      <c r="C175" s="215"/>
      <c r="D175" s="215"/>
      <c r="E175" s="215"/>
      <c r="F175" s="215"/>
      <c r="G175" s="215"/>
      <c r="H175" s="160"/>
    </row>
    <row r="176" spans="1:8">
      <c r="A176" s="213"/>
      <c r="B176" s="214"/>
      <c r="C176" s="215"/>
      <c r="D176" s="215"/>
      <c r="E176" s="215"/>
      <c r="F176" s="215"/>
      <c r="G176" s="215"/>
      <c r="H176" s="160"/>
    </row>
    <row r="177" spans="1:8">
      <c r="A177" s="213"/>
      <c r="B177" s="214"/>
      <c r="C177" s="215"/>
      <c r="D177" s="215"/>
      <c r="E177" s="215"/>
      <c r="F177" s="215"/>
      <c r="G177" s="215"/>
      <c r="H177" s="160"/>
    </row>
    <row r="178" spans="1:8">
      <c r="A178" s="213"/>
      <c r="B178" s="214"/>
      <c r="C178" s="215"/>
      <c r="D178" s="215"/>
      <c r="E178" s="215"/>
      <c r="F178" s="215"/>
      <c r="G178" s="215"/>
      <c r="H178" s="160"/>
    </row>
    <row r="179" spans="1:8">
      <c r="A179" s="213"/>
      <c r="B179" s="214"/>
      <c r="C179" s="215"/>
      <c r="D179" s="215"/>
      <c r="E179" s="215"/>
      <c r="F179" s="215"/>
      <c r="G179" s="215"/>
      <c r="H179" s="160"/>
    </row>
    <row r="180" spans="1:8">
      <c r="A180" s="213"/>
      <c r="B180" s="214"/>
      <c r="C180" s="215"/>
      <c r="D180" s="215"/>
      <c r="E180" s="215"/>
      <c r="F180" s="215"/>
      <c r="G180" s="215"/>
      <c r="H180" s="160"/>
    </row>
    <row r="181" spans="1:8">
      <c r="A181" s="213"/>
      <c r="B181" s="214"/>
      <c r="C181" s="215"/>
      <c r="D181" s="215"/>
      <c r="E181" s="215"/>
      <c r="F181" s="215"/>
      <c r="G181" s="215"/>
      <c r="H181" s="160"/>
    </row>
    <row r="182" spans="1:8">
      <c r="A182" s="213"/>
      <c r="B182" s="214"/>
      <c r="C182" s="215"/>
      <c r="D182" s="215"/>
      <c r="E182" s="215"/>
      <c r="F182" s="215"/>
      <c r="G182" s="215"/>
      <c r="H182" s="160"/>
    </row>
    <row r="183" spans="1:8">
      <c r="A183" s="213"/>
      <c r="B183" s="214"/>
      <c r="C183" s="215"/>
      <c r="D183" s="215"/>
      <c r="E183" s="215"/>
      <c r="F183" s="215"/>
      <c r="G183" s="215"/>
      <c r="H183" s="160"/>
    </row>
    <row r="184" spans="1:8">
      <c r="A184" s="213"/>
      <c r="B184" s="214"/>
      <c r="C184" s="215"/>
      <c r="D184" s="215"/>
      <c r="E184" s="215"/>
      <c r="F184" s="215"/>
      <c r="G184" s="215"/>
      <c r="H184" s="160"/>
    </row>
    <row r="185" spans="1:8">
      <c r="A185" s="213"/>
      <c r="B185" s="214"/>
      <c r="C185" s="215"/>
      <c r="D185" s="215"/>
      <c r="E185" s="215"/>
      <c r="F185" s="215"/>
      <c r="G185" s="215"/>
      <c r="H185" s="160"/>
    </row>
    <row r="186" spans="1:8">
      <c r="A186" s="213"/>
      <c r="B186" s="214"/>
      <c r="C186" s="215"/>
      <c r="D186" s="215"/>
      <c r="E186" s="215"/>
      <c r="F186" s="215"/>
      <c r="G186" s="215"/>
      <c r="H186" s="160"/>
    </row>
    <row r="187" spans="1:8">
      <c r="A187" s="213"/>
      <c r="B187" s="214"/>
      <c r="C187" s="215"/>
      <c r="D187" s="215"/>
      <c r="E187" s="215"/>
      <c r="F187" s="215"/>
      <c r="G187" s="215"/>
      <c r="H187" s="160"/>
    </row>
    <row r="188" spans="1:8">
      <c r="A188" s="213"/>
      <c r="B188" s="214"/>
      <c r="C188" s="215"/>
      <c r="D188" s="215"/>
      <c r="E188" s="215"/>
      <c r="F188" s="215"/>
      <c r="G188" s="215"/>
      <c r="H188" s="160"/>
    </row>
    <row r="189" spans="1:8">
      <c r="A189" s="213"/>
      <c r="B189" s="214"/>
      <c r="C189" s="215"/>
      <c r="D189" s="215"/>
      <c r="E189" s="215"/>
      <c r="F189" s="215"/>
      <c r="G189" s="215"/>
      <c r="H189" s="160"/>
    </row>
    <row r="190" spans="1:8">
      <c r="A190" s="213"/>
      <c r="B190" s="214"/>
      <c r="C190" s="215"/>
      <c r="D190" s="215"/>
      <c r="E190" s="215"/>
      <c r="F190" s="215"/>
      <c r="G190" s="215"/>
      <c r="H190" s="160"/>
    </row>
    <row r="191" spans="1:8">
      <c r="A191" s="213"/>
      <c r="B191" s="214"/>
      <c r="C191" s="215"/>
      <c r="D191" s="215"/>
      <c r="E191" s="215"/>
      <c r="F191" s="215"/>
      <c r="G191" s="215"/>
      <c r="H191" s="160"/>
    </row>
    <row r="192" spans="1:8">
      <c r="A192" s="213"/>
      <c r="B192" s="214"/>
      <c r="C192" s="215"/>
      <c r="D192" s="215"/>
      <c r="E192" s="215"/>
      <c r="F192" s="215"/>
      <c r="G192" s="215"/>
      <c r="H192" s="160"/>
    </row>
    <row r="193" spans="1:8">
      <c r="A193" s="213"/>
      <c r="B193" s="214"/>
      <c r="C193" s="215"/>
      <c r="D193" s="215"/>
      <c r="E193" s="215"/>
      <c r="F193" s="215"/>
      <c r="G193" s="215"/>
      <c r="H193" s="160"/>
    </row>
    <row r="194" spans="1:8">
      <c r="A194" s="213"/>
      <c r="B194" s="214"/>
      <c r="C194" s="215"/>
      <c r="D194" s="215"/>
      <c r="E194" s="215"/>
      <c r="F194" s="215"/>
      <c r="G194" s="215"/>
      <c r="H194" s="160"/>
    </row>
    <row r="195" spans="1:8">
      <c r="A195" s="213"/>
      <c r="B195" s="214"/>
      <c r="C195" s="215"/>
      <c r="D195" s="215"/>
      <c r="E195" s="215"/>
      <c r="F195" s="215"/>
      <c r="G195" s="215"/>
      <c r="H195" s="160"/>
    </row>
    <row r="196" spans="1:8">
      <c r="A196" s="213"/>
      <c r="B196" s="214"/>
      <c r="C196" s="215"/>
      <c r="D196" s="215"/>
      <c r="E196" s="215"/>
      <c r="F196" s="215"/>
      <c r="G196" s="215"/>
      <c r="H196" s="160"/>
    </row>
    <row r="197" spans="1:8">
      <c r="A197" s="213"/>
      <c r="B197" s="214"/>
      <c r="C197" s="215"/>
      <c r="D197" s="215"/>
      <c r="E197" s="215"/>
      <c r="F197" s="215"/>
      <c r="G197" s="215"/>
      <c r="H197" s="160"/>
    </row>
    <row r="198" spans="1:8">
      <c r="A198" s="213"/>
      <c r="B198" s="214"/>
      <c r="C198" s="215"/>
      <c r="D198" s="215"/>
      <c r="E198" s="215"/>
      <c r="F198" s="215"/>
      <c r="G198" s="215"/>
      <c r="H198" s="160"/>
    </row>
    <row r="199" spans="1:8">
      <c r="A199" s="213"/>
      <c r="B199" s="214"/>
      <c r="C199" s="215"/>
      <c r="D199" s="215"/>
      <c r="E199" s="215"/>
      <c r="F199" s="215"/>
      <c r="G199" s="215"/>
      <c r="H199" s="160"/>
    </row>
    <row r="200" spans="1:8">
      <c r="A200" s="213"/>
      <c r="B200" s="214"/>
      <c r="C200" s="215"/>
      <c r="D200" s="215"/>
      <c r="E200" s="215"/>
      <c r="F200" s="215"/>
      <c r="G200" s="215"/>
      <c r="H200" s="160"/>
    </row>
    <row r="201" spans="1:8">
      <c r="A201" s="213"/>
      <c r="B201" s="214"/>
      <c r="C201" s="215"/>
      <c r="D201" s="215"/>
      <c r="E201" s="215"/>
      <c r="F201" s="215"/>
      <c r="G201" s="215"/>
      <c r="H201" s="160"/>
    </row>
    <row r="202" spans="1:8">
      <c r="A202" s="213"/>
      <c r="B202" s="214"/>
      <c r="C202" s="215"/>
      <c r="D202" s="215"/>
      <c r="E202" s="215"/>
      <c r="F202" s="215"/>
      <c r="G202" s="215"/>
      <c r="H202" s="160"/>
    </row>
    <row r="203" spans="1:8">
      <c r="A203" s="213"/>
      <c r="B203" s="214"/>
      <c r="C203" s="215"/>
      <c r="D203" s="215"/>
      <c r="E203" s="215"/>
      <c r="F203" s="215"/>
      <c r="G203" s="215"/>
      <c r="H203" s="160"/>
    </row>
    <row r="204" spans="1:8">
      <c r="A204" s="213"/>
      <c r="B204" s="214"/>
      <c r="C204" s="215"/>
      <c r="D204" s="215"/>
      <c r="E204" s="215"/>
      <c r="F204" s="215"/>
      <c r="G204" s="215"/>
      <c r="H204" s="160"/>
    </row>
    <row r="205" spans="1:8">
      <c r="A205" s="213"/>
      <c r="B205" s="214"/>
      <c r="C205" s="215"/>
      <c r="D205" s="215"/>
      <c r="E205" s="215"/>
      <c r="F205" s="215"/>
      <c r="G205" s="215"/>
      <c r="H205" s="160"/>
    </row>
    <row r="206" spans="1:8">
      <c r="A206" s="213"/>
      <c r="B206" s="214"/>
      <c r="C206" s="215"/>
      <c r="D206" s="215"/>
      <c r="E206" s="215"/>
      <c r="F206" s="215"/>
      <c r="G206" s="215"/>
      <c r="H206" s="160"/>
    </row>
    <row r="207" spans="1:8">
      <c r="A207" s="213"/>
      <c r="B207" s="214"/>
      <c r="C207" s="215"/>
      <c r="D207" s="215"/>
      <c r="E207" s="215"/>
      <c r="F207" s="215"/>
      <c r="G207" s="215"/>
      <c r="H207" s="160"/>
    </row>
    <row r="208" spans="1:8">
      <c r="A208" s="213"/>
      <c r="B208" s="214"/>
      <c r="C208" s="215"/>
      <c r="D208" s="215"/>
      <c r="E208" s="215"/>
      <c r="F208" s="215"/>
      <c r="G208" s="215"/>
      <c r="H208" s="160"/>
    </row>
    <row r="209" spans="1:8">
      <c r="A209" s="213"/>
      <c r="B209" s="214"/>
      <c r="C209" s="215"/>
      <c r="D209" s="215"/>
      <c r="E209" s="215"/>
      <c r="F209" s="215"/>
      <c r="G209" s="215"/>
      <c r="H209" s="160"/>
    </row>
    <row r="210" spans="1:8">
      <c r="A210" s="213"/>
      <c r="B210" s="214"/>
      <c r="C210" s="215"/>
      <c r="D210" s="215"/>
      <c r="E210" s="215"/>
      <c r="F210" s="215"/>
      <c r="G210" s="215"/>
      <c r="H210" s="160"/>
    </row>
    <row r="211" spans="1:8">
      <c r="A211" s="213"/>
      <c r="B211" s="214"/>
      <c r="C211" s="215"/>
      <c r="D211" s="215"/>
      <c r="E211" s="215"/>
      <c r="F211" s="215"/>
      <c r="G211" s="215"/>
      <c r="H211" s="160"/>
    </row>
    <row r="212" spans="1:8">
      <c r="A212" s="213"/>
      <c r="B212" s="214"/>
      <c r="C212" s="215"/>
      <c r="D212" s="215"/>
      <c r="E212" s="215"/>
      <c r="F212" s="215"/>
      <c r="G212" s="215"/>
      <c r="H212" s="160"/>
    </row>
    <row r="213" spans="1:8">
      <c r="A213" s="213"/>
      <c r="B213" s="214"/>
      <c r="C213" s="215"/>
      <c r="D213" s="215"/>
      <c r="E213" s="215"/>
      <c r="F213" s="215"/>
      <c r="G213" s="215"/>
      <c r="H213" s="160"/>
    </row>
    <row r="214" spans="1:8">
      <c r="A214" s="213"/>
      <c r="B214" s="214"/>
      <c r="C214" s="215"/>
      <c r="D214" s="215"/>
      <c r="E214" s="215"/>
      <c r="F214" s="215"/>
      <c r="G214" s="215"/>
      <c r="H214" s="160"/>
    </row>
    <row r="215" spans="1:8">
      <c r="A215" s="213"/>
      <c r="B215" s="214"/>
      <c r="C215" s="215"/>
      <c r="D215" s="215"/>
      <c r="E215" s="215"/>
      <c r="F215" s="215"/>
      <c r="G215" s="215"/>
      <c r="H215" s="160"/>
    </row>
    <row r="216" spans="1:8">
      <c r="A216" s="213"/>
      <c r="B216" s="214"/>
      <c r="C216" s="215"/>
      <c r="D216" s="215"/>
      <c r="E216" s="215"/>
      <c r="F216" s="215"/>
      <c r="G216" s="215"/>
      <c r="H216" s="160"/>
    </row>
    <row r="217" spans="1:8">
      <c r="A217" s="213"/>
      <c r="B217" s="214"/>
      <c r="C217" s="215"/>
      <c r="D217" s="215"/>
      <c r="E217" s="215"/>
      <c r="F217" s="215"/>
      <c r="G217" s="215"/>
      <c r="H217" s="160"/>
    </row>
    <row r="218" spans="1:8">
      <c r="A218" s="213"/>
      <c r="B218" s="214"/>
      <c r="C218" s="215"/>
      <c r="D218" s="215"/>
      <c r="E218" s="215"/>
      <c r="F218" s="215"/>
      <c r="G218" s="215"/>
      <c r="H218" s="160"/>
    </row>
    <row r="219" spans="1:8">
      <c r="A219" s="213"/>
      <c r="B219" s="214"/>
      <c r="C219" s="215"/>
      <c r="D219" s="215"/>
      <c r="E219" s="215"/>
      <c r="F219" s="215"/>
      <c r="G219" s="215"/>
      <c r="H219" s="160"/>
    </row>
    <row r="220" spans="1:8">
      <c r="A220" s="213"/>
      <c r="B220" s="214"/>
      <c r="C220" s="215"/>
      <c r="D220" s="215"/>
      <c r="E220" s="215"/>
      <c r="F220" s="215"/>
      <c r="G220" s="215"/>
      <c r="H220" s="160"/>
    </row>
    <row r="221" spans="1:8">
      <c r="A221" s="213"/>
      <c r="B221" s="214"/>
      <c r="C221" s="215"/>
      <c r="D221" s="215"/>
      <c r="E221" s="215"/>
      <c r="F221" s="215"/>
      <c r="G221" s="215"/>
      <c r="H221" s="160"/>
    </row>
    <row r="222" spans="1:8">
      <c r="A222" s="213"/>
      <c r="B222" s="214"/>
      <c r="C222" s="215"/>
      <c r="D222" s="215"/>
      <c r="E222" s="215"/>
      <c r="F222" s="215"/>
      <c r="G222" s="215"/>
      <c r="H222" s="160"/>
    </row>
    <row r="223" spans="1:8">
      <c r="A223" s="213"/>
      <c r="B223" s="214"/>
      <c r="C223" s="215"/>
      <c r="D223" s="215"/>
      <c r="E223" s="215"/>
      <c r="F223" s="215"/>
      <c r="G223" s="215"/>
      <c r="H223" s="160"/>
    </row>
    <row r="224" spans="1:8">
      <c r="A224" s="213"/>
      <c r="B224" s="214"/>
      <c r="C224" s="215"/>
      <c r="D224" s="215"/>
      <c r="E224" s="215"/>
      <c r="F224" s="215"/>
      <c r="G224" s="215"/>
      <c r="H224" s="160"/>
    </row>
    <row r="225" spans="1:8">
      <c r="A225" s="213"/>
      <c r="B225" s="214"/>
      <c r="C225" s="215"/>
      <c r="D225" s="215"/>
      <c r="E225" s="215"/>
      <c r="F225" s="215"/>
      <c r="G225" s="215"/>
      <c r="H225" s="160"/>
    </row>
    <row r="226" spans="1:8">
      <c r="A226" s="213"/>
      <c r="B226" s="214"/>
      <c r="C226" s="215"/>
      <c r="D226" s="215"/>
      <c r="E226" s="215"/>
      <c r="F226" s="215"/>
      <c r="G226" s="215"/>
      <c r="H226" s="160"/>
    </row>
    <row r="227" spans="1:8">
      <c r="A227" s="213"/>
      <c r="B227" s="214"/>
      <c r="C227" s="215"/>
      <c r="D227" s="215"/>
      <c r="E227" s="215"/>
      <c r="F227" s="215"/>
      <c r="G227" s="215"/>
      <c r="H227" s="160"/>
    </row>
    <row r="228" spans="1:8">
      <c r="A228" s="213"/>
      <c r="B228" s="214"/>
      <c r="C228" s="215"/>
      <c r="D228" s="215"/>
      <c r="E228" s="215"/>
      <c r="F228" s="215"/>
      <c r="G228" s="215"/>
      <c r="H228" s="160"/>
    </row>
    <row r="229" spans="1:8">
      <c r="A229" s="213"/>
      <c r="B229" s="214"/>
      <c r="C229" s="215"/>
      <c r="D229" s="215"/>
      <c r="E229" s="215"/>
      <c r="F229" s="215"/>
      <c r="G229" s="215"/>
      <c r="H229" s="160"/>
    </row>
    <row r="230" spans="1:8">
      <c r="A230" s="213"/>
      <c r="B230" s="214"/>
      <c r="C230" s="215"/>
      <c r="D230" s="215"/>
      <c r="E230" s="215"/>
      <c r="F230" s="215"/>
      <c r="G230" s="215"/>
      <c r="H230" s="160"/>
    </row>
    <row r="231" spans="1:8">
      <c r="A231" s="213"/>
      <c r="B231" s="214"/>
      <c r="C231" s="215"/>
      <c r="D231" s="215"/>
      <c r="E231" s="215"/>
      <c r="F231" s="215"/>
      <c r="G231" s="215"/>
      <c r="H231" s="160"/>
    </row>
    <row r="232" spans="1:8">
      <c r="A232" s="213"/>
      <c r="B232" s="214"/>
      <c r="C232" s="215"/>
      <c r="D232" s="215"/>
      <c r="E232" s="215"/>
      <c r="F232" s="215"/>
      <c r="G232" s="215"/>
      <c r="H232" s="160"/>
    </row>
    <row r="233" spans="1:8">
      <c r="A233" s="213"/>
      <c r="B233" s="214"/>
      <c r="C233" s="215"/>
      <c r="D233" s="215"/>
      <c r="E233" s="215"/>
      <c r="F233" s="215"/>
      <c r="G233" s="215"/>
      <c r="H233" s="160"/>
    </row>
    <row r="234" spans="1:8">
      <c r="A234" s="213"/>
      <c r="B234" s="214"/>
      <c r="C234" s="215"/>
      <c r="D234" s="215"/>
      <c r="E234" s="215"/>
      <c r="F234" s="215"/>
      <c r="G234" s="215"/>
      <c r="H234" s="160"/>
    </row>
    <row r="235" spans="1:8">
      <c r="A235" s="213"/>
      <c r="B235" s="214"/>
      <c r="C235" s="215"/>
      <c r="D235" s="215"/>
      <c r="E235" s="215"/>
      <c r="F235" s="215"/>
      <c r="G235" s="215"/>
      <c r="H235" s="160"/>
    </row>
    <row r="236" spans="1:8">
      <c r="A236" s="213"/>
      <c r="B236" s="214"/>
      <c r="C236" s="215"/>
      <c r="D236" s="215"/>
      <c r="E236" s="215"/>
      <c r="F236" s="215"/>
      <c r="G236" s="215"/>
      <c r="H236" s="160"/>
    </row>
    <row r="237" spans="1:8">
      <c r="A237" s="213"/>
      <c r="B237" s="214"/>
      <c r="C237" s="215"/>
      <c r="D237" s="215"/>
      <c r="E237" s="215"/>
      <c r="F237" s="215"/>
      <c r="G237" s="215"/>
      <c r="H237" s="160"/>
    </row>
    <row r="238" spans="1:8">
      <c r="A238" s="213"/>
      <c r="B238" s="214"/>
      <c r="C238" s="215"/>
      <c r="D238" s="215"/>
      <c r="E238" s="215"/>
      <c r="F238" s="215"/>
      <c r="G238" s="215"/>
      <c r="H238" s="160"/>
    </row>
    <row r="239" spans="1:8">
      <c r="A239" s="213"/>
      <c r="B239" s="214"/>
      <c r="C239" s="215"/>
      <c r="D239" s="215"/>
      <c r="E239" s="215"/>
      <c r="F239" s="215"/>
      <c r="G239" s="215"/>
      <c r="H239" s="160"/>
    </row>
    <row r="240" spans="1:8">
      <c r="A240" s="213"/>
      <c r="B240" s="214"/>
      <c r="C240" s="215"/>
      <c r="D240" s="215"/>
      <c r="E240" s="215"/>
      <c r="F240" s="215"/>
      <c r="G240" s="215"/>
      <c r="H240" s="160"/>
    </row>
    <row r="241" spans="1:8">
      <c r="A241" s="213"/>
      <c r="B241" s="214"/>
      <c r="C241" s="215"/>
      <c r="D241" s="215"/>
      <c r="E241" s="215"/>
      <c r="F241" s="215"/>
      <c r="G241" s="215"/>
      <c r="H241" s="160"/>
    </row>
    <row r="242" spans="1:8">
      <c r="A242" s="213"/>
      <c r="B242" s="214"/>
      <c r="C242" s="215"/>
      <c r="D242" s="215"/>
      <c r="E242" s="215"/>
      <c r="F242" s="215"/>
      <c r="G242" s="215"/>
      <c r="H242" s="160"/>
    </row>
    <row r="243" spans="1:8">
      <c r="A243" s="213"/>
      <c r="B243" s="214"/>
      <c r="C243" s="215"/>
      <c r="D243" s="215"/>
      <c r="E243" s="215"/>
      <c r="F243" s="215"/>
      <c r="G243" s="215"/>
      <c r="H243" s="160"/>
    </row>
    <row r="244" spans="1:8">
      <c r="A244" s="213"/>
      <c r="B244" s="214"/>
      <c r="C244" s="215"/>
      <c r="D244" s="215"/>
      <c r="E244" s="215"/>
      <c r="F244" s="215"/>
      <c r="G244" s="215"/>
      <c r="H244" s="160"/>
    </row>
    <row r="245" spans="1:8">
      <c r="A245" s="213"/>
      <c r="B245" s="214"/>
      <c r="C245" s="215"/>
      <c r="D245" s="215"/>
      <c r="E245" s="215"/>
      <c r="F245" s="215"/>
      <c r="G245" s="215"/>
      <c r="H245" s="160"/>
    </row>
    <row r="246" spans="1:8">
      <c r="A246" s="213"/>
      <c r="B246" s="214"/>
      <c r="C246" s="215"/>
      <c r="D246" s="215"/>
      <c r="E246" s="215"/>
      <c r="F246" s="215"/>
      <c r="G246" s="215"/>
      <c r="H246" s="160"/>
    </row>
    <row r="247" spans="1:8">
      <c r="A247" s="213"/>
      <c r="B247" s="214"/>
      <c r="C247" s="215"/>
      <c r="D247" s="215"/>
      <c r="E247" s="215"/>
      <c r="F247" s="215"/>
      <c r="G247" s="215"/>
      <c r="H247" s="160"/>
    </row>
    <row r="248" spans="1:8">
      <c r="A248" s="213"/>
      <c r="B248" s="214"/>
      <c r="C248" s="215"/>
      <c r="D248" s="215"/>
      <c r="E248" s="215"/>
      <c r="F248" s="215"/>
      <c r="G248" s="215"/>
      <c r="H248" s="160"/>
    </row>
    <row r="249" spans="1:8">
      <c r="A249" s="213"/>
      <c r="B249" s="214"/>
      <c r="C249" s="215"/>
      <c r="D249" s="215"/>
      <c r="E249" s="215"/>
      <c r="F249" s="215"/>
      <c r="G249" s="215"/>
      <c r="H249" s="160"/>
    </row>
    <row r="250" spans="1:8">
      <c r="A250" s="213"/>
      <c r="B250" s="214"/>
      <c r="C250" s="215"/>
      <c r="D250" s="215"/>
      <c r="E250" s="215"/>
      <c r="F250" s="215"/>
      <c r="G250" s="215"/>
      <c r="H250" s="160"/>
    </row>
    <row r="251" spans="1:8">
      <c r="A251" s="213"/>
      <c r="B251" s="214"/>
      <c r="C251" s="215"/>
      <c r="D251" s="215"/>
      <c r="E251" s="215"/>
      <c r="F251" s="215"/>
      <c r="G251" s="215"/>
      <c r="H251" s="160"/>
    </row>
    <row r="252" spans="1:8">
      <c r="A252" s="213"/>
      <c r="B252" s="214"/>
      <c r="C252" s="215"/>
      <c r="D252" s="215"/>
      <c r="E252" s="215"/>
      <c r="F252" s="215"/>
      <c r="G252" s="215"/>
      <c r="H252" s="160"/>
    </row>
    <row r="253" spans="1:8">
      <c r="A253" s="213"/>
      <c r="B253" s="214"/>
      <c r="C253" s="215"/>
      <c r="D253" s="215"/>
      <c r="E253" s="215"/>
      <c r="F253" s="215"/>
      <c r="G253" s="215"/>
      <c r="H253" s="160"/>
    </row>
    <row r="254" spans="1:8">
      <c r="A254" s="213"/>
      <c r="B254" s="214"/>
      <c r="C254" s="215"/>
      <c r="D254" s="215"/>
      <c r="E254" s="215"/>
      <c r="F254" s="215"/>
      <c r="G254" s="215"/>
      <c r="H254" s="160"/>
    </row>
    <row r="255" spans="1:8">
      <c r="A255" s="213"/>
      <c r="B255" s="214"/>
      <c r="C255" s="215"/>
      <c r="D255" s="215"/>
      <c r="E255" s="215"/>
      <c r="F255" s="215"/>
      <c r="G255" s="215"/>
      <c r="H255" s="160"/>
    </row>
    <row r="256" spans="1:8">
      <c r="A256" s="213"/>
      <c r="B256" s="214"/>
      <c r="C256" s="215"/>
      <c r="D256" s="215"/>
      <c r="E256" s="215"/>
      <c r="F256" s="215"/>
      <c r="G256" s="215"/>
      <c r="H256" s="160"/>
    </row>
    <row r="257" spans="1:8">
      <c r="A257" s="213"/>
      <c r="B257" s="214"/>
      <c r="C257" s="215"/>
      <c r="D257" s="215"/>
      <c r="E257" s="215"/>
      <c r="F257" s="215"/>
      <c r="G257" s="215"/>
      <c r="H257" s="160"/>
    </row>
    <row r="258" spans="1:8">
      <c r="A258" s="213"/>
      <c r="B258" s="214"/>
      <c r="C258" s="215"/>
      <c r="D258" s="215"/>
      <c r="E258" s="215"/>
      <c r="F258" s="215"/>
      <c r="G258" s="215"/>
      <c r="H258" s="160"/>
    </row>
    <row r="259" spans="1:8">
      <c r="A259" s="213"/>
      <c r="B259" s="214"/>
      <c r="C259" s="215"/>
      <c r="D259" s="215"/>
      <c r="E259" s="215"/>
      <c r="F259" s="215"/>
      <c r="G259" s="215"/>
      <c r="H259" s="160"/>
    </row>
    <row r="260" spans="1:8">
      <c r="A260" s="213"/>
      <c r="B260" s="214"/>
      <c r="C260" s="215"/>
      <c r="D260" s="215"/>
      <c r="E260" s="215"/>
      <c r="F260" s="215"/>
      <c r="G260" s="215"/>
      <c r="H260" s="160"/>
    </row>
    <row r="261" spans="1:8">
      <c r="A261" s="213"/>
      <c r="B261" s="214"/>
      <c r="C261" s="215"/>
      <c r="D261" s="215"/>
      <c r="E261" s="215"/>
      <c r="F261" s="215"/>
      <c r="G261" s="215"/>
      <c r="H261" s="160"/>
    </row>
    <row r="262" spans="1:8">
      <c r="A262" s="213"/>
      <c r="B262" s="214"/>
      <c r="C262" s="215"/>
      <c r="D262" s="215"/>
      <c r="E262" s="215"/>
      <c r="F262" s="215"/>
      <c r="G262" s="215"/>
      <c r="H262" s="160"/>
    </row>
    <row r="263" spans="1:8">
      <c r="A263" s="213"/>
      <c r="B263" s="214"/>
      <c r="C263" s="215"/>
      <c r="D263" s="215"/>
      <c r="E263" s="215"/>
      <c r="F263" s="215"/>
      <c r="G263" s="215"/>
      <c r="H263" s="160"/>
    </row>
    <row r="264" spans="1:8">
      <c r="A264" s="213"/>
      <c r="B264" s="214"/>
      <c r="C264" s="215"/>
      <c r="D264" s="215"/>
      <c r="E264" s="215"/>
      <c r="F264" s="215"/>
      <c r="G264" s="215"/>
      <c r="H264" s="160"/>
    </row>
    <row r="265" spans="1:8">
      <c r="A265" s="213"/>
      <c r="B265" s="214"/>
      <c r="C265" s="215"/>
      <c r="D265" s="215"/>
      <c r="E265" s="215"/>
      <c r="F265" s="215"/>
      <c r="G265" s="215"/>
      <c r="H265" s="160"/>
    </row>
    <row r="266" spans="1:8">
      <c r="A266" s="213"/>
      <c r="B266" s="214"/>
      <c r="C266" s="215"/>
      <c r="D266" s="215"/>
      <c r="E266" s="215"/>
      <c r="F266" s="215"/>
      <c r="G266" s="215"/>
      <c r="H266" s="160"/>
    </row>
    <row r="267" spans="1:8">
      <c r="A267" s="213"/>
      <c r="B267" s="214"/>
      <c r="C267" s="215"/>
      <c r="D267" s="215"/>
      <c r="E267" s="215"/>
      <c r="F267" s="215"/>
      <c r="G267" s="215"/>
      <c r="H267" s="160"/>
    </row>
    <row r="268" spans="1:8">
      <c r="A268" s="213"/>
      <c r="B268" s="214"/>
      <c r="C268" s="215"/>
      <c r="D268" s="215"/>
      <c r="E268" s="215"/>
      <c r="F268" s="215"/>
      <c r="G268" s="215"/>
      <c r="H268" s="160"/>
    </row>
    <row r="269" spans="1:8">
      <c r="A269" s="213"/>
      <c r="B269" s="214"/>
      <c r="C269" s="215"/>
      <c r="D269" s="215"/>
      <c r="E269" s="215"/>
      <c r="F269" s="215"/>
      <c r="G269" s="215"/>
      <c r="H269" s="160"/>
    </row>
    <row r="270" spans="1:8">
      <c r="A270" s="213"/>
      <c r="B270" s="214"/>
      <c r="C270" s="215"/>
      <c r="D270" s="215"/>
      <c r="E270" s="215"/>
      <c r="F270" s="215"/>
      <c r="G270" s="215"/>
      <c r="H270" s="160"/>
    </row>
    <row r="271" spans="1:8">
      <c r="A271" s="213"/>
      <c r="B271" s="214"/>
      <c r="C271" s="215"/>
      <c r="D271" s="215"/>
      <c r="E271" s="215"/>
      <c r="F271" s="215"/>
      <c r="G271" s="215"/>
      <c r="H271" s="160"/>
    </row>
    <row r="272" spans="1:8">
      <c r="A272" s="213"/>
      <c r="B272" s="214"/>
      <c r="C272" s="215"/>
      <c r="D272" s="215"/>
      <c r="E272" s="215"/>
      <c r="F272" s="215"/>
      <c r="G272" s="215"/>
      <c r="H272" s="160"/>
    </row>
    <row r="273" spans="1:8">
      <c r="A273" s="213"/>
      <c r="B273" s="214"/>
      <c r="C273" s="215"/>
      <c r="D273" s="215"/>
      <c r="E273" s="215"/>
      <c r="F273" s="215"/>
      <c r="G273" s="215"/>
      <c r="H273" s="160"/>
    </row>
    <row r="274" spans="1:8">
      <c r="A274" s="213"/>
      <c r="B274" s="214"/>
      <c r="C274" s="215"/>
      <c r="D274" s="215"/>
      <c r="E274" s="215"/>
      <c r="F274" s="215"/>
      <c r="G274" s="215"/>
      <c r="H274" s="160"/>
    </row>
    <row r="275" spans="1:8">
      <c r="A275" s="213"/>
      <c r="B275" s="214"/>
      <c r="C275" s="215"/>
      <c r="D275" s="215"/>
      <c r="E275" s="215"/>
      <c r="F275" s="215"/>
      <c r="G275" s="215"/>
      <c r="H275" s="160"/>
    </row>
    <row r="276" spans="1:8">
      <c r="A276" s="213"/>
      <c r="B276" s="214"/>
      <c r="C276" s="215"/>
      <c r="D276" s="215"/>
      <c r="E276" s="215"/>
      <c r="F276" s="215"/>
      <c r="G276" s="215"/>
      <c r="H276" s="160"/>
    </row>
    <row r="277" spans="1:8">
      <c r="A277" s="213"/>
      <c r="B277" s="214"/>
      <c r="C277" s="215"/>
      <c r="D277" s="215"/>
      <c r="E277" s="215"/>
      <c r="F277" s="215"/>
      <c r="G277" s="215"/>
      <c r="H277" s="160"/>
    </row>
    <row r="278" spans="1:8">
      <c r="A278" s="213"/>
      <c r="B278" s="214"/>
      <c r="C278" s="215"/>
      <c r="D278" s="215"/>
      <c r="E278" s="215"/>
      <c r="F278" s="215"/>
      <c r="G278" s="215"/>
      <c r="H278" s="160"/>
    </row>
    <row r="279" spans="1:8">
      <c r="A279" s="213"/>
      <c r="B279" s="214"/>
      <c r="C279" s="215"/>
      <c r="D279" s="215"/>
      <c r="E279" s="215"/>
      <c r="F279" s="215"/>
      <c r="G279" s="215"/>
      <c r="H279" s="160"/>
    </row>
    <row r="280" spans="1:8">
      <c r="A280" s="213"/>
      <c r="B280" s="214"/>
      <c r="C280" s="215"/>
      <c r="D280" s="215"/>
      <c r="E280" s="215"/>
      <c r="F280" s="215"/>
      <c r="G280" s="215"/>
      <c r="H280" s="160"/>
    </row>
    <row r="281" spans="1:8">
      <c r="A281" s="213"/>
      <c r="B281" s="214"/>
      <c r="C281" s="215"/>
      <c r="D281" s="215"/>
      <c r="E281" s="215"/>
      <c r="F281" s="215"/>
      <c r="G281" s="215"/>
      <c r="H281" s="160"/>
    </row>
    <row r="282" spans="1:8">
      <c r="A282" s="213"/>
      <c r="B282" s="214"/>
      <c r="C282" s="215"/>
      <c r="D282" s="215"/>
      <c r="E282" s="215"/>
      <c r="F282" s="215"/>
      <c r="G282" s="215"/>
      <c r="H282" s="160"/>
    </row>
    <row r="283" spans="1:8">
      <c r="A283" s="213"/>
      <c r="B283" s="214"/>
      <c r="C283" s="215"/>
      <c r="D283" s="215"/>
      <c r="E283" s="215"/>
      <c r="F283" s="215"/>
      <c r="G283" s="215"/>
      <c r="H283" s="160"/>
    </row>
    <row r="284" spans="1:8">
      <c r="A284" s="213"/>
      <c r="B284" s="214"/>
      <c r="C284" s="215"/>
      <c r="D284" s="215"/>
      <c r="E284" s="215"/>
      <c r="F284" s="215"/>
      <c r="G284" s="215"/>
      <c r="H284" s="160"/>
    </row>
    <row r="285" spans="1:8">
      <c r="A285" s="213"/>
      <c r="B285" s="214"/>
      <c r="C285" s="215"/>
      <c r="D285" s="215"/>
      <c r="E285" s="215"/>
      <c r="F285" s="215"/>
      <c r="G285" s="215"/>
      <c r="H285" s="160"/>
    </row>
    <row r="286" spans="1:8">
      <c r="A286" s="213"/>
      <c r="B286" s="214"/>
      <c r="C286" s="215"/>
      <c r="D286" s="215"/>
      <c r="E286" s="215"/>
      <c r="F286" s="215"/>
      <c r="G286" s="215"/>
      <c r="H286" s="160"/>
    </row>
    <row r="287" spans="1:8">
      <c r="A287" s="213"/>
      <c r="B287" s="214"/>
      <c r="C287" s="215"/>
      <c r="D287" s="215"/>
      <c r="E287" s="215"/>
      <c r="F287" s="215"/>
      <c r="G287" s="215"/>
      <c r="H287" s="160"/>
    </row>
    <row r="288" spans="1:8">
      <c r="A288" s="213"/>
      <c r="B288" s="214"/>
      <c r="C288" s="215"/>
      <c r="D288" s="215"/>
      <c r="E288" s="215"/>
      <c r="F288" s="215"/>
      <c r="G288" s="215"/>
      <c r="H288" s="160"/>
    </row>
    <row r="289" spans="1:8">
      <c r="A289" s="213"/>
      <c r="B289" s="214"/>
      <c r="C289" s="215"/>
      <c r="D289" s="215"/>
      <c r="E289" s="215"/>
      <c r="F289" s="215"/>
      <c r="G289" s="215"/>
      <c r="H289" s="160"/>
    </row>
    <row r="290" spans="1:8">
      <c r="A290" s="213"/>
      <c r="B290" s="214"/>
      <c r="C290" s="215"/>
      <c r="D290" s="215"/>
      <c r="E290" s="215"/>
      <c r="F290" s="215"/>
      <c r="G290" s="215"/>
      <c r="H290" s="160"/>
    </row>
    <row r="291" spans="1:8">
      <c r="A291" s="213"/>
      <c r="B291" s="214"/>
      <c r="C291" s="215"/>
      <c r="D291" s="215"/>
      <c r="E291" s="215"/>
      <c r="F291" s="215"/>
      <c r="G291" s="215"/>
      <c r="H291" s="160"/>
    </row>
    <row r="292" spans="1:8">
      <c r="A292" s="213"/>
      <c r="B292" s="214"/>
      <c r="C292" s="215"/>
      <c r="D292" s="215"/>
      <c r="E292" s="215"/>
      <c r="F292" s="215"/>
      <c r="G292" s="215"/>
      <c r="H292" s="160"/>
    </row>
    <row r="293" spans="1:8">
      <c r="A293" s="213"/>
      <c r="B293" s="214"/>
      <c r="C293" s="215"/>
      <c r="D293" s="215"/>
      <c r="E293" s="215"/>
      <c r="F293" s="215"/>
      <c r="G293" s="215"/>
      <c r="H293" s="160"/>
    </row>
    <row r="294" spans="1:8">
      <c r="A294" s="213"/>
      <c r="B294" s="214"/>
      <c r="C294" s="215"/>
      <c r="D294" s="215"/>
      <c r="E294" s="215"/>
      <c r="F294" s="215"/>
      <c r="G294" s="215"/>
      <c r="H294" s="160"/>
    </row>
    <row r="295" spans="1:8">
      <c r="A295" s="213"/>
      <c r="B295" s="214"/>
      <c r="C295" s="215"/>
      <c r="D295" s="215"/>
      <c r="E295" s="215"/>
      <c r="F295" s="215"/>
      <c r="G295" s="215"/>
      <c r="H295" s="160"/>
    </row>
    <row r="296" spans="1:8">
      <c r="A296" s="213"/>
      <c r="B296" s="214"/>
      <c r="C296" s="215"/>
      <c r="D296" s="215"/>
      <c r="E296" s="215"/>
      <c r="F296" s="215"/>
      <c r="G296" s="215"/>
      <c r="H296" s="160"/>
    </row>
    <row r="297" spans="1:8">
      <c r="A297" s="213"/>
      <c r="B297" s="214"/>
      <c r="C297" s="215"/>
      <c r="D297" s="215"/>
      <c r="E297" s="215"/>
      <c r="F297" s="215"/>
      <c r="G297" s="215"/>
      <c r="H297" s="160"/>
    </row>
    <row r="298" spans="1:8">
      <c r="A298" s="213"/>
      <c r="B298" s="214"/>
      <c r="C298" s="215"/>
      <c r="D298" s="215"/>
      <c r="E298" s="215"/>
      <c r="F298" s="215"/>
      <c r="G298" s="215"/>
      <c r="H298" s="160"/>
    </row>
    <row r="299" spans="1:8">
      <c r="A299" s="213"/>
      <c r="B299" s="214"/>
      <c r="C299" s="215"/>
      <c r="D299" s="215"/>
      <c r="E299" s="215"/>
      <c r="F299" s="215"/>
      <c r="G299" s="215"/>
      <c r="H299" s="160"/>
    </row>
    <row r="300" spans="1:8">
      <c r="A300" s="213"/>
      <c r="B300" s="214"/>
      <c r="C300" s="215"/>
      <c r="D300" s="215"/>
      <c r="E300" s="215"/>
      <c r="F300" s="215"/>
      <c r="G300" s="215"/>
      <c r="H300" s="160"/>
    </row>
    <row r="301" spans="1:8">
      <c r="A301" s="213"/>
      <c r="B301" s="214"/>
      <c r="C301" s="215"/>
      <c r="D301" s="215"/>
      <c r="E301" s="215"/>
      <c r="F301" s="215"/>
      <c r="G301" s="215"/>
      <c r="H301" s="160"/>
    </row>
    <row r="302" spans="1:8">
      <c r="A302" s="213"/>
      <c r="B302" s="214"/>
      <c r="C302" s="215"/>
      <c r="D302" s="215"/>
      <c r="E302" s="215"/>
      <c r="F302" s="215"/>
      <c r="G302" s="215"/>
      <c r="H302" s="160"/>
    </row>
    <row r="303" spans="1:8">
      <c r="A303" s="213"/>
      <c r="B303" s="214"/>
      <c r="C303" s="215"/>
      <c r="D303" s="215"/>
      <c r="E303" s="215"/>
      <c r="F303" s="215"/>
      <c r="G303" s="215"/>
      <c r="H303" s="160"/>
    </row>
    <row r="304" spans="1:8">
      <c r="A304" s="213"/>
      <c r="B304" s="214"/>
      <c r="C304" s="215"/>
      <c r="D304" s="215"/>
      <c r="E304" s="215"/>
      <c r="F304" s="215"/>
      <c r="G304" s="215"/>
      <c r="H304" s="160"/>
    </row>
    <row r="305" spans="1:8">
      <c r="A305" s="213"/>
      <c r="B305" s="214"/>
      <c r="C305" s="215"/>
      <c r="D305" s="215"/>
      <c r="E305" s="215"/>
      <c r="F305" s="215"/>
      <c r="G305" s="215"/>
      <c r="H305" s="160"/>
    </row>
    <row r="306" spans="1:8">
      <c r="A306" s="213"/>
      <c r="B306" s="214"/>
      <c r="C306" s="215"/>
      <c r="D306" s="215"/>
      <c r="E306" s="215"/>
      <c r="F306" s="215"/>
      <c r="G306" s="215"/>
      <c r="H306" s="160"/>
    </row>
    <row r="307" spans="1:8">
      <c r="A307" s="213"/>
      <c r="B307" s="214"/>
      <c r="C307" s="215"/>
      <c r="D307" s="215"/>
      <c r="E307" s="215"/>
      <c r="F307" s="215"/>
      <c r="G307" s="215"/>
      <c r="H307" s="160"/>
    </row>
    <row r="308" spans="1:8">
      <c r="A308" s="213"/>
      <c r="B308" s="214"/>
      <c r="C308" s="215"/>
      <c r="D308" s="215"/>
      <c r="E308" s="215"/>
      <c r="F308" s="215"/>
      <c r="G308" s="215"/>
      <c r="H308" s="160"/>
    </row>
    <row r="309" spans="1:8">
      <c r="A309" s="213"/>
      <c r="B309" s="214"/>
      <c r="C309" s="215"/>
      <c r="D309" s="215"/>
      <c r="E309" s="215"/>
      <c r="F309" s="215"/>
      <c r="G309" s="215"/>
      <c r="H309" s="160"/>
    </row>
    <row r="310" spans="1:8">
      <c r="A310" s="213"/>
      <c r="B310" s="214"/>
      <c r="C310" s="215"/>
      <c r="D310" s="215"/>
      <c r="E310" s="215"/>
      <c r="F310" s="215"/>
      <c r="G310" s="215"/>
      <c r="H310" s="160"/>
    </row>
    <row r="311" spans="1:8">
      <c r="A311" s="213"/>
      <c r="B311" s="214"/>
      <c r="C311" s="215"/>
      <c r="D311" s="215"/>
      <c r="E311" s="215"/>
      <c r="F311" s="215"/>
      <c r="G311" s="215"/>
      <c r="H311" s="160"/>
    </row>
    <row r="312" spans="1:8">
      <c r="A312" s="213"/>
      <c r="B312" s="214"/>
      <c r="C312" s="215"/>
      <c r="D312" s="215"/>
      <c r="E312" s="215"/>
      <c r="F312" s="215"/>
      <c r="G312" s="215"/>
      <c r="H312" s="160"/>
    </row>
    <row r="313" spans="1:8">
      <c r="A313" s="213"/>
      <c r="B313" s="214"/>
      <c r="C313" s="215"/>
      <c r="D313" s="215"/>
      <c r="E313" s="215"/>
      <c r="F313" s="215"/>
      <c r="G313" s="215"/>
      <c r="H313" s="160"/>
    </row>
    <row r="314" spans="1:8">
      <c r="A314" s="213"/>
      <c r="B314" s="214"/>
      <c r="C314" s="215"/>
      <c r="D314" s="215"/>
      <c r="E314" s="215"/>
      <c r="F314" s="215"/>
      <c r="G314" s="215"/>
      <c r="H314" s="160"/>
    </row>
    <row r="315" spans="1:8">
      <c r="A315" s="213"/>
      <c r="B315" s="214"/>
      <c r="C315" s="215"/>
      <c r="D315" s="215"/>
      <c r="E315" s="215"/>
      <c r="F315" s="215"/>
      <c r="G315" s="215"/>
      <c r="H315" s="160"/>
    </row>
    <row r="316" spans="1:8">
      <c r="A316" s="213"/>
      <c r="B316" s="214"/>
      <c r="C316" s="215"/>
      <c r="D316" s="215"/>
      <c r="E316" s="215"/>
      <c r="F316" s="215"/>
      <c r="G316" s="215"/>
      <c r="H316" s="160"/>
    </row>
    <row r="317" spans="1:8">
      <c r="A317" s="213"/>
      <c r="B317" s="214"/>
      <c r="C317" s="215"/>
      <c r="D317" s="215"/>
      <c r="E317" s="215"/>
      <c r="F317" s="215"/>
      <c r="G317" s="215"/>
      <c r="H317" s="160"/>
    </row>
    <row r="318" spans="1:8">
      <c r="A318" s="213"/>
      <c r="B318" s="214"/>
      <c r="C318" s="215"/>
      <c r="D318" s="215"/>
      <c r="E318" s="215"/>
      <c r="F318" s="215"/>
      <c r="G318" s="215"/>
      <c r="H318" s="160"/>
    </row>
    <row r="319" spans="1:8">
      <c r="A319" s="213"/>
      <c r="B319" s="214"/>
      <c r="C319" s="215"/>
      <c r="D319" s="215"/>
      <c r="E319" s="215"/>
      <c r="F319" s="215"/>
      <c r="G319" s="215"/>
      <c r="H319" s="160"/>
    </row>
    <row r="320" spans="1:8">
      <c r="A320" s="213"/>
      <c r="B320" s="214"/>
      <c r="C320" s="215"/>
      <c r="D320" s="215"/>
      <c r="E320" s="215"/>
      <c r="F320" s="215"/>
      <c r="G320" s="215"/>
      <c r="H320" s="160"/>
    </row>
    <row r="321" spans="1:8">
      <c r="A321" s="213"/>
      <c r="B321" s="214"/>
      <c r="C321" s="215"/>
      <c r="D321" s="215"/>
      <c r="E321" s="215"/>
      <c r="F321" s="215"/>
      <c r="G321" s="215"/>
      <c r="H321" s="160"/>
    </row>
    <row r="322" spans="1:8">
      <c r="A322" s="213"/>
      <c r="B322" s="214"/>
      <c r="C322" s="215"/>
      <c r="D322" s="215"/>
      <c r="E322" s="215"/>
      <c r="F322" s="215"/>
      <c r="G322" s="215"/>
      <c r="H322" s="160"/>
    </row>
    <row r="323" spans="1:8">
      <c r="A323" s="213"/>
      <c r="B323" s="214"/>
      <c r="C323" s="215"/>
      <c r="D323" s="215"/>
      <c r="E323" s="215"/>
      <c r="F323" s="215"/>
      <c r="G323" s="215"/>
      <c r="H323" s="160"/>
    </row>
    <row r="324" spans="1:8">
      <c r="A324" s="213"/>
      <c r="B324" s="214"/>
      <c r="C324" s="215"/>
      <c r="D324" s="215"/>
      <c r="E324" s="215"/>
      <c r="F324" s="215"/>
      <c r="G324" s="215"/>
      <c r="H324" s="160"/>
    </row>
    <row r="325" spans="1:8">
      <c r="A325" s="213"/>
      <c r="B325" s="214"/>
      <c r="C325" s="215"/>
      <c r="D325" s="215"/>
      <c r="E325" s="215"/>
      <c r="F325" s="215"/>
      <c r="G325" s="215"/>
      <c r="H325" s="160"/>
    </row>
    <row r="326" spans="1:8">
      <c r="A326" s="213"/>
      <c r="B326" s="214"/>
      <c r="C326" s="215"/>
      <c r="D326" s="215"/>
      <c r="E326" s="215"/>
      <c r="F326" s="215"/>
      <c r="G326" s="215"/>
      <c r="H326" s="160"/>
    </row>
    <row r="327" spans="1:8">
      <c r="A327" s="213"/>
      <c r="B327" s="214"/>
      <c r="C327" s="215"/>
      <c r="D327" s="215"/>
      <c r="E327" s="215"/>
      <c r="F327" s="215"/>
      <c r="G327" s="215"/>
      <c r="H327" s="160"/>
    </row>
    <row r="328" spans="1:8">
      <c r="A328" s="213"/>
      <c r="B328" s="214"/>
      <c r="C328" s="215"/>
      <c r="D328" s="215"/>
      <c r="E328" s="215"/>
      <c r="F328" s="215"/>
      <c r="G328" s="215"/>
      <c r="H328" s="160"/>
    </row>
    <row r="329" spans="1:8">
      <c r="A329" s="213"/>
      <c r="B329" s="214"/>
      <c r="C329" s="215"/>
      <c r="D329" s="215"/>
      <c r="E329" s="215"/>
      <c r="F329" s="215"/>
      <c r="G329" s="215"/>
      <c r="H329" s="160"/>
    </row>
    <row r="330" spans="1:8">
      <c r="A330" s="213"/>
      <c r="B330" s="214"/>
      <c r="C330" s="215"/>
      <c r="D330" s="215"/>
      <c r="E330" s="215"/>
      <c r="F330" s="215"/>
      <c r="G330" s="215"/>
      <c r="H330" s="160"/>
    </row>
    <row r="331" spans="1:8">
      <c r="A331" s="213"/>
      <c r="B331" s="214"/>
      <c r="C331" s="215"/>
      <c r="D331" s="215"/>
      <c r="E331" s="215"/>
      <c r="F331" s="215"/>
      <c r="G331" s="215"/>
      <c r="H331" s="160"/>
    </row>
    <row r="332" spans="1:8">
      <c r="A332" s="213"/>
      <c r="B332" s="214"/>
      <c r="C332" s="215"/>
      <c r="D332" s="215"/>
      <c r="E332" s="215"/>
      <c r="F332" s="215"/>
      <c r="G332" s="215"/>
      <c r="H332" s="160"/>
    </row>
    <row r="333" spans="1:8">
      <c r="A333" s="213"/>
      <c r="B333" s="214"/>
      <c r="C333" s="215"/>
      <c r="D333" s="215"/>
      <c r="E333" s="215"/>
      <c r="F333" s="215"/>
      <c r="G333" s="215"/>
      <c r="H333" s="160"/>
    </row>
    <row r="334" spans="1:8">
      <c r="A334" s="213"/>
      <c r="B334" s="214"/>
      <c r="C334" s="215"/>
      <c r="D334" s="215"/>
      <c r="E334" s="215"/>
      <c r="F334" s="215"/>
      <c r="G334" s="215"/>
      <c r="H334" s="160"/>
    </row>
    <row r="335" spans="1:8">
      <c r="A335" s="213"/>
      <c r="B335" s="214"/>
      <c r="C335" s="215"/>
      <c r="D335" s="215"/>
      <c r="E335" s="215"/>
      <c r="F335" s="215"/>
      <c r="G335" s="215"/>
      <c r="H335" s="160"/>
    </row>
    <row r="336" spans="1:8">
      <c r="A336" s="213"/>
      <c r="B336" s="214"/>
      <c r="C336" s="215"/>
      <c r="D336" s="215"/>
      <c r="E336" s="215"/>
      <c r="F336" s="215"/>
      <c r="G336" s="215"/>
      <c r="H336" s="160"/>
    </row>
    <row r="337" spans="1:8">
      <c r="A337" s="213"/>
      <c r="B337" s="214"/>
      <c r="C337" s="215"/>
      <c r="D337" s="215"/>
      <c r="E337" s="215"/>
      <c r="F337" s="215"/>
      <c r="G337" s="215"/>
      <c r="H337" s="160"/>
    </row>
    <row r="338" spans="1:8">
      <c r="A338" s="213"/>
      <c r="B338" s="214"/>
      <c r="C338" s="215"/>
      <c r="D338" s="215"/>
      <c r="E338" s="215"/>
      <c r="F338" s="215"/>
      <c r="G338" s="215"/>
      <c r="H338" s="160"/>
    </row>
    <row r="339" spans="1:8">
      <c r="A339" s="213"/>
      <c r="B339" s="214"/>
      <c r="C339" s="215"/>
      <c r="D339" s="215"/>
      <c r="E339" s="215"/>
      <c r="F339" s="215"/>
      <c r="G339" s="215"/>
      <c r="H339" s="160"/>
    </row>
    <row r="340" spans="1:8">
      <c r="A340" s="213"/>
      <c r="B340" s="214"/>
      <c r="C340" s="215"/>
      <c r="D340" s="215"/>
      <c r="E340" s="215"/>
      <c r="F340" s="215"/>
      <c r="G340" s="215"/>
      <c r="H340" s="160"/>
    </row>
    <row r="341" spans="1:8">
      <c r="A341" s="213"/>
      <c r="B341" s="214"/>
      <c r="C341" s="215"/>
      <c r="D341" s="215"/>
      <c r="E341" s="215"/>
      <c r="F341" s="215"/>
      <c r="G341" s="215"/>
      <c r="H341" s="160"/>
    </row>
    <row r="342" spans="1:8">
      <c r="A342" s="213"/>
      <c r="B342" s="214"/>
      <c r="C342" s="215"/>
      <c r="D342" s="215"/>
      <c r="E342" s="215"/>
      <c r="F342" s="215"/>
      <c r="G342" s="215"/>
      <c r="H342" s="160"/>
    </row>
    <row r="343" spans="1:8">
      <c r="A343" s="213"/>
      <c r="B343" s="214"/>
      <c r="C343" s="215"/>
      <c r="D343" s="215"/>
      <c r="E343" s="215"/>
      <c r="F343" s="215"/>
      <c r="G343" s="215"/>
      <c r="H343" s="160"/>
    </row>
    <row r="344" spans="1:8">
      <c r="A344" s="213"/>
      <c r="B344" s="214"/>
      <c r="C344" s="215"/>
      <c r="D344" s="215"/>
      <c r="E344" s="215"/>
      <c r="F344" s="215"/>
      <c r="G344" s="215"/>
      <c r="H344" s="160"/>
    </row>
    <row r="345" spans="1:8">
      <c r="A345" s="213"/>
      <c r="B345" s="214"/>
      <c r="C345" s="215"/>
      <c r="D345" s="215"/>
      <c r="E345" s="215"/>
      <c r="F345" s="215"/>
      <c r="G345" s="215"/>
      <c r="H345" s="160"/>
    </row>
    <row r="346" spans="1:8">
      <c r="A346" s="213"/>
      <c r="B346" s="214"/>
      <c r="C346" s="215"/>
      <c r="D346" s="215"/>
      <c r="E346" s="215"/>
      <c r="F346" s="215"/>
      <c r="G346" s="215"/>
      <c r="H346" s="160"/>
    </row>
    <row r="347" spans="1:8">
      <c r="A347" s="213"/>
      <c r="B347" s="214"/>
      <c r="C347" s="215"/>
      <c r="D347" s="215"/>
      <c r="E347" s="215"/>
      <c r="F347" s="215"/>
      <c r="G347" s="215"/>
      <c r="H347" s="160"/>
    </row>
    <row r="348" spans="1:8">
      <c r="A348" s="213"/>
      <c r="B348" s="214"/>
      <c r="C348" s="215"/>
      <c r="D348" s="215"/>
      <c r="E348" s="215"/>
      <c r="F348" s="215"/>
      <c r="G348" s="215"/>
      <c r="H348" s="160"/>
    </row>
    <row r="349" spans="1:8">
      <c r="A349" s="213"/>
      <c r="B349" s="214"/>
      <c r="C349" s="215"/>
      <c r="D349" s="215"/>
      <c r="E349" s="215"/>
      <c r="F349" s="215"/>
      <c r="G349" s="215"/>
      <c r="H349" s="160"/>
    </row>
    <row r="350" spans="1:8">
      <c r="A350" s="213"/>
      <c r="B350" s="214"/>
      <c r="C350" s="215"/>
      <c r="D350" s="215"/>
      <c r="E350" s="215"/>
      <c r="F350" s="215"/>
      <c r="G350" s="215"/>
      <c r="H350" s="160"/>
    </row>
    <row r="351" spans="1:8">
      <c r="A351" s="213"/>
      <c r="B351" s="214"/>
      <c r="C351" s="215"/>
      <c r="D351" s="215"/>
      <c r="E351" s="215"/>
      <c r="F351" s="215"/>
      <c r="G351" s="215"/>
      <c r="H351" s="160"/>
    </row>
    <row r="352" spans="1:8">
      <c r="A352" s="213"/>
      <c r="B352" s="214"/>
      <c r="C352" s="215"/>
      <c r="D352" s="215"/>
      <c r="E352" s="215"/>
      <c r="F352" s="215"/>
      <c r="G352" s="215"/>
      <c r="H352" s="160"/>
    </row>
    <row r="353" spans="1:8">
      <c r="A353" s="213"/>
      <c r="B353" s="214"/>
      <c r="C353" s="215"/>
      <c r="D353" s="215"/>
      <c r="E353" s="215"/>
      <c r="F353" s="215"/>
      <c r="G353" s="215"/>
      <c r="H353" s="160"/>
    </row>
    <row r="354" spans="1:8">
      <c r="A354" s="213"/>
      <c r="B354" s="214"/>
      <c r="C354" s="215"/>
      <c r="D354" s="215"/>
      <c r="E354" s="215"/>
      <c r="F354" s="215"/>
      <c r="G354" s="215"/>
      <c r="H354" s="160"/>
    </row>
    <row r="355" spans="1:8">
      <c r="A355" s="213"/>
      <c r="B355" s="214"/>
      <c r="C355" s="215"/>
      <c r="D355" s="215"/>
      <c r="E355" s="215"/>
      <c r="F355" s="215"/>
      <c r="G355" s="215"/>
      <c r="H355" s="160"/>
    </row>
    <row r="356" spans="1:8">
      <c r="A356" s="213"/>
      <c r="B356" s="214"/>
      <c r="C356" s="215"/>
      <c r="D356" s="215"/>
      <c r="E356" s="215"/>
      <c r="F356" s="215"/>
      <c r="G356" s="215"/>
      <c r="H356" s="160"/>
    </row>
    <row r="357" spans="1:8">
      <c r="A357" s="213"/>
      <c r="B357" s="214"/>
      <c r="C357" s="215"/>
      <c r="D357" s="215"/>
      <c r="E357" s="215"/>
      <c r="F357" s="215"/>
      <c r="G357" s="215"/>
      <c r="H357" s="160"/>
    </row>
    <row r="358" spans="1:8">
      <c r="A358" s="213"/>
      <c r="B358" s="214"/>
      <c r="C358" s="215"/>
      <c r="D358" s="215"/>
      <c r="E358" s="215"/>
      <c r="F358" s="215"/>
      <c r="G358" s="215"/>
      <c r="H358" s="160"/>
    </row>
    <row r="359" spans="1:8">
      <c r="A359" s="213"/>
      <c r="B359" s="214"/>
      <c r="C359" s="215"/>
      <c r="D359" s="215"/>
      <c r="E359" s="215"/>
      <c r="F359" s="215"/>
      <c r="G359" s="215"/>
      <c r="H359" s="160"/>
    </row>
    <row r="360" spans="1:8">
      <c r="A360" s="213"/>
      <c r="B360" s="214"/>
      <c r="C360" s="215"/>
      <c r="D360" s="215"/>
      <c r="E360" s="215"/>
      <c r="F360" s="215"/>
      <c r="G360" s="215"/>
      <c r="H360" s="160"/>
    </row>
    <row r="361" spans="1:8">
      <c r="A361" s="213"/>
      <c r="B361" s="214"/>
      <c r="C361" s="215"/>
      <c r="D361" s="215"/>
      <c r="E361" s="215"/>
      <c r="F361" s="215"/>
      <c r="G361" s="215"/>
      <c r="H361" s="160"/>
    </row>
    <row r="362" spans="1:8">
      <c r="A362" s="213"/>
      <c r="B362" s="214"/>
      <c r="C362" s="215"/>
      <c r="D362" s="215"/>
      <c r="E362" s="215"/>
      <c r="F362" s="215"/>
      <c r="G362" s="215"/>
      <c r="H362" s="160"/>
    </row>
    <row r="363" spans="1:8">
      <c r="A363" s="213"/>
      <c r="B363" s="214"/>
      <c r="C363" s="215"/>
      <c r="D363" s="215"/>
      <c r="E363" s="215"/>
      <c r="F363" s="215"/>
      <c r="G363" s="215"/>
      <c r="H363" s="160"/>
    </row>
    <row r="364" spans="1:8">
      <c r="A364" s="213"/>
      <c r="B364" s="214"/>
      <c r="C364" s="215"/>
      <c r="D364" s="215"/>
      <c r="E364" s="215"/>
      <c r="F364" s="215"/>
      <c r="G364" s="215"/>
      <c r="H364" s="160"/>
    </row>
    <row r="365" spans="1:8">
      <c r="A365" s="213"/>
      <c r="B365" s="214"/>
      <c r="C365" s="215"/>
      <c r="D365" s="215"/>
      <c r="E365" s="215"/>
      <c r="F365" s="215"/>
      <c r="G365" s="215"/>
      <c r="H365" s="160"/>
    </row>
    <row r="366" spans="1:8">
      <c r="A366" s="213"/>
      <c r="B366" s="214"/>
      <c r="C366" s="215"/>
      <c r="D366" s="215"/>
      <c r="E366" s="215"/>
      <c r="F366" s="215"/>
      <c r="G366" s="215"/>
      <c r="H366" s="160"/>
    </row>
    <row r="367" spans="1:8">
      <c r="A367" s="213"/>
      <c r="B367" s="214"/>
      <c r="C367" s="215"/>
      <c r="D367" s="215"/>
      <c r="E367" s="215"/>
      <c r="F367" s="215"/>
      <c r="G367" s="215"/>
      <c r="H367" s="160"/>
    </row>
    <row r="368" spans="1:8">
      <c r="A368" s="213"/>
      <c r="B368" s="214"/>
      <c r="C368" s="215"/>
      <c r="D368" s="215"/>
      <c r="E368" s="215"/>
      <c r="F368" s="215"/>
      <c r="G368" s="215"/>
      <c r="H368" s="160"/>
    </row>
    <row r="369" spans="1:8">
      <c r="A369" s="213"/>
      <c r="B369" s="214"/>
      <c r="C369" s="215"/>
      <c r="D369" s="215"/>
      <c r="E369" s="215"/>
      <c r="F369" s="215"/>
      <c r="G369" s="215"/>
      <c r="H369" s="160"/>
    </row>
    <row r="370" spans="1:8">
      <c r="A370" s="213"/>
      <c r="B370" s="214"/>
      <c r="C370" s="215"/>
      <c r="D370" s="215"/>
      <c r="E370" s="215"/>
      <c r="F370" s="215"/>
      <c r="G370" s="215"/>
      <c r="H370" s="160"/>
    </row>
    <row r="371" spans="1:8">
      <c r="A371" s="213"/>
      <c r="B371" s="214"/>
      <c r="C371" s="215"/>
      <c r="D371" s="215"/>
      <c r="E371" s="215"/>
      <c r="F371" s="215"/>
      <c r="G371" s="215"/>
      <c r="H371" s="160"/>
    </row>
    <row r="372" spans="1:8">
      <c r="A372" s="213"/>
      <c r="B372" s="214"/>
      <c r="C372" s="215"/>
      <c r="D372" s="215"/>
      <c r="E372" s="215"/>
      <c r="F372" s="215"/>
      <c r="G372" s="215"/>
      <c r="H372" s="160"/>
    </row>
    <row r="373" spans="1:8">
      <c r="A373" s="213"/>
      <c r="B373" s="214"/>
      <c r="C373" s="215"/>
      <c r="D373" s="215"/>
      <c r="E373" s="215"/>
      <c r="F373" s="215"/>
      <c r="G373" s="215"/>
      <c r="H373" s="160"/>
    </row>
    <row r="374" spans="1:8">
      <c r="A374" s="213"/>
      <c r="B374" s="214"/>
      <c r="C374" s="215"/>
      <c r="D374" s="215"/>
      <c r="E374" s="215"/>
      <c r="F374" s="215"/>
      <c r="G374" s="215"/>
      <c r="H374" s="160"/>
    </row>
    <row r="375" spans="1:8">
      <c r="A375" s="213"/>
      <c r="B375" s="214"/>
      <c r="C375" s="215"/>
      <c r="D375" s="215"/>
      <c r="E375" s="215"/>
      <c r="F375" s="215"/>
      <c r="G375" s="215"/>
      <c r="H375" s="160"/>
    </row>
    <row r="376" spans="1:8">
      <c r="A376" s="213"/>
      <c r="B376" s="214"/>
      <c r="C376" s="215"/>
      <c r="D376" s="215"/>
      <c r="E376" s="215"/>
      <c r="F376" s="215"/>
      <c r="G376" s="215"/>
      <c r="H376" s="160"/>
    </row>
    <row r="377" spans="1:8">
      <c r="A377" s="213"/>
      <c r="B377" s="214"/>
      <c r="C377" s="215"/>
      <c r="D377" s="215"/>
      <c r="E377" s="215"/>
      <c r="F377" s="215"/>
      <c r="G377" s="215"/>
      <c r="H377" s="160"/>
    </row>
    <row r="378" spans="1:8">
      <c r="A378" s="213"/>
      <c r="B378" s="214"/>
      <c r="C378" s="215"/>
      <c r="D378" s="215"/>
      <c r="E378" s="215"/>
      <c r="F378" s="215"/>
      <c r="G378" s="215"/>
      <c r="H378" s="160"/>
    </row>
    <row r="379" spans="1:8">
      <c r="A379" s="213"/>
      <c r="B379" s="214"/>
      <c r="C379" s="215"/>
      <c r="D379" s="215"/>
      <c r="E379" s="215"/>
      <c r="F379" s="215"/>
      <c r="G379" s="215"/>
      <c r="H379" s="160"/>
    </row>
    <row r="380" spans="1:8">
      <c r="A380" s="213"/>
      <c r="B380" s="214"/>
      <c r="C380" s="215"/>
      <c r="D380" s="215"/>
      <c r="E380" s="215"/>
      <c r="F380" s="215"/>
      <c r="G380" s="215"/>
      <c r="H380" s="160"/>
    </row>
    <row r="381" spans="1:8">
      <c r="A381" s="213"/>
      <c r="B381" s="214"/>
      <c r="C381" s="215"/>
      <c r="D381" s="215"/>
      <c r="E381" s="215"/>
      <c r="F381" s="215"/>
      <c r="G381" s="215"/>
      <c r="H381" s="160"/>
    </row>
    <row r="382" spans="1:8">
      <c r="A382" s="213"/>
      <c r="B382" s="214"/>
      <c r="C382" s="215"/>
      <c r="D382" s="215"/>
      <c r="E382" s="215"/>
      <c r="F382" s="215"/>
      <c r="G382" s="215"/>
      <c r="H382" s="160"/>
    </row>
    <row r="383" spans="1:8">
      <c r="A383" s="213"/>
      <c r="B383" s="214"/>
      <c r="C383" s="215"/>
      <c r="D383" s="215"/>
      <c r="E383" s="215"/>
      <c r="F383" s="215"/>
      <c r="G383" s="215"/>
      <c r="H383" s="160"/>
    </row>
    <row r="384" spans="1:8">
      <c r="A384" s="213"/>
      <c r="B384" s="214"/>
      <c r="C384" s="215"/>
      <c r="D384" s="215"/>
      <c r="E384" s="215"/>
      <c r="F384" s="215"/>
      <c r="G384" s="215"/>
      <c r="H384" s="160"/>
    </row>
    <row r="385" spans="1:8">
      <c r="A385" s="213"/>
      <c r="B385" s="214"/>
      <c r="C385" s="215"/>
      <c r="D385" s="215"/>
      <c r="E385" s="215"/>
      <c r="F385" s="215"/>
      <c r="G385" s="215"/>
      <c r="H385" s="160"/>
    </row>
    <row r="386" spans="1:8">
      <c r="A386" s="213"/>
      <c r="B386" s="214"/>
      <c r="C386" s="215"/>
      <c r="D386" s="215"/>
      <c r="E386" s="215"/>
      <c r="F386" s="215"/>
      <c r="G386" s="215"/>
      <c r="H386" s="160"/>
    </row>
    <row r="387" spans="1:8">
      <c r="A387" s="213"/>
      <c r="B387" s="214"/>
      <c r="C387" s="215"/>
      <c r="D387" s="215"/>
      <c r="E387" s="215"/>
      <c r="F387" s="215"/>
      <c r="G387" s="215"/>
      <c r="H387" s="160"/>
    </row>
    <row r="388" spans="1:8">
      <c r="A388" s="213"/>
      <c r="B388" s="214"/>
      <c r="C388" s="215"/>
      <c r="D388" s="215"/>
      <c r="E388" s="215"/>
      <c r="F388" s="215"/>
      <c r="G388" s="215"/>
      <c r="H388" s="160"/>
    </row>
    <row r="389" spans="1:8">
      <c r="A389" s="213"/>
      <c r="B389" s="214"/>
      <c r="C389" s="215"/>
      <c r="D389" s="215"/>
      <c r="E389" s="215"/>
      <c r="F389" s="215"/>
      <c r="G389" s="215"/>
      <c r="H389" s="160"/>
    </row>
    <row r="390" spans="1:8">
      <c r="A390" s="213"/>
      <c r="B390" s="214"/>
      <c r="C390" s="215"/>
      <c r="D390" s="215"/>
      <c r="E390" s="215"/>
      <c r="F390" s="215"/>
      <c r="G390" s="215"/>
      <c r="H390" s="160"/>
    </row>
    <row r="391" spans="1:8">
      <c r="A391" s="213"/>
      <c r="B391" s="214"/>
      <c r="C391" s="215"/>
      <c r="D391" s="215"/>
      <c r="E391" s="215"/>
      <c r="F391" s="215"/>
      <c r="G391" s="215"/>
      <c r="H391" s="160"/>
    </row>
    <row r="392" spans="1:8">
      <c r="A392" s="213"/>
      <c r="B392" s="214"/>
      <c r="C392" s="215"/>
      <c r="D392" s="215"/>
      <c r="E392" s="215"/>
      <c r="F392" s="215"/>
      <c r="G392" s="215"/>
      <c r="H392" s="160"/>
    </row>
    <row r="393" spans="1:8">
      <c r="A393" s="213"/>
      <c r="B393" s="214"/>
      <c r="C393" s="215"/>
      <c r="D393" s="215"/>
      <c r="E393" s="215"/>
      <c r="F393" s="215"/>
      <c r="G393" s="215"/>
      <c r="H393" s="160"/>
    </row>
    <row r="394" spans="1:8">
      <c r="A394" s="213"/>
      <c r="B394" s="214"/>
      <c r="C394" s="215"/>
      <c r="D394" s="215"/>
      <c r="E394" s="215"/>
      <c r="F394" s="215"/>
      <c r="G394" s="215"/>
      <c r="H394" s="160"/>
    </row>
    <row r="395" spans="1:8">
      <c r="A395" s="213"/>
      <c r="B395" s="214"/>
      <c r="C395" s="215"/>
      <c r="D395" s="215"/>
      <c r="E395" s="215"/>
      <c r="F395" s="215"/>
      <c r="G395" s="215"/>
      <c r="H395" s="160"/>
    </row>
    <row r="396" spans="1:8">
      <c r="A396" s="213"/>
      <c r="B396" s="214"/>
      <c r="C396" s="215"/>
      <c r="D396" s="215"/>
      <c r="E396" s="215"/>
      <c r="F396" s="215"/>
      <c r="G396" s="215"/>
      <c r="H396" s="160"/>
    </row>
    <row r="397" spans="1:8">
      <c r="A397" s="213"/>
      <c r="B397" s="214"/>
      <c r="C397" s="215"/>
      <c r="D397" s="215"/>
      <c r="E397" s="215"/>
      <c r="F397" s="215"/>
      <c r="G397" s="215"/>
      <c r="H397" s="160"/>
    </row>
    <row r="398" spans="1:8">
      <c r="A398" s="213"/>
      <c r="B398" s="214"/>
      <c r="C398" s="215"/>
      <c r="D398" s="215"/>
      <c r="E398" s="215"/>
      <c r="F398" s="215"/>
      <c r="G398" s="215"/>
      <c r="H398" s="160"/>
    </row>
    <row r="399" spans="1:8">
      <c r="A399" s="213"/>
      <c r="B399" s="214"/>
      <c r="C399" s="215"/>
      <c r="D399" s="215"/>
      <c r="E399" s="215"/>
      <c r="F399" s="215"/>
      <c r="G399" s="215"/>
      <c r="H399" s="160"/>
    </row>
    <row r="400" spans="1:8">
      <c r="A400" s="213"/>
      <c r="B400" s="214"/>
      <c r="C400" s="215"/>
      <c r="D400" s="215"/>
      <c r="E400" s="215"/>
      <c r="F400" s="215"/>
      <c r="G400" s="215"/>
      <c r="H400" s="160"/>
    </row>
    <row r="401" spans="1:8">
      <c r="A401" s="213"/>
      <c r="B401" s="214"/>
      <c r="C401" s="215"/>
      <c r="D401" s="215"/>
      <c r="E401" s="215"/>
      <c r="F401" s="215"/>
      <c r="G401" s="215"/>
      <c r="H401" s="160"/>
    </row>
    <row r="402" spans="1:8">
      <c r="A402" s="213"/>
      <c r="B402" s="214"/>
      <c r="C402" s="215"/>
      <c r="D402" s="215"/>
      <c r="E402" s="215"/>
      <c r="F402" s="215"/>
      <c r="G402" s="215"/>
      <c r="H402" s="160"/>
    </row>
    <row r="403" spans="1:8">
      <c r="A403" s="213"/>
      <c r="B403" s="214"/>
      <c r="C403" s="215"/>
      <c r="D403" s="215"/>
      <c r="E403" s="215"/>
      <c r="F403" s="215"/>
      <c r="G403" s="215"/>
      <c r="H403" s="160"/>
    </row>
    <row r="404" spans="1:8">
      <c r="A404" s="213"/>
      <c r="B404" s="214"/>
      <c r="C404" s="215"/>
      <c r="D404" s="215"/>
      <c r="E404" s="215"/>
      <c r="F404" s="215"/>
      <c r="G404" s="215"/>
      <c r="H404" s="160"/>
    </row>
    <row r="405" spans="1:8">
      <c r="A405" s="213"/>
      <c r="B405" s="214"/>
      <c r="C405" s="215"/>
      <c r="D405" s="215"/>
      <c r="E405" s="215"/>
      <c r="F405" s="215"/>
      <c r="G405" s="215"/>
      <c r="H405" s="160"/>
    </row>
    <row r="406" spans="1:8">
      <c r="A406" s="213"/>
      <c r="B406" s="214"/>
      <c r="C406" s="215"/>
      <c r="D406" s="215"/>
      <c r="E406" s="215"/>
      <c r="F406" s="215"/>
      <c r="G406" s="215"/>
      <c r="H406" s="160"/>
    </row>
    <row r="407" spans="1:8">
      <c r="A407" s="213"/>
      <c r="B407" s="214"/>
      <c r="C407" s="215"/>
      <c r="D407" s="215"/>
      <c r="E407" s="215"/>
      <c r="F407" s="215"/>
      <c r="G407" s="215"/>
      <c r="H407" s="160"/>
    </row>
    <row r="408" spans="1:8">
      <c r="A408" s="213"/>
      <c r="B408" s="214"/>
      <c r="C408" s="215"/>
      <c r="D408" s="215"/>
      <c r="E408" s="215"/>
      <c r="F408" s="215"/>
      <c r="G408" s="215"/>
      <c r="H408" s="160"/>
    </row>
    <row r="409" spans="1:8">
      <c r="A409" s="213"/>
      <c r="B409" s="214"/>
      <c r="C409" s="215"/>
      <c r="D409" s="215"/>
      <c r="E409" s="215"/>
      <c r="F409" s="215"/>
      <c r="G409" s="215"/>
      <c r="H409" s="160"/>
    </row>
    <row r="410" spans="1:8">
      <c r="A410" s="213"/>
      <c r="B410" s="214"/>
      <c r="C410" s="215"/>
      <c r="D410" s="215"/>
      <c r="E410" s="215"/>
      <c r="F410" s="215"/>
      <c r="G410" s="215"/>
      <c r="H410" s="160"/>
    </row>
    <row r="411" spans="1:8">
      <c r="A411" s="213"/>
      <c r="B411" s="214"/>
      <c r="C411" s="215"/>
      <c r="D411" s="215"/>
      <c r="E411" s="215"/>
      <c r="F411" s="215"/>
      <c r="G411" s="215"/>
      <c r="H411" s="160"/>
    </row>
    <row r="412" spans="1:8">
      <c r="A412" s="213"/>
      <c r="B412" s="214"/>
      <c r="C412" s="215"/>
      <c r="D412" s="215"/>
      <c r="E412" s="215"/>
      <c r="F412" s="215"/>
      <c r="G412" s="215"/>
      <c r="H412" s="160"/>
    </row>
    <row r="413" spans="1:8">
      <c r="A413" s="213"/>
      <c r="B413" s="214"/>
      <c r="C413" s="215"/>
      <c r="D413" s="215"/>
      <c r="E413" s="215"/>
      <c r="F413" s="215"/>
      <c r="G413" s="215"/>
      <c r="H413" s="160"/>
    </row>
    <row r="414" spans="1:8">
      <c r="A414" s="213"/>
      <c r="B414" s="214"/>
      <c r="C414" s="215"/>
      <c r="D414" s="215"/>
      <c r="E414" s="215"/>
      <c r="F414" s="215"/>
      <c r="G414" s="215"/>
      <c r="H414" s="160"/>
    </row>
    <row r="415" spans="1:8">
      <c r="A415" s="213"/>
      <c r="B415" s="214"/>
      <c r="C415" s="215"/>
      <c r="D415" s="215"/>
      <c r="E415" s="215"/>
      <c r="F415" s="215"/>
      <c r="G415" s="215"/>
      <c r="H415" s="160"/>
    </row>
    <row r="416" spans="1:8">
      <c r="A416" s="213"/>
      <c r="B416" s="214"/>
      <c r="C416" s="215"/>
      <c r="D416" s="215"/>
      <c r="E416" s="215"/>
      <c r="F416" s="215"/>
      <c r="G416" s="215"/>
      <c r="H416" s="160"/>
    </row>
    <row r="417" spans="1:8">
      <c r="A417" s="213"/>
      <c r="B417" s="214"/>
      <c r="C417" s="215"/>
      <c r="D417" s="215"/>
      <c r="E417" s="215"/>
      <c r="F417" s="215"/>
      <c r="G417" s="215"/>
      <c r="H417" s="160"/>
    </row>
    <row r="418" spans="1:8">
      <c r="A418" s="213"/>
      <c r="B418" s="214"/>
      <c r="C418" s="215"/>
      <c r="D418" s="215"/>
      <c r="E418" s="215"/>
      <c r="F418" s="215"/>
      <c r="G418" s="215"/>
      <c r="H418" s="160"/>
    </row>
    <row r="419" spans="1:8">
      <c r="A419" s="213"/>
      <c r="B419" s="214"/>
      <c r="C419" s="215"/>
      <c r="D419" s="215"/>
      <c r="E419" s="215"/>
      <c r="F419" s="215"/>
      <c r="G419" s="215"/>
      <c r="H419" s="160"/>
    </row>
    <row r="420" spans="1:8">
      <c r="A420" s="213"/>
      <c r="B420" s="214"/>
      <c r="C420" s="215"/>
      <c r="D420" s="215"/>
      <c r="E420" s="215"/>
      <c r="F420" s="215"/>
      <c r="G420" s="215"/>
      <c r="H420" s="160"/>
    </row>
    <row r="421" spans="1:8">
      <c r="A421" s="213"/>
      <c r="B421" s="214"/>
      <c r="C421" s="215"/>
      <c r="D421" s="215"/>
      <c r="E421" s="215"/>
      <c r="F421" s="215"/>
      <c r="G421" s="215"/>
      <c r="H421" s="160"/>
    </row>
    <row r="422" spans="1:8">
      <c r="A422" s="213"/>
      <c r="B422" s="214"/>
      <c r="C422" s="215"/>
      <c r="D422" s="215"/>
      <c r="E422" s="215"/>
      <c r="F422" s="215"/>
      <c r="G422" s="215"/>
      <c r="H422" s="160"/>
    </row>
    <row r="423" spans="1:8">
      <c r="A423" s="213"/>
      <c r="B423" s="214"/>
      <c r="C423" s="215"/>
      <c r="D423" s="215"/>
      <c r="E423" s="215"/>
      <c r="F423" s="215"/>
      <c r="G423" s="215"/>
      <c r="H423" s="160"/>
    </row>
    <row r="424" spans="1:8">
      <c r="A424" s="213"/>
      <c r="B424" s="214"/>
      <c r="C424" s="215"/>
      <c r="D424" s="215"/>
      <c r="E424" s="215"/>
      <c r="F424" s="215"/>
      <c r="G424" s="215"/>
      <c r="H424" s="160"/>
    </row>
    <row r="425" spans="1:8">
      <c r="A425" s="213"/>
      <c r="B425" s="214"/>
      <c r="C425" s="215"/>
      <c r="D425" s="215"/>
      <c r="E425" s="215"/>
      <c r="F425" s="215"/>
      <c r="G425" s="215"/>
      <c r="H425" s="160"/>
    </row>
    <row r="426" spans="1:8">
      <c r="A426" s="213"/>
      <c r="B426" s="214"/>
      <c r="C426" s="215"/>
      <c r="D426" s="215"/>
      <c r="E426" s="215"/>
      <c r="F426" s="215"/>
      <c r="G426" s="215"/>
      <c r="H426" s="160"/>
    </row>
    <row r="427" spans="1:8">
      <c r="A427" s="213"/>
      <c r="B427" s="214"/>
      <c r="C427" s="215"/>
      <c r="D427" s="215"/>
      <c r="E427" s="215"/>
      <c r="F427" s="215"/>
      <c r="G427" s="215"/>
      <c r="H427" s="160"/>
    </row>
    <row r="428" spans="1:8">
      <c r="A428" s="213"/>
      <c r="B428" s="214"/>
      <c r="C428" s="215"/>
      <c r="D428" s="215"/>
      <c r="E428" s="215"/>
      <c r="F428" s="215"/>
      <c r="G428" s="215"/>
      <c r="H428" s="160"/>
    </row>
    <row r="429" spans="1:8">
      <c r="A429" s="213"/>
      <c r="B429" s="214"/>
      <c r="C429" s="215"/>
      <c r="D429" s="215"/>
      <c r="E429" s="215"/>
      <c r="F429" s="215"/>
      <c r="G429" s="215"/>
      <c r="H429" s="160"/>
    </row>
    <row r="430" spans="1:8">
      <c r="A430" s="213"/>
      <c r="B430" s="214"/>
      <c r="C430" s="215"/>
      <c r="D430" s="215"/>
      <c r="E430" s="215"/>
      <c r="F430" s="215"/>
      <c r="G430" s="215"/>
      <c r="H430" s="160"/>
    </row>
    <row r="431" spans="1:8">
      <c r="A431" s="213"/>
      <c r="B431" s="214"/>
      <c r="C431" s="215"/>
      <c r="D431" s="215"/>
      <c r="E431" s="215"/>
      <c r="F431" s="215"/>
      <c r="G431" s="215"/>
      <c r="H431" s="160"/>
    </row>
    <row r="432" spans="1:8">
      <c r="A432" s="213"/>
      <c r="B432" s="214"/>
      <c r="C432" s="215"/>
      <c r="D432" s="215"/>
      <c r="E432" s="215"/>
      <c r="F432" s="215"/>
      <c r="G432" s="215"/>
      <c r="H432" s="160"/>
    </row>
    <row r="433" spans="1:8">
      <c r="A433" s="213"/>
      <c r="B433" s="214"/>
      <c r="C433" s="215"/>
      <c r="D433" s="215"/>
      <c r="E433" s="215"/>
      <c r="F433" s="215"/>
      <c r="G433" s="215"/>
      <c r="H433" s="160"/>
    </row>
    <row r="434" spans="1:8">
      <c r="A434" s="213"/>
      <c r="B434" s="214"/>
      <c r="C434" s="215"/>
      <c r="D434" s="215"/>
      <c r="E434" s="215"/>
      <c r="F434" s="215"/>
      <c r="G434" s="215"/>
      <c r="H434" s="160"/>
    </row>
    <row r="435" spans="1:8">
      <c r="A435" s="213"/>
      <c r="B435" s="214"/>
      <c r="C435" s="215"/>
      <c r="D435" s="215"/>
      <c r="E435" s="215"/>
      <c r="F435" s="215"/>
      <c r="G435" s="215"/>
      <c r="H435" s="160"/>
    </row>
    <row r="436" spans="1:8">
      <c r="A436" s="213"/>
      <c r="B436" s="214"/>
      <c r="C436" s="215"/>
      <c r="D436" s="215"/>
      <c r="E436" s="215"/>
      <c r="F436" s="215"/>
      <c r="G436" s="215"/>
      <c r="H436" s="160"/>
    </row>
    <row r="437" spans="1:8">
      <c r="A437" s="213"/>
      <c r="B437" s="214"/>
      <c r="C437" s="215"/>
      <c r="D437" s="215"/>
      <c r="E437" s="215"/>
      <c r="F437" s="215"/>
      <c r="G437" s="215"/>
      <c r="H437" s="160"/>
    </row>
    <row r="438" spans="1:8">
      <c r="A438" s="213"/>
      <c r="B438" s="214"/>
      <c r="C438" s="215"/>
      <c r="D438" s="215"/>
      <c r="E438" s="215"/>
      <c r="F438" s="215"/>
      <c r="G438" s="215"/>
      <c r="H438" s="160"/>
    </row>
    <row r="439" spans="1:8">
      <c r="A439" s="213"/>
      <c r="B439" s="214"/>
      <c r="C439" s="215"/>
      <c r="D439" s="215"/>
      <c r="E439" s="215"/>
      <c r="F439" s="215"/>
      <c r="G439" s="215"/>
      <c r="H439" s="160"/>
    </row>
    <row r="440" spans="1:8">
      <c r="A440" s="213"/>
      <c r="B440" s="214"/>
      <c r="C440" s="215"/>
      <c r="D440" s="215"/>
      <c r="E440" s="215"/>
      <c r="F440" s="215"/>
      <c r="G440" s="215"/>
      <c r="H440" s="160"/>
    </row>
    <row r="441" spans="1:8">
      <c r="A441" s="213"/>
      <c r="B441" s="214"/>
      <c r="C441" s="215"/>
      <c r="D441" s="215"/>
      <c r="E441" s="215"/>
      <c r="F441" s="215"/>
      <c r="G441" s="215"/>
      <c r="H441" s="160"/>
    </row>
    <row r="442" spans="1:8">
      <c r="A442" s="213"/>
      <c r="B442" s="214"/>
      <c r="C442" s="215"/>
      <c r="D442" s="215"/>
      <c r="E442" s="215"/>
      <c r="F442" s="215"/>
      <c r="G442" s="215"/>
      <c r="H442" s="160"/>
    </row>
    <row r="443" spans="1:8">
      <c r="A443" s="213"/>
      <c r="B443" s="214"/>
      <c r="C443" s="215"/>
      <c r="D443" s="215"/>
      <c r="E443" s="215"/>
      <c r="F443" s="215"/>
      <c r="G443" s="215"/>
      <c r="H443" s="160"/>
    </row>
    <row r="444" spans="1:8">
      <c r="A444" s="213"/>
      <c r="B444" s="214"/>
      <c r="C444" s="215"/>
      <c r="D444" s="215"/>
      <c r="E444" s="215"/>
      <c r="F444" s="215"/>
      <c r="G444" s="215"/>
      <c r="H444" s="160"/>
    </row>
    <row r="445" spans="1:8">
      <c r="A445" s="213"/>
      <c r="B445" s="214"/>
      <c r="C445" s="215"/>
      <c r="D445" s="215"/>
      <c r="E445" s="215"/>
      <c r="F445" s="215"/>
      <c r="G445" s="215"/>
      <c r="H445" s="160"/>
    </row>
    <row r="446" spans="1:8">
      <c r="A446" s="213"/>
      <c r="B446" s="214"/>
      <c r="C446" s="215"/>
      <c r="D446" s="215"/>
      <c r="E446" s="215"/>
      <c r="F446" s="215"/>
      <c r="G446" s="215"/>
      <c r="H446" s="160"/>
    </row>
    <row r="447" spans="1:8">
      <c r="A447" s="213"/>
      <c r="B447" s="214"/>
      <c r="C447" s="215"/>
      <c r="D447" s="215"/>
      <c r="E447" s="215"/>
      <c r="F447" s="215"/>
      <c r="G447" s="215"/>
      <c r="H447" s="160"/>
    </row>
    <row r="448" spans="1:8">
      <c r="A448" s="213"/>
      <c r="B448" s="214"/>
      <c r="C448" s="215"/>
      <c r="D448" s="215"/>
      <c r="E448" s="215"/>
      <c r="F448" s="215"/>
      <c r="G448" s="215"/>
      <c r="H448" s="160"/>
    </row>
    <row r="449" spans="1:8">
      <c r="A449" s="213"/>
      <c r="B449" s="214"/>
      <c r="C449" s="215"/>
      <c r="D449" s="215"/>
      <c r="E449" s="215"/>
      <c r="F449" s="215"/>
      <c r="G449" s="215"/>
      <c r="H449" s="160"/>
    </row>
    <row r="450" spans="1:8">
      <c r="A450" s="213"/>
      <c r="B450" s="214"/>
      <c r="C450" s="215"/>
      <c r="D450" s="215"/>
      <c r="E450" s="215"/>
      <c r="F450" s="215"/>
      <c r="G450" s="215"/>
      <c r="H450" s="160"/>
    </row>
    <row r="451" spans="1:8">
      <c r="A451" s="213"/>
      <c r="B451" s="214"/>
      <c r="C451" s="215"/>
      <c r="D451" s="215"/>
      <c r="E451" s="215"/>
      <c r="F451" s="215"/>
      <c r="G451" s="215"/>
      <c r="H451" s="160"/>
    </row>
    <row r="452" spans="1:8">
      <c r="A452" s="213"/>
      <c r="B452" s="214"/>
      <c r="C452" s="215"/>
      <c r="D452" s="215"/>
      <c r="E452" s="215"/>
      <c r="F452" s="215"/>
      <c r="G452" s="215"/>
      <c r="H452" s="160"/>
    </row>
    <row r="453" spans="1:8">
      <c r="A453" s="213"/>
      <c r="B453" s="214"/>
      <c r="C453" s="215"/>
      <c r="D453" s="215"/>
      <c r="E453" s="215"/>
      <c r="F453" s="215"/>
      <c r="G453" s="215"/>
      <c r="H453" s="160"/>
    </row>
    <row r="454" spans="1:8">
      <c r="A454" s="213"/>
      <c r="B454" s="214"/>
      <c r="C454" s="215"/>
      <c r="D454" s="215"/>
      <c r="E454" s="215"/>
      <c r="F454" s="215"/>
      <c r="G454" s="215"/>
      <c r="H454" s="160"/>
    </row>
    <row r="455" spans="1:8">
      <c r="A455" s="213"/>
      <c r="B455" s="214"/>
      <c r="C455" s="215"/>
      <c r="D455" s="215"/>
      <c r="E455" s="215"/>
      <c r="F455" s="215"/>
      <c r="G455" s="215"/>
      <c r="H455" s="160"/>
    </row>
    <row r="456" spans="1:8">
      <c r="A456" s="213"/>
      <c r="B456" s="214"/>
      <c r="C456" s="215"/>
      <c r="D456" s="215"/>
      <c r="E456" s="215"/>
      <c r="F456" s="215"/>
      <c r="G456" s="215"/>
      <c r="H456" s="160"/>
    </row>
    <row r="457" spans="1:8">
      <c r="A457" s="213"/>
      <c r="B457" s="214"/>
      <c r="C457" s="215"/>
      <c r="D457" s="215"/>
      <c r="E457" s="215"/>
      <c r="F457" s="215"/>
      <c r="G457" s="215"/>
      <c r="H457" s="160"/>
    </row>
    <row r="458" spans="1:8">
      <c r="A458" s="213"/>
      <c r="B458" s="214"/>
      <c r="C458" s="215"/>
      <c r="D458" s="215"/>
      <c r="E458" s="215"/>
      <c r="F458" s="215"/>
      <c r="G458" s="215"/>
      <c r="H458" s="160"/>
    </row>
    <row r="459" spans="1:8">
      <c r="A459" s="213"/>
      <c r="B459" s="214"/>
      <c r="C459" s="215"/>
      <c r="D459" s="215"/>
      <c r="E459" s="215"/>
      <c r="F459" s="215"/>
      <c r="G459" s="215"/>
      <c r="H459" s="160"/>
    </row>
    <row r="460" spans="1:8">
      <c r="A460" s="213"/>
      <c r="B460" s="214"/>
      <c r="C460" s="215"/>
      <c r="D460" s="215"/>
      <c r="E460" s="215"/>
      <c r="F460" s="215"/>
      <c r="G460" s="215"/>
      <c r="H460" s="160"/>
    </row>
    <row r="461" spans="1:8">
      <c r="A461" s="213"/>
      <c r="B461" s="214"/>
      <c r="C461" s="215"/>
      <c r="D461" s="215"/>
      <c r="E461" s="215"/>
      <c r="F461" s="215"/>
      <c r="G461" s="215"/>
      <c r="H461" s="160"/>
    </row>
    <row r="462" spans="1:8">
      <c r="A462" s="213"/>
      <c r="B462" s="214"/>
      <c r="C462" s="215"/>
      <c r="D462" s="215"/>
      <c r="E462" s="215"/>
      <c r="F462" s="215"/>
      <c r="G462" s="215"/>
      <c r="H462" s="160"/>
    </row>
    <row r="463" spans="1:8">
      <c r="A463" s="213"/>
      <c r="B463" s="214"/>
      <c r="C463" s="215"/>
      <c r="D463" s="215"/>
      <c r="E463" s="215"/>
      <c r="F463" s="215"/>
      <c r="G463" s="215"/>
      <c r="H463" s="160"/>
    </row>
    <row r="464" spans="1:8">
      <c r="A464" s="213"/>
      <c r="B464" s="214"/>
      <c r="C464" s="215"/>
      <c r="D464" s="215"/>
      <c r="E464" s="215"/>
      <c r="F464" s="215"/>
      <c r="G464" s="215"/>
      <c r="H464" s="160"/>
    </row>
    <row r="465" spans="1:8">
      <c r="A465" s="213"/>
      <c r="B465" s="214"/>
      <c r="C465" s="215"/>
      <c r="D465" s="215"/>
      <c r="E465" s="215"/>
      <c r="F465" s="215"/>
      <c r="G465" s="215"/>
      <c r="H465" s="160"/>
    </row>
    <row r="466" spans="1:8">
      <c r="A466" s="213"/>
      <c r="B466" s="214"/>
      <c r="C466" s="215"/>
      <c r="D466" s="215"/>
      <c r="E466" s="215"/>
      <c r="F466" s="215"/>
      <c r="G466" s="215"/>
      <c r="H466" s="160"/>
    </row>
    <row r="467" spans="1:8">
      <c r="A467" s="213"/>
      <c r="B467" s="214"/>
      <c r="C467" s="215"/>
      <c r="D467" s="215"/>
      <c r="E467" s="215"/>
      <c r="F467" s="215"/>
      <c r="G467" s="215"/>
      <c r="H467" s="160"/>
    </row>
    <row r="468" spans="1:8">
      <c r="A468" s="213"/>
      <c r="B468" s="214"/>
      <c r="C468" s="215"/>
      <c r="D468" s="215"/>
      <c r="E468" s="215"/>
      <c r="F468" s="215"/>
      <c r="G468" s="215"/>
      <c r="H468" s="160"/>
    </row>
    <row r="469" spans="1:8">
      <c r="A469" s="213"/>
      <c r="B469" s="214"/>
      <c r="C469" s="215"/>
      <c r="D469" s="215"/>
      <c r="E469" s="215"/>
      <c r="F469" s="215"/>
      <c r="G469" s="215"/>
      <c r="H469" s="160"/>
    </row>
    <row r="470" spans="1:8">
      <c r="A470" s="213"/>
      <c r="B470" s="214"/>
      <c r="C470" s="215"/>
      <c r="D470" s="215"/>
      <c r="E470" s="215"/>
      <c r="F470" s="215"/>
      <c r="G470" s="215"/>
      <c r="H470" s="160"/>
    </row>
    <row r="471" spans="1:8">
      <c r="A471" s="213"/>
      <c r="B471" s="214"/>
      <c r="C471" s="215"/>
      <c r="D471" s="215"/>
      <c r="E471" s="215"/>
      <c r="F471" s="215"/>
      <c r="G471" s="215"/>
      <c r="H471" s="160"/>
    </row>
    <row r="472" spans="1:8">
      <c r="A472" s="213"/>
      <c r="B472" s="214"/>
      <c r="C472" s="215"/>
      <c r="D472" s="215"/>
      <c r="E472" s="215"/>
      <c r="F472" s="215"/>
      <c r="G472" s="215"/>
      <c r="H472" s="160"/>
    </row>
    <row r="473" spans="1:8">
      <c r="A473" s="213"/>
      <c r="B473" s="214"/>
      <c r="C473" s="215"/>
      <c r="D473" s="215"/>
      <c r="E473" s="215"/>
      <c r="F473" s="215"/>
      <c r="G473" s="215"/>
      <c r="H473" s="160"/>
    </row>
    <row r="474" spans="1:8">
      <c r="A474" s="213"/>
      <c r="B474" s="214"/>
      <c r="C474" s="215"/>
      <c r="D474" s="215"/>
      <c r="E474" s="215"/>
      <c r="F474" s="215"/>
      <c r="G474" s="215"/>
      <c r="H474" s="160"/>
    </row>
    <row r="475" spans="1:8">
      <c r="A475" s="213"/>
      <c r="B475" s="214"/>
      <c r="C475" s="215"/>
      <c r="D475" s="215"/>
      <c r="E475" s="215"/>
      <c r="F475" s="215"/>
      <c r="G475" s="215"/>
      <c r="H475" s="160"/>
    </row>
    <row r="476" spans="1:8">
      <c r="A476" s="213"/>
      <c r="B476" s="214"/>
      <c r="C476" s="215"/>
      <c r="D476" s="215"/>
      <c r="E476" s="215"/>
      <c r="F476" s="215"/>
      <c r="G476" s="215"/>
      <c r="H476" s="160"/>
    </row>
    <row r="477" spans="1:8">
      <c r="A477" s="213"/>
      <c r="B477" s="214"/>
      <c r="C477" s="215"/>
      <c r="D477" s="215"/>
      <c r="E477" s="215"/>
      <c r="F477" s="215"/>
      <c r="G477" s="215"/>
      <c r="H477" s="160"/>
    </row>
    <row r="478" spans="1:8">
      <c r="A478" s="213"/>
      <c r="B478" s="214"/>
      <c r="C478" s="215"/>
      <c r="D478" s="215"/>
      <c r="E478" s="215"/>
      <c r="F478" s="215"/>
      <c r="G478" s="215"/>
      <c r="H478" s="160"/>
    </row>
    <row r="479" spans="1:8">
      <c r="A479" s="213"/>
      <c r="B479" s="214"/>
      <c r="C479" s="215"/>
      <c r="D479" s="215"/>
      <c r="E479" s="215"/>
      <c r="F479" s="215"/>
      <c r="G479" s="215"/>
      <c r="H479" s="160"/>
    </row>
    <row r="480" spans="1:8">
      <c r="A480" s="213"/>
      <c r="B480" s="214"/>
      <c r="C480" s="215"/>
      <c r="D480" s="215"/>
      <c r="E480" s="215"/>
      <c r="F480" s="215"/>
      <c r="G480" s="215"/>
      <c r="H480" s="160"/>
    </row>
    <row r="481" spans="1:8">
      <c r="A481" s="213"/>
      <c r="B481" s="214"/>
      <c r="C481" s="215"/>
      <c r="D481" s="215"/>
      <c r="E481" s="215"/>
      <c r="F481" s="215"/>
      <c r="G481" s="215"/>
      <c r="H481" s="160"/>
    </row>
    <row r="482" spans="1:8">
      <c r="A482" s="213"/>
      <c r="B482" s="214"/>
      <c r="C482" s="215"/>
      <c r="D482" s="215"/>
      <c r="E482" s="215"/>
      <c r="F482" s="215"/>
      <c r="G482" s="215"/>
      <c r="H482" s="160"/>
    </row>
    <row r="483" spans="1:8">
      <c r="A483" s="213"/>
      <c r="B483" s="214"/>
      <c r="C483" s="215"/>
      <c r="D483" s="215"/>
      <c r="E483" s="215"/>
      <c r="F483" s="215"/>
      <c r="G483" s="215"/>
      <c r="H483" s="160"/>
    </row>
    <row r="484" spans="1:8">
      <c r="A484" s="213"/>
      <c r="B484" s="214"/>
      <c r="C484" s="215"/>
      <c r="D484" s="215"/>
      <c r="E484" s="215"/>
      <c r="F484" s="215"/>
      <c r="G484" s="215"/>
      <c r="H484" s="160"/>
    </row>
    <row r="485" spans="1:8">
      <c r="A485" s="213"/>
      <c r="B485" s="214"/>
      <c r="C485" s="215"/>
      <c r="D485" s="215"/>
      <c r="E485" s="215"/>
      <c r="F485" s="215"/>
      <c r="G485" s="215"/>
      <c r="H485" s="160"/>
    </row>
    <row r="486" spans="1:8">
      <c r="A486" s="213"/>
      <c r="B486" s="214"/>
      <c r="C486" s="215"/>
      <c r="D486" s="215"/>
      <c r="E486" s="215"/>
      <c r="F486" s="215"/>
      <c r="G486" s="215"/>
      <c r="H486" s="160"/>
    </row>
    <row r="487" spans="1:8">
      <c r="A487" s="213"/>
      <c r="B487" s="214"/>
      <c r="C487" s="215"/>
      <c r="D487" s="215"/>
      <c r="E487" s="215"/>
      <c r="F487" s="215"/>
      <c r="G487" s="215"/>
      <c r="H487" s="160"/>
    </row>
    <row r="488" spans="1:8">
      <c r="A488" s="213"/>
      <c r="B488" s="214"/>
      <c r="C488" s="215"/>
      <c r="D488" s="215"/>
      <c r="E488" s="215"/>
      <c r="F488" s="215"/>
      <c r="G488" s="215"/>
      <c r="H488" s="160"/>
    </row>
    <row r="489" spans="1:8">
      <c r="A489" s="213"/>
      <c r="B489" s="214"/>
      <c r="C489" s="215"/>
      <c r="D489" s="215"/>
      <c r="E489" s="215"/>
      <c r="F489" s="215"/>
      <c r="G489" s="215"/>
      <c r="H489" s="160"/>
    </row>
    <row r="490" spans="1:8">
      <c r="A490" s="213"/>
      <c r="B490" s="214"/>
      <c r="C490" s="215"/>
      <c r="D490" s="215"/>
      <c r="E490" s="215"/>
      <c r="F490" s="215"/>
      <c r="G490" s="215"/>
      <c r="H490" s="160"/>
    </row>
    <row r="491" spans="1:8">
      <c r="A491" s="213"/>
      <c r="B491" s="214"/>
      <c r="C491" s="215"/>
      <c r="D491" s="215"/>
      <c r="E491" s="215"/>
      <c r="F491" s="215"/>
      <c r="G491" s="215"/>
      <c r="H491" s="160"/>
    </row>
    <row r="492" spans="1:8">
      <c r="A492" s="213"/>
      <c r="B492" s="214"/>
      <c r="C492" s="215"/>
      <c r="D492" s="215"/>
      <c r="E492" s="215"/>
      <c r="F492" s="215"/>
      <c r="G492" s="215"/>
      <c r="H492" s="160"/>
    </row>
    <row r="493" spans="1:8">
      <c r="A493" s="213"/>
      <c r="B493" s="214"/>
      <c r="C493" s="215"/>
      <c r="D493" s="215"/>
      <c r="E493" s="215"/>
      <c r="F493" s="215"/>
      <c r="G493" s="215"/>
      <c r="H493" s="160"/>
    </row>
    <row r="494" spans="1:8">
      <c r="A494" s="213"/>
      <c r="B494" s="214"/>
      <c r="C494" s="215"/>
      <c r="D494" s="215"/>
      <c r="E494" s="215"/>
      <c r="F494" s="215"/>
      <c r="G494" s="215"/>
      <c r="H494" s="160"/>
    </row>
    <row r="495" spans="1:8">
      <c r="A495" s="213"/>
      <c r="B495" s="214"/>
      <c r="C495" s="215"/>
      <c r="D495" s="215"/>
      <c r="E495" s="215"/>
      <c r="F495" s="215"/>
      <c r="G495" s="215"/>
      <c r="H495" s="160"/>
    </row>
    <row r="496" spans="1:8">
      <c r="A496" s="213"/>
      <c r="B496" s="214"/>
      <c r="C496" s="215"/>
      <c r="D496" s="215"/>
      <c r="E496" s="215"/>
      <c r="F496" s="215"/>
      <c r="G496" s="215"/>
      <c r="H496" s="160"/>
    </row>
    <row r="497" spans="1:8">
      <c r="A497" s="213"/>
      <c r="B497" s="214"/>
      <c r="C497" s="215"/>
      <c r="D497" s="215"/>
      <c r="E497" s="215"/>
      <c r="F497" s="215"/>
      <c r="G497" s="215"/>
      <c r="H497" s="160"/>
    </row>
    <row r="498" spans="1:8">
      <c r="A498" s="213"/>
      <c r="B498" s="214"/>
      <c r="C498" s="215"/>
      <c r="D498" s="215"/>
      <c r="E498" s="215"/>
      <c r="F498" s="215"/>
      <c r="G498" s="215"/>
      <c r="H498" s="160"/>
    </row>
    <row r="499" spans="1:8">
      <c r="A499" s="213"/>
      <c r="B499" s="214"/>
      <c r="C499" s="215"/>
      <c r="D499" s="215"/>
      <c r="E499" s="215"/>
      <c r="F499" s="215"/>
      <c r="G499" s="215"/>
      <c r="H499" s="160"/>
    </row>
    <row r="500" spans="1:8">
      <c r="A500" s="213"/>
      <c r="B500" s="214"/>
      <c r="C500" s="215"/>
      <c r="D500" s="215"/>
      <c r="E500" s="215"/>
      <c r="F500" s="215"/>
      <c r="G500" s="215"/>
      <c r="H500" s="160"/>
    </row>
    <row r="501" spans="1:8">
      <c r="A501" s="213"/>
      <c r="B501" s="214"/>
      <c r="C501" s="215"/>
      <c r="D501" s="215"/>
      <c r="E501" s="215"/>
      <c r="F501" s="215"/>
      <c r="G501" s="215"/>
      <c r="H501" s="160"/>
    </row>
    <row r="502" spans="1:8">
      <c r="A502" s="213"/>
      <c r="B502" s="214"/>
      <c r="C502" s="215"/>
      <c r="D502" s="215"/>
      <c r="E502" s="215"/>
      <c r="F502" s="215"/>
      <c r="G502" s="215"/>
      <c r="H502" s="160"/>
    </row>
    <row r="503" spans="1:8">
      <c r="A503" s="213"/>
      <c r="B503" s="214"/>
      <c r="C503" s="215"/>
      <c r="D503" s="215"/>
      <c r="E503" s="215"/>
      <c r="F503" s="215"/>
      <c r="G503" s="215"/>
      <c r="H503" s="160"/>
    </row>
    <row r="504" spans="1:8">
      <c r="A504" s="213"/>
      <c r="B504" s="214"/>
      <c r="C504" s="215"/>
      <c r="D504" s="215"/>
      <c r="E504" s="215"/>
      <c r="F504" s="215"/>
      <c r="G504" s="215"/>
      <c r="H504" s="160"/>
    </row>
    <row r="505" spans="1:8">
      <c r="A505" s="213"/>
      <c r="B505" s="214"/>
      <c r="C505" s="215"/>
      <c r="D505" s="215"/>
      <c r="E505" s="215"/>
      <c r="F505" s="215"/>
      <c r="G505" s="215"/>
      <c r="H505" s="160"/>
    </row>
    <row r="506" spans="1:8">
      <c r="A506" s="213"/>
      <c r="B506" s="214"/>
      <c r="C506" s="215"/>
      <c r="D506" s="215"/>
      <c r="E506" s="215"/>
      <c r="F506" s="215"/>
      <c r="G506" s="215"/>
      <c r="H506" s="160"/>
    </row>
    <row r="507" spans="1:8">
      <c r="A507" s="213"/>
      <c r="B507" s="214"/>
      <c r="C507" s="215"/>
      <c r="D507" s="215"/>
      <c r="E507" s="215"/>
      <c r="F507" s="215"/>
      <c r="G507" s="215"/>
      <c r="H507" s="160"/>
    </row>
    <row r="508" spans="1:8">
      <c r="A508" s="213"/>
      <c r="B508" s="214"/>
      <c r="C508" s="215"/>
      <c r="D508" s="215"/>
      <c r="E508" s="215"/>
      <c r="F508" s="215"/>
      <c r="G508" s="215"/>
      <c r="H508" s="160"/>
    </row>
    <row r="509" spans="1:8">
      <c r="A509" s="213"/>
      <c r="B509" s="214"/>
      <c r="C509" s="215"/>
      <c r="D509" s="215"/>
      <c r="E509" s="215"/>
      <c r="F509" s="215"/>
      <c r="G509" s="215"/>
      <c r="H509" s="160"/>
    </row>
    <row r="510" spans="1:8">
      <c r="A510" s="213"/>
      <c r="B510" s="214"/>
      <c r="C510" s="215"/>
      <c r="D510" s="215"/>
      <c r="E510" s="215"/>
      <c r="F510" s="215"/>
      <c r="G510" s="215"/>
      <c r="H510" s="160"/>
    </row>
    <row r="511" spans="1:8">
      <c r="A511" s="213"/>
      <c r="B511" s="214"/>
      <c r="C511" s="215"/>
      <c r="D511" s="215"/>
      <c r="E511" s="215"/>
      <c r="F511" s="215"/>
      <c r="G511" s="215"/>
      <c r="H511" s="160"/>
    </row>
    <row r="512" spans="1:8">
      <c r="A512" s="213"/>
      <c r="B512" s="214"/>
      <c r="C512" s="215"/>
      <c r="D512" s="215"/>
      <c r="E512" s="215"/>
      <c r="F512" s="215"/>
      <c r="G512" s="215"/>
      <c r="H512" s="160"/>
    </row>
    <row r="513" spans="1:8">
      <c r="A513" s="213"/>
      <c r="B513" s="214"/>
      <c r="C513" s="215"/>
      <c r="D513" s="215"/>
      <c r="E513" s="215"/>
      <c r="F513" s="215"/>
      <c r="G513" s="215"/>
      <c r="H513" s="160"/>
    </row>
    <row r="514" spans="1:8">
      <c r="A514" s="213"/>
      <c r="B514" s="214"/>
      <c r="C514" s="215"/>
      <c r="D514" s="215"/>
      <c r="E514" s="215"/>
      <c r="F514" s="215"/>
      <c r="G514" s="215"/>
      <c r="H514" s="160"/>
    </row>
    <row r="515" spans="1:8">
      <c r="A515" s="213"/>
      <c r="B515" s="214"/>
      <c r="C515" s="215"/>
      <c r="D515" s="215"/>
      <c r="E515" s="215"/>
      <c r="F515" s="215"/>
      <c r="G515" s="215"/>
      <c r="H515" s="160"/>
    </row>
    <row r="516" spans="1:8">
      <c r="A516" s="213"/>
      <c r="B516" s="214"/>
      <c r="C516" s="215"/>
      <c r="D516" s="215"/>
      <c r="E516" s="215"/>
      <c r="F516" s="215"/>
      <c r="G516" s="215"/>
      <c r="H516" s="160"/>
    </row>
    <row r="517" spans="1:8">
      <c r="A517" s="213"/>
      <c r="B517" s="214"/>
      <c r="C517" s="215"/>
      <c r="D517" s="215"/>
      <c r="E517" s="215"/>
      <c r="F517" s="215"/>
      <c r="G517" s="215"/>
      <c r="H517" s="160"/>
    </row>
    <row r="518" spans="1:8">
      <c r="A518" s="213"/>
      <c r="B518" s="214"/>
      <c r="C518" s="215"/>
      <c r="D518" s="215"/>
      <c r="E518" s="215"/>
      <c r="F518" s="215"/>
      <c r="G518" s="215"/>
      <c r="H518" s="160"/>
    </row>
    <row r="519" spans="1:8">
      <c r="A519" s="213"/>
      <c r="B519" s="214"/>
      <c r="C519" s="215"/>
      <c r="D519" s="215"/>
      <c r="E519" s="215"/>
      <c r="F519" s="215"/>
      <c r="G519" s="215"/>
      <c r="H519" s="160"/>
    </row>
    <row r="520" spans="1:8">
      <c r="A520" s="213"/>
      <c r="B520" s="214"/>
      <c r="C520" s="215"/>
      <c r="D520" s="215"/>
      <c r="E520" s="215"/>
      <c r="F520" s="215"/>
      <c r="G520" s="215"/>
      <c r="H520" s="160"/>
    </row>
    <row r="521" spans="1:8">
      <c r="A521" s="213"/>
      <c r="B521" s="214"/>
      <c r="C521" s="215"/>
      <c r="D521" s="215"/>
      <c r="E521" s="215"/>
      <c r="F521" s="215"/>
      <c r="G521" s="215"/>
      <c r="H521" s="160"/>
    </row>
    <row r="522" spans="1:8">
      <c r="A522" s="213"/>
      <c r="B522" s="214"/>
      <c r="C522" s="215"/>
      <c r="D522" s="215"/>
      <c r="E522" s="215"/>
      <c r="F522" s="215"/>
      <c r="G522" s="215"/>
      <c r="H522" s="160"/>
    </row>
    <row r="523" spans="1:8">
      <c r="A523" s="213"/>
      <c r="B523" s="214"/>
      <c r="C523" s="215"/>
      <c r="D523" s="215"/>
      <c r="E523" s="215"/>
      <c r="F523" s="215"/>
      <c r="G523" s="215"/>
      <c r="H523" s="160"/>
    </row>
    <row r="524" spans="1:8">
      <c r="A524" s="213"/>
      <c r="B524" s="214"/>
      <c r="C524" s="215"/>
      <c r="D524" s="215"/>
      <c r="E524" s="215"/>
      <c r="F524" s="215"/>
      <c r="G524" s="215"/>
      <c r="H524" s="160"/>
    </row>
    <row r="525" spans="1:8">
      <c r="A525" s="213"/>
      <c r="B525" s="214"/>
      <c r="C525" s="215"/>
      <c r="D525" s="215"/>
      <c r="E525" s="215"/>
      <c r="F525" s="215"/>
      <c r="G525" s="215"/>
      <c r="H525" s="160"/>
    </row>
    <row r="526" spans="1:8">
      <c r="A526" s="213"/>
      <c r="B526" s="214"/>
      <c r="C526" s="215"/>
      <c r="D526" s="215"/>
      <c r="E526" s="215"/>
      <c r="F526" s="215"/>
      <c r="G526" s="215"/>
      <c r="H526" s="160"/>
    </row>
    <row r="527" spans="1:8">
      <c r="A527" s="213"/>
      <c r="B527" s="214"/>
      <c r="C527" s="215"/>
      <c r="D527" s="215"/>
      <c r="E527" s="215"/>
      <c r="F527" s="215"/>
      <c r="G527" s="215"/>
      <c r="H527" s="160"/>
    </row>
    <row r="528" spans="1:8">
      <c r="A528" s="213"/>
      <c r="B528" s="214"/>
      <c r="C528" s="215"/>
      <c r="D528" s="215"/>
      <c r="E528" s="215"/>
      <c r="F528" s="215"/>
      <c r="G528" s="215"/>
      <c r="H528" s="160"/>
    </row>
    <row r="529" spans="1:8">
      <c r="A529" s="213"/>
      <c r="B529" s="214"/>
      <c r="C529" s="215"/>
      <c r="D529" s="215"/>
      <c r="E529" s="215"/>
      <c r="F529" s="215"/>
      <c r="G529" s="215"/>
      <c r="H529" s="160"/>
    </row>
    <row r="530" spans="1:8">
      <c r="A530" s="213"/>
      <c r="B530" s="214"/>
      <c r="C530" s="215"/>
      <c r="D530" s="215"/>
      <c r="E530" s="215"/>
      <c r="F530" s="215"/>
      <c r="G530" s="215"/>
      <c r="H530" s="160"/>
    </row>
    <row r="531" spans="1:8">
      <c r="A531" s="213"/>
      <c r="B531" s="214"/>
      <c r="C531" s="215"/>
      <c r="D531" s="215"/>
      <c r="E531" s="215"/>
      <c r="F531" s="215"/>
      <c r="G531" s="215"/>
      <c r="H531" s="160"/>
    </row>
    <row r="532" spans="1:8">
      <c r="A532" s="213"/>
      <c r="B532" s="214"/>
      <c r="C532" s="215"/>
      <c r="D532" s="215"/>
      <c r="E532" s="215"/>
      <c r="F532" s="215"/>
      <c r="G532" s="215"/>
      <c r="H532" s="160"/>
    </row>
    <row r="533" spans="1:8">
      <c r="A533" s="213"/>
      <c r="B533" s="214"/>
      <c r="C533" s="215"/>
      <c r="D533" s="215"/>
      <c r="E533" s="215"/>
      <c r="F533" s="215"/>
      <c r="G533" s="215"/>
      <c r="H533" s="160"/>
    </row>
    <row r="534" spans="1:8">
      <c r="A534" s="213"/>
      <c r="B534" s="214"/>
      <c r="C534" s="215"/>
      <c r="D534" s="215"/>
      <c r="E534" s="215"/>
      <c r="F534" s="215"/>
      <c r="G534" s="215"/>
      <c r="H534" s="160"/>
    </row>
    <row r="535" spans="1:8">
      <c r="A535" s="213"/>
      <c r="B535" s="214"/>
      <c r="C535" s="215"/>
      <c r="D535" s="215"/>
      <c r="E535" s="215"/>
      <c r="F535" s="215"/>
      <c r="G535" s="215"/>
      <c r="H535" s="160"/>
    </row>
    <row r="536" spans="1:8">
      <c r="A536" s="213"/>
      <c r="B536" s="214"/>
      <c r="C536" s="215"/>
      <c r="D536" s="215"/>
      <c r="E536" s="215"/>
      <c r="F536" s="215"/>
      <c r="G536" s="215"/>
      <c r="H536" s="160"/>
    </row>
    <row r="537" spans="1:8">
      <c r="A537" s="213"/>
      <c r="B537" s="214"/>
      <c r="C537" s="215"/>
      <c r="D537" s="215"/>
      <c r="E537" s="215"/>
      <c r="F537" s="215"/>
      <c r="G537" s="215"/>
      <c r="H537" s="160"/>
    </row>
    <row r="538" spans="1:8">
      <c r="A538" s="213"/>
      <c r="B538" s="214"/>
      <c r="C538" s="215"/>
      <c r="D538" s="215"/>
      <c r="E538" s="215"/>
      <c r="F538" s="215"/>
      <c r="G538" s="215"/>
      <c r="H538" s="160"/>
    </row>
    <row r="539" spans="1:8">
      <c r="A539" s="213"/>
      <c r="B539" s="214"/>
      <c r="C539" s="215"/>
      <c r="D539" s="215"/>
      <c r="E539" s="215"/>
      <c r="F539" s="215"/>
      <c r="G539" s="215"/>
      <c r="H539" s="160"/>
    </row>
    <row r="540" spans="1:8">
      <c r="A540" s="213"/>
      <c r="B540" s="214"/>
      <c r="C540" s="215"/>
      <c r="D540" s="215"/>
      <c r="E540" s="215"/>
      <c r="F540" s="215"/>
      <c r="G540" s="215"/>
      <c r="H540" s="160"/>
    </row>
    <row r="541" spans="1:8">
      <c r="A541" s="213"/>
      <c r="B541" s="214"/>
      <c r="C541" s="215"/>
      <c r="D541" s="215"/>
      <c r="E541" s="215"/>
      <c r="F541" s="215"/>
      <c r="G541" s="215"/>
      <c r="H541" s="160"/>
    </row>
    <row r="542" spans="1:8">
      <c r="A542" s="213"/>
      <c r="B542" s="214"/>
      <c r="C542" s="215"/>
      <c r="D542" s="215"/>
      <c r="E542" s="215"/>
      <c r="F542" s="215"/>
      <c r="G542" s="215"/>
      <c r="H542" s="160"/>
    </row>
    <row r="543" spans="1:8">
      <c r="A543" s="213"/>
      <c r="B543" s="214"/>
      <c r="C543" s="215"/>
      <c r="D543" s="215"/>
      <c r="E543" s="215"/>
      <c r="F543" s="215"/>
      <c r="G543" s="215"/>
      <c r="H543" s="160"/>
    </row>
    <row r="544" spans="1:8">
      <c r="A544" s="213"/>
      <c r="B544" s="214"/>
      <c r="C544" s="215"/>
      <c r="D544" s="215"/>
      <c r="E544" s="215"/>
      <c r="F544" s="215"/>
      <c r="G544" s="215"/>
      <c r="H544" s="160"/>
    </row>
    <row r="545" spans="1:8">
      <c r="A545" s="213"/>
      <c r="B545" s="214"/>
      <c r="C545" s="215"/>
      <c r="D545" s="215"/>
      <c r="E545" s="215"/>
      <c r="F545" s="215"/>
      <c r="G545" s="215"/>
      <c r="H545" s="160"/>
    </row>
    <row r="546" spans="1:8">
      <c r="A546" s="213"/>
      <c r="B546" s="214"/>
      <c r="C546" s="215"/>
      <c r="D546" s="215"/>
      <c r="E546" s="215"/>
      <c r="F546" s="215"/>
      <c r="G546" s="215"/>
      <c r="H546" s="160"/>
    </row>
    <row r="547" spans="1:8">
      <c r="A547" s="213"/>
      <c r="B547" s="214"/>
      <c r="C547" s="215"/>
      <c r="D547" s="215"/>
      <c r="E547" s="215"/>
      <c r="F547" s="215"/>
      <c r="G547" s="215"/>
      <c r="H547" s="160"/>
    </row>
    <row r="548" spans="1:8">
      <c r="A548" s="213"/>
      <c r="B548" s="214"/>
      <c r="C548" s="215"/>
      <c r="D548" s="215"/>
      <c r="E548" s="215"/>
      <c r="F548" s="215"/>
      <c r="G548" s="215"/>
      <c r="H548" s="160"/>
    </row>
    <row r="549" spans="1:8">
      <c r="A549" s="213"/>
      <c r="B549" s="214"/>
      <c r="C549" s="215"/>
      <c r="D549" s="215"/>
      <c r="E549" s="215"/>
      <c r="F549" s="215"/>
      <c r="G549" s="215"/>
      <c r="H549" s="160"/>
    </row>
    <row r="550" spans="1:8">
      <c r="A550" s="213"/>
      <c r="B550" s="214"/>
      <c r="C550" s="215"/>
      <c r="D550" s="215"/>
      <c r="E550" s="215"/>
      <c r="F550" s="215"/>
      <c r="G550" s="215"/>
      <c r="H550" s="160"/>
    </row>
    <row r="551" spans="1:8">
      <c r="A551" s="213"/>
      <c r="B551" s="214"/>
      <c r="C551" s="215"/>
      <c r="D551" s="215"/>
      <c r="E551" s="215"/>
      <c r="F551" s="215"/>
      <c r="G551" s="215"/>
      <c r="H551" s="160"/>
    </row>
    <row r="552" spans="1:8">
      <c r="A552" s="213"/>
      <c r="B552" s="214"/>
      <c r="C552" s="215"/>
      <c r="D552" s="215"/>
      <c r="E552" s="215"/>
      <c r="F552" s="215"/>
      <c r="G552" s="215"/>
      <c r="H552" s="160"/>
    </row>
    <row r="553" spans="1:8">
      <c r="A553" s="213"/>
      <c r="B553" s="214"/>
      <c r="C553" s="215"/>
      <c r="D553" s="215"/>
      <c r="E553" s="215"/>
      <c r="F553" s="215"/>
      <c r="G553" s="215"/>
      <c r="H553" s="160"/>
    </row>
    <row r="554" spans="1:8">
      <c r="A554" s="213"/>
      <c r="B554" s="214"/>
      <c r="C554" s="215"/>
      <c r="D554" s="215"/>
      <c r="E554" s="215"/>
      <c r="F554" s="215"/>
      <c r="G554" s="215"/>
      <c r="H554" s="160"/>
    </row>
    <row r="555" spans="1:8">
      <c r="A555" s="213"/>
      <c r="B555" s="214"/>
      <c r="C555" s="215"/>
      <c r="D555" s="215"/>
      <c r="E555" s="215"/>
      <c r="F555" s="215"/>
      <c r="G555" s="215"/>
      <c r="H555" s="160"/>
    </row>
    <row r="556" spans="1:8">
      <c r="A556" s="213"/>
      <c r="B556" s="214"/>
      <c r="C556" s="215"/>
      <c r="D556" s="215"/>
      <c r="E556" s="215"/>
      <c r="F556" s="215"/>
      <c r="G556" s="215"/>
      <c r="H556" s="160"/>
    </row>
    <row r="557" spans="1:8">
      <c r="A557" s="213"/>
      <c r="B557" s="214"/>
      <c r="C557" s="215"/>
      <c r="D557" s="215"/>
      <c r="E557" s="215"/>
      <c r="F557" s="215"/>
      <c r="G557" s="215"/>
      <c r="H557" s="160"/>
    </row>
    <row r="558" spans="1:8">
      <c r="A558" s="213"/>
      <c r="B558" s="214"/>
      <c r="C558" s="215"/>
      <c r="D558" s="215"/>
      <c r="E558" s="215"/>
      <c r="F558" s="215"/>
      <c r="G558" s="215"/>
      <c r="H558" s="160"/>
    </row>
    <row r="559" spans="1:8">
      <c r="A559" s="213"/>
      <c r="B559" s="214"/>
      <c r="C559" s="215"/>
      <c r="D559" s="215"/>
      <c r="E559" s="215"/>
      <c r="F559" s="215"/>
      <c r="G559" s="215"/>
      <c r="H559" s="160"/>
    </row>
    <row r="560" spans="1:8">
      <c r="A560" s="213"/>
      <c r="B560" s="214"/>
      <c r="C560" s="215"/>
      <c r="D560" s="215"/>
      <c r="E560" s="215"/>
      <c r="F560" s="215"/>
      <c r="G560" s="215"/>
      <c r="H560" s="160"/>
    </row>
    <row r="561" spans="1:8">
      <c r="A561" s="213"/>
      <c r="B561" s="214"/>
      <c r="C561" s="215"/>
      <c r="D561" s="215"/>
      <c r="E561" s="215"/>
      <c r="F561" s="215"/>
      <c r="G561" s="215"/>
      <c r="H561" s="160"/>
    </row>
    <row r="562" spans="1:8">
      <c r="A562" s="213"/>
      <c r="B562" s="214"/>
      <c r="C562" s="215"/>
      <c r="D562" s="215"/>
      <c r="E562" s="215"/>
      <c r="F562" s="215"/>
      <c r="G562" s="215"/>
      <c r="H562" s="160"/>
    </row>
    <row r="563" spans="1:8">
      <c r="A563" s="213"/>
      <c r="B563" s="214"/>
      <c r="C563" s="215"/>
      <c r="D563" s="215"/>
      <c r="E563" s="215"/>
      <c r="F563" s="215"/>
      <c r="G563" s="215"/>
      <c r="H563" s="160"/>
    </row>
    <row r="564" spans="1:8">
      <c r="A564" s="213"/>
      <c r="B564" s="214"/>
      <c r="C564" s="215"/>
      <c r="D564" s="215"/>
      <c r="E564" s="215"/>
      <c r="F564" s="215"/>
      <c r="G564" s="215"/>
      <c r="H564" s="160"/>
    </row>
    <row r="565" spans="1:8">
      <c r="A565" s="213"/>
      <c r="B565" s="214"/>
      <c r="C565" s="215"/>
      <c r="D565" s="215"/>
      <c r="E565" s="215"/>
      <c r="F565" s="215"/>
      <c r="G565" s="215"/>
      <c r="H565" s="160"/>
    </row>
    <row r="566" spans="1:8">
      <c r="A566" s="213"/>
      <c r="B566" s="214"/>
      <c r="C566" s="215"/>
      <c r="D566" s="215"/>
      <c r="E566" s="215"/>
      <c r="F566" s="215"/>
      <c r="G566" s="215"/>
      <c r="H566" s="160"/>
    </row>
    <row r="567" spans="1:8">
      <c r="A567" s="213"/>
      <c r="B567" s="214"/>
      <c r="C567" s="215"/>
      <c r="D567" s="215"/>
      <c r="E567" s="215"/>
      <c r="F567" s="215"/>
      <c r="G567" s="215"/>
      <c r="H567" s="160"/>
    </row>
    <row r="568" spans="1:8">
      <c r="A568" s="213"/>
      <c r="B568" s="214"/>
      <c r="C568" s="215"/>
      <c r="D568" s="215"/>
      <c r="E568" s="215"/>
      <c r="F568" s="215"/>
      <c r="G568" s="215"/>
      <c r="H568" s="160"/>
    </row>
    <row r="569" spans="1:8">
      <c r="A569" s="213"/>
      <c r="B569" s="214"/>
      <c r="C569" s="215"/>
      <c r="D569" s="215"/>
      <c r="E569" s="215"/>
      <c r="F569" s="215"/>
      <c r="G569" s="215"/>
      <c r="H569" s="160"/>
    </row>
    <row r="570" spans="1:8">
      <c r="A570" s="213"/>
      <c r="B570" s="214"/>
      <c r="C570" s="215"/>
      <c r="D570" s="215"/>
      <c r="E570" s="215"/>
      <c r="F570" s="215"/>
      <c r="G570" s="215"/>
      <c r="H570" s="160"/>
    </row>
    <row r="571" spans="1:8">
      <c r="A571" s="213"/>
      <c r="B571" s="214"/>
      <c r="C571" s="215"/>
      <c r="D571" s="215"/>
      <c r="E571" s="215"/>
      <c r="F571" s="215"/>
      <c r="G571" s="215"/>
      <c r="H571" s="160"/>
    </row>
    <row r="572" spans="1:8">
      <c r="A572" s="213"/>
      <c r="B572" s="214"/>
      <c r="C572" s="215"/>
      <c r="D572" s="215"/>
      <c r="E572" s="215"/>
      <c r="F572" s="215"/>
      <c r="G572" s="215"/>
      <c r="H572" s="160"/>
    </row>
    <row r="573" spans="1:8">
      <c r="A573" s="213"/>
      <c r="B573" s="214"/>
      <c r="C573" s="215"/>
      <c r="D573" s="215"/>
      <c r="E573" s="215"/>
      <c r="F573" s="215"/>
      <c r="G573" s="215"/>
      <c r="H573" s="160"/>
    </row>
    <row r="574" spans="1:8">
      <c r="A574" s="213"/>
      <c r="B574" s="214"/>
      <c r="C574" s="215"/>
      <c r="D574" s="215"/>
      <c r="E574" s="215"/>
      <c r="F574" s="215"/>
      <c r="G574" s="215"/>
      <c r="H574" s="160"/>
    </row>
    <row r="575" spans="1:8">
      <c r="A575" s="213"/>
      <c r="B575" s="214"/>
      <c r="C575" s="215"/>
      <c r="D575" s="215"/>
      <c r="E575" s="215"/>
      <c r="F575" s="215"/>
      <c r="G575" s="215"/>
      <c r="H575" s="160"/>
    </row>
    <row r="576" spans="1:8">
      <c r="A576" s="213"/>
      <c r="B576" s="214"/>
      <c r="C576" s="215"/>
      <c r="D576" s="215"/>
      <c r="E576" s="215"/>
      <c r="F576" s="215"/>
      <c r="G576" s="215"/>
      <c r="H576" s="160"/>
    </row>
    <row r="577" spans="1:8">
      <c r="A577" s="213"/>
      <c r="B577" s="214"/>
      <c r="C577" s="215"/>
      <c r="D577" s="215"/>
      <c r="E577" s="215"/>
      <c r="F577" s="215"/>
      <c r="G577" s="215"/>
      <c r="H577" s="160"/>
    </row>
    <row r="578" spans="1:8">
      <c r="A578" s="213"/>
      <c r="B578" s="214"/>
      <c r="C578" s="215"/>
      <c r="D578" s="215"/>
      <c r="E578" s="215"/>
      <c r="F578" s="215"/>
      <c r="G578" s="215"/>
      <c r="H578" s="160"/>
    </row>
    <row r="579" spans="1:8">
      <c r="A579" s="213"/>
      <c r="B579" s="214"/>
      <c r="C579" s="215"/>
      <c r="D579" s="215"/>
      <c r="E579" s="215"/>
      <c r="F579" s="215"/>
      <c r="G579" s="215"/>
      <c r="H579" s="160"/>
    </row>
    <row r="580" spans="1:8">
      <c r="A580" s="213"/>
      <c r="B580" s="214"/>
      <c r="C580" s="215"/>
      <c r="D580" s="215"/>
      <c r="E580" s="215"/>
      <c r="F580" s="215"/>
      <c r="G580" s="215"/>
      <c r="H580" s="160"/>
    </row>
    <row r="581" spans="1:8">
      <c r="A581" s="213"/>
      <c r="B581" s="214"/>
      <c r="C581" s="215"/>
      <c r="D581" s="215"/>
      <c r="E581" s="215"/>
      <c r="F581" s="215"/>
      <c r="G581" s="215"/>
      <c r="H581" s="160"/>
    </row>
    <row r="582" spans="1:8">
      <c r="A582" s="213"/>
      <c r="B582" s="214"/>
      <c r="C582" s="215"/>
      <c r="D582" s="215"/>
      <c r="E582" s="215"/>
      <c r="F582" s="215"/>
      <c r="G582" s="215"/>
      <c r="H582" s="160"/>
    </row>
    <row r="583" spans="1:8">
      <c r="A583" s="213"/>
      <c r="B583" s="214"/>
      <c r="C583" s="215"/>
      <c r="D583" s="215"/>
      <c r="E583" s="215"/>
      <c r="F583" s="215"/>
      <c r="G583" s="215"/>
      <c r="H583" s="160"/>
    </row>
    <row r="584" spans="1:8">
      <c r="A584" s="213"/>
      <c r="B584" s="214"/>
      <c r="C584" s="215"/>
      <c r="D584" s="215"/>
      <c r="E584" s="215"/>
      <c r="F584" s="215"/>
      <c r="G584" s="215"/>
      <c r="H584" s="160"/>
    </row>
    <row r="585" spans="1:8">
      <c r="A585" s="213"/>
      <c r="B585" s="214"/>
      <c r="C585" s="215"/>
      <c r="D585" s="215"/>
      <c r="E585" s="215"/>
      <c r="F585" s="215"/>
      <c r="G585" s="215"/>
      <c r="H585" s="160"/>
    </row>
    <row r="586" spans="1:8">
      <c r="A586" s="213"/>
      <c r="B586" s="214"/>
      <c r="C586" s="215"/>
      <c r="D586" s="215"/>
      <c r="E586" s="215"/>
      <c r="F586" s="215"/>
      <c r="G586" s="215"/>
      <c r="H586" s="160"/>
    </row>
    <row r="587" spans="1:8">
      <c r="A587" s="213"/>
      <c r="B587" s="214"/>
      <c r="C587" s="215"/>
      <c r="D587" s="215"/>
      <c r="E587" s="215"/>
      <c r="F587" s="215"/>
      <c r="G587" s="215"/>
      <c r="H587" s="160"/>
    </row>
    <row r="588" spans="1:8">
      <c r="A588" s="213"/>
      <c r="B588" s="214"/>
      <c r="C588" s="215"/>
      <c r="D588" s="215"/>
      <c r="E588" s="215"/>
      <c r="F588" s="215"/>
      <c r="G588" s="215"/>
      <c r="H588" s="160"/>
    </row>
    <row r="589" spans="1:8">
      <c r="A589" s="213"/>
      <c r="B589" s="214"/>
      <c r="C589" s="215"/>
      <c r="D589" s="215"/>
      <c r="E589" s="215"/>
      <c r="F589" s="215"/>
      <c r="G589" s="215"/>
      <c r="H589" s="160"/>
    </row>
    <row r="590" spans="1:8">
      <c r="A590" s="213"/>
      <c r="B590" s="214"/>
      <c r="C590" s="215"/>
      <c r="D590" s="215"/>
      <c r="E590" s="215"/>
      <c r="F590" s="215"/>
      <c r="G590" s="215"/>
      <c r="H590" s="160"/>
    </row>
    <row r="591" spans="1:8">
      <c r="A591" s="213"/>
      <c r="B591" s="214"/>
      <c r="C591" s="215"/>
      <c r="D591" s="215"/>
      <c r="E591" s="215"/>
      <c r="F591" s="215"/>
      <c r="G591" s="215"/>
      <c r="H591" s="160"/>
    </row>
    <row r="592" spans="1:8">
      <c r="A592" s="213"/>
      <c r="B592" s="214"/>
      <c r="C592" s="215"/>
      <c r="D592" s="215"/>
      <c r="E592" s="215"/>
      <c r="F592" s="215"/>
      <c r="G592" s="215"/>
      <c r="H592" s="160"/>
    </row>
    <row r="593" spans="1:8">
      <c r="A593" s="213"/>
      <c r="B593" s="214"/>
      <c r="C593" s="215"/>
      <c r="D593" s="215"/>
      <c r="E593" s="215"/>
      <c r="F593" s="215"/>
      <c r="G593" s="215"/>
      <c r="H593" s="160"/>
    </row>
    <row r="594" spans="1:8">
      <c r="A594" s="213"/>
      <c r="B594" s="214"/>
      <c r="C594" s="215"/>
      <c r="D594" s="215"/>
      <c r="E594" s="215"/>
      <c r="F594" s="215"/>
      <c r="G594" s="215"/>
      <c r="H594" s="160"/>
    </row>
    <row r="595" spans="1:8">
      <c r="A595" s="213"/>
      <c r="B595" s="214"/>
      <c r="C595" s="215"/>
      <c r="D595" s="215"/>
      <c r="E595" s="215"/>
      <c r="F595" s="215"/>
      <c r="G595" s="215"/>
      <c r="H595" s="160"/>
    </row>
    <row r="596" spans="1:8">
      <c r="A596" s="213"/>
      <c r="B596" s="214"/>
      <c r="C596" s="215"/>
      <c r="D596" s="215"/>
      <c r="E596" s="215"/>
      <c r="F596" s="215"/>
      <c r="G596" s="215"/>
      <c r="H596" s="160"/>
    </row>
    <row r="597" spans="1:8">
      <c r="A597" s="213"/>
      <c r="B597" s="214"/>
      <c r="C597" s="215"/>
      <c r="D597" s="215"/>
      <c r="E597" s="215"/>
      <c r="F597" s="215"/>
      <c r="G597" s="215"/>
      <c r="H597" s="160"/>
    </row>
    <row r="598" spans="1:8">
      <c r="A598" s="213"/>
      <c r="B598" s="214"/>
      <c r="C598" s="215"/>
      <c r="D598" s="215"/>
      <c r="E598" s="215"/>
      <c r="F598" s="215"/>
      <c r="G598" s="215"/>
      <c r="H598" s="160"/>
    </row>
    <row r="599" spans="1:8">
      <c r="A599" s="213"/>
      <c r="B599" s="214"/>
      <c r="C599" s="215"/>
      <c r="D599" s="215"/>
      <c r="E599" s="215"/>
      <c r="F599" s="215"/>
      <c r="G599" s="215"/>
      <c r="H599" s="160"/>
    </row>
    <row r="600" spans="1:8">
      <c r="A600" s="213"/>
      <c r="B600" s="214"/>
      <c r="C600" s="215"/>
      <c r="D600" s="215"/>
      <c r="E600" s="215"/>
      <c r="F600" s="215"/>
      <c r="G600" s="215"/>
      <c r="H600" s="160"/>
    </row>
    <row r="601" spans="1:8">
      <c r="A601" s="213"/>
      <c r="B601" s="214"/>
      <c r="C601" s="215"/>
      <c r="D601" s="215"/>
      <c r="E601" s="215"/>
      <c r="F601" s="215"/>
      <c r="G601" s="215"/>
      <c r="H601" s="160"/>
    </row>
    <row r="602" spans="1:8">
      <c r="A602" s="213"/>
      <c r="B602" s="214"/>
      <c r="C602" s="215"/>
      <c r="D602" s="215"/>
      <c r="E602" s="215"/>
      <c r="F602" s="215"/>
      <c r="G602" s="215"/>
      <c r="H602" s="160"/>
    </row>
    <row r="603" spans="1:8">
      <c r="A603" s="213"/>
      <c r="B603" s="214"/>
      <c r="C603" s="215"/>
      <c r="D603" s="215"/>
      <c r="E603" s="215"/>
      <c r="F603" s="215"/>
      <c r="G603" s="215"/>
      <c r="H603" s="160"/>
    </row>
    <row r="604" spans="1:8">
      <c r="A604" s="213"/>
      <c r="B604" s="214"/>
      <c r="C604" s="215"/>
      <c r="D604" s="215"/>
      <c r="E604" s="215"/>
      <c r="F604" s="215"/>
      <c r="G604" s="215"/>
      <c r="H604" s="160"/>
    </row>
    <row r="605" spans="1:8">
      <c r="A605" s="213"/>
      <c r="B605" s="214"/>
      <c r="C605" s="215"/>
      <c r="D605" s="215"/>
      <c r="E605" s="215"/>
      <c r="F605" s="215"/>
      <c r="G605" s="215"/>
      <c r="H605" s="160"/>
    </row>
    <row r="606" spans="1:8">
      <c r="A606" s="213"/>
      <c r="B606" s="214"/>
      <c r="C606" s="215"/>
      <c r="D606" s="215"/>
      <c r="E606" s="215"/>
      <c r="F606" s="215"/>
      <c r="G606" s="215"/>
      <c r="H606" s="160"/>
    </row>
    <row r="607" spans="1:8">
      <c r="A607" s="213"/>
      <c r="B607" s="214"/>
      <c r="C607" s="215"/>
      <c r="D607" s="215"/>
      <c r="E607" s="215"/>
      <c r="F607" s="215"/>
      <c r="G607" s="215"/>
      <c r="H607" s="160"/>
    </row>
    <row r="608" spans="1:8">
      <c r="A608" s="213"/>
      <c r="B608" s="214"/>
      <c r="C608" s="215"/>
      <c r="D608" s="215"/>
      <c r="E608" s="215"/>
      <c r="F608" s="215"/>
      <c r="G608" s="215"/>
      <c r="H608" s="160"/>
    </row>
    <row r="609" spans="1:8">
      <c r="A609" s="213"/>
      <c r="B609" s="214"/>
      <c r="C609" s="215"/>
      <c r="D609" s="215"/>
      <c r="E609" s="215"/>
      <c r="F609" s="215"/>
      <c r="G609" s="215"/>
      <c r="H609" s="160"/>
    </row>
    <row r="610" spans="1:8">
      <c r="A610" s="213"/>
      <c r="B610" s="214"/>
      <c r="C610" s="215"/>
      <c r="D610" s="215"/>
      <c r="E610" s="215"/>
      <c r="F610" s="215"/>
      <c r="G610" s="215"/>
      <c r="H610" s="160"/>
    </row>
    <row r="611" spans="1:8">
      <c r="A611" s="213"/>
      <c r="B611" s="214"/>
      <c r="C611" s="215"/>
      <c r="D611" s="215"/>
      <c r="E611" s="215"/>
      <c r="F611" s="215"/>
      <c r="G611" s="215"/>
      <c r="H611" s="160"/>
    </row>
    <row r="612" spans="1:8">
      <c r="A612" s="213"/>
      <c r="B612" s="214"/>
      <c r="C612" s="215"/>
      <c r="D612" s="215"/>
      <c r="E612" s="215"/>
      <c r="F612" s="215"/>
      <c r="G612" s="215"/>
      <c r="H612" s="160"/>
    </row>
    <row r="613" spans="1:8">
      <c r="A613" s="213"/>
      <c r="B613" s="214"/>
      <c r="C613" s="215"/>
      <c r="D613" s="215"/>
      <c r="E613" s="215"/>
      <c r="F613" s="215"/>
      <c r="G613" s="215"/>
      <c r="H613" s="160"/>
    </row>
    <row r="614" spans="1:8">
      <c r="A614" s="213"/>
      <c r="B614" s="214"/>
      <c r="C614" s="215"/>
      <c r="D614" s="215"/>
      <c r="E614" s="215"/>
      <c r="F614" s="215"/>
      <c r="G614" s="215"/>
      <c r="H614" s="160"/>
    </row>
    <row r="615" spans="1:8">
      <c r="A615" s="213"/>
      <c r="B615" s="214"/>
      <c r="C615" s="215"/>
      <c r="D615" s="215"/>
      <c r="E615" s="215"/>
      <c r="F615" s="215"/>
      <c r="G615" s="215"/>
      <c r="H615" s="160"/>
    </row>
    <row r="616" spans="1:8">
      <c r="A616" s="213"/>
      <c r="B616" s="214"/>
      <c r="C616" s="215"/>
      <c r="D616" s="215"/>
      <c r="E616" s="215"/>
      <c r="F616" s="215"/>
      <c r="G616" s="215"/>
      <c r="H616" s="160"/>
    </row>
    <row r="617" spans="1:8">
      <c r="A617" s="213"/>
      <c r="B617" s="214"/>
      <c r="C617" s="215"/>
      <c r="D617" s="215"/>
      <c r="E617" s="215"/>
      <c r="F617" s="215"/>
      <c r="G617" s="215"/>
      <c r="H617" s="160"/>
    </row>
    <row r="618" spans="1:8">
      <c r="A618" s="213"/>
      <c r="B618" s="214"/>
      <c r="C618" s="215"/>
      <c r="D618" s="215"/>
      <c r="E618" s="215"/>
      <c r="F618" s="215"/>
      <c r="G618" s="215"/>
      <c r="H618" s="160"/>
    </row>
    <row r="619" spans="1:8">
      <c r="A619" s="213"/>
      <c r="B619" s="214"/>
      <c r="C619" s="215"/>
      <c r="D619" s="215"/>
      <c r="E619" s="215"/>
      <c r="F619" s="215"/>
      <c r="G619" s="215"/>
      <c r="H619" s="160"/>
    </row>
    <row r="620" spans="1:8">
      <c r="A620" s="213"/>
      <c r="B620" s="214"/>
      <c r="C620" s="215"/>
      <c r="D620" s="215"/>
      <c r="E620" s="215"/>
      <c r="F620" s="215"/>
      <c r="G620" s="215"/>
      <c r="H620" s="160"/>
    </row>
    <row r="621" spans="1:8">
      <c r="A621" s="213"/>
      <c r="B621" s="214"/>
      <c r="C621" s="215"/>
      <c r="D621" s="215"/>
      <c r="E621" s="215"/>
      <c r="F621" s="215"/>
      <c r="G621" s="215"/>
      <c r="H621" s="160"/>
    </row>
    <row r="622" spans="1:8">
      <c r="A622" s="213"/>
      <c r="B622" s="214"/>
      <c r="C622" s="215"/>
      <c r="D622" s="215"/>
      <c r="E622" s="215"/>
      <c r="F622" s="215"/>
      <c r="G622" s="215"/>
      <c r="H622" s="160"/>
    </row>
    <row r="623" spans="1:8">
      <c r="A623" s="213"/>
      <c r="B623" s="214"/>
      <c r="C623" s="215"/>
      <c r="D623" s="215"/>
      <c r="E623" s="215"/>
      <c r="F623" s="215"/>
      <c r="G623" s="215"/>
      <c r="H623" s="160"/>
    </row>
    <row r="624" spans="1:8">
      <c r="A624" s="213"/>
      <c r="B624" s="214"/>
      <c r="C624" s="215"/>
      <c r="D624" s="215"/>
      <c r="E624" s="215"/>
      <c r="F624" s="215"/>
      <c r="G624" s="215"/>
      <c r="H624" s="160"/>
    </row>
    <row r="625" spans="1:8">
      <c r="A625" s="213"/>
      <c r="B625" s="214"/>
      <c r="C625" s="215"/>
      <c r="D625" s="215"/>
      <c r="E625" s="215"/>
      <c r="F625" s="215"/>
      <c r="G625" s="215"/>
      <c r="H625" s="160"/>
    </row>
    <row r="626" spans="1:8">
      <c r="A626" s="213"/>
      <c r="B626" s="214"/>
      <c r="C626" s="215"/>
      <c r="D626" s="215"/>
      <c r="E626" s="215"/>
      <c r="F626" s="215"/>
      <c r="G626" s="215"/>
      <c r="H626" s="160"/>
    </row>
    <row r="627" spans="1:8">
      <c r="A627" s="213"/>
      <c r="B627" s="214"/>
      <c r="C627" s="215"/>
      <c r="D627" s="215"/>
      <c r="E627" s="215"/>
      <c r="F627" s="215"/>
      <c r="G627" s="215"/>
      <c r="H627" s="160"/>
    </row>
    <row r="628" spans="1:8">
      <c r="A628" s="213"/>
      <c r="B628" s="214"/>
      <c r="C628" s="215"/>
      <c r="D628" s="215"/>
      <c r="E628" s="215"/>
      <c r="F628" s="215"/>
      <c r="G628" s="215"/>
      <c r="H628" s="160"/>
    </row>
    <row r="629" spans="1:8">
      <c r="A629" s="213"/>
      <c r="B629" s="214"/>
      <c r="C629" s="215"/>
      <c r="D629" s="215"/>
      <c r="E629" s="215"/>
      <c r="F629" s="215"/>
      <c r="G629" s="215"/>
      <c r="H629" s="160"/>
    </row>
    <row r="630" spans="1:8">
      <c r="A630" s="213"/>
      <c r="B630" s="214"/>
      <c r="C630" s="215"/>
      <c r="D630" s="215"/>
      <c r="E630" s="215"/>
      <c r="F630" s="215"/>
      <c r="G630" s="215"/>
      <c r="H630" s="160"/>
    </row>
    <row r="631" spans="1:8">
      <c r="A631" s="213"/>
      <c r="B631" s="214"/>
      <c r="C631" s="215"/>
      <c r="D631" s="215"/>
      <c r="E631" s="215"/>
      <c r="F631" s="215"/>
      <c r="G631" s="215"/>
      <c r="H631" s="160"/>
    </row>
    <row r="632" spans="1:8">
      <c r="A632" s="213"/>
      <c r="B632" s="214"/>
      <c r="C632" s="215"/>
      <c r="D632" s="215"/>
      <c r="E632" s="215"/>
      <c r="F632" s="215"/>
      <c r="G632" s="215"/>
      <c r="H632" s="160"/>
    </row>
    <row r="633" spans="1:8">
      <c r="A633" s="213"/>
      <c r="B633" s="214"/>
      <c r="C633" s="215"/>
      <c r="D633" s="215"/>
      <c r="E633" s="215"/>
      <c r="F633" s="215"/>
      <c r="G633" s="215"/>
      <c r="H633" s="160"/>
    </row>
    <row r="634" spans="1:8">
      <c r="A634" s="213"/>
      <c r="B634" s="214"/>
      <c r="C634" s="215"/>
      <c r="D634" s="215"/>
      <c r="E634" s="215"/>
      <c r="F634" s="215"/>
      <c r="G634" s="215"/>
      <c r="H634" s="160"/>
    </row>
    <row r="635" spans="1:8">
      <c r="A635" s="213"/>
      <c r="B635" s="214"/>
      <c r="C635" s="215"/>
      <c r="D635" s="215"/>
      <c r="E635" s="215"/>
      <c r="F635" s="215"/>
      <c r="G635" s="215"/>
      <c r="H635" s="160"/>
    </row>
    <row r="636" spans="1:8">
      <c r="A636" s="213"/>
      <c r="B636" s="214"/>
      <c r="C636" s="215"/>
      <c r="D636" s="215"/>
      <c r="E636" s="215"/>
      <c r="F636" s="215"/>
      <c r="G636" s="215"/>
      <c r="H636" s="160"/>
    </row>
    <row r="637" spans="1:8">
      <c r="A637" s="213"/>
      <c r="B637" s="214"/>
      <c r="C637" s="215"/>
      <c r="D637" s="215"/>
      <c r="E637" s="215"/>
      <c r="F637" s="215"/>
      <c r="G637" s="215"/>
      <c r="H637" s="160"/>
    </row>
    <row r="638" spans="1:8">
      <c r="A638" s="213"/>
      <c r="B638" s="214"/>
      <c r="C638" s="215"/>
      <c r="D638" s="215"/>
      <c r="E638" s="215"/>
      <c r="F638" s="215"/>
      <c r="G638" s="215"/>
      <c r="H638" s="160"/>
    </row>
    <row r="639" spans="1:8">
      <c r="A639" s="213"/>
      <c r="B639" s="214"/>
      <c r="C639" s="215"/>
      <c r="D639" s="215"/>
      <c r="E639" s="215"/>
      <c r="F639" s="215"/>
      <c r="G639" s="215"/>
      <c r="H639" s="160"/>
    </row>
    <row r="640" spans="1:8">
      <c r="A640" s="213"/>
      <c r="B640" s="214"/>
      <c r="C640" s="215"/>
      <c r="D640" s="215"/>
      <c r="E640" s="215"/>
      <c r="F640" s="215"/>
      <c r="G640" s="215"/>
      <c r="H640" s="160"/>
    </row>
    <row r="641" spans="1:8">
      <c r="A641" s="213"/>
      <c r="B641" s="214"/>
      <c r="C641" s="215"/>
      <c r="D641" s="215"/>
      <c r="E641" s="215"/>
      <c r="F641" s="215"/>
      <c r="G641" s="215"/>
      <c r="H641" s="160"/>
    </row>
    <row r="642" spans="1:8">
      <c r="A642" s="213"/>
      <c r="B642" s="214"/>
      <c r="C642" s="215"/>
      <c r="D642" s="215"/>
      <c r="E642" s="215"/>
      <c r="F642" s="215"/>
      <c r="G642" s="215"/>
      <c r="H642" s="160"/>
    </row>
    <row r="643" spans="1:8">
      <c r="A643" s="213"/>
      <c r="B643" s="214"/>
      <c r="C643" s="215"/>
      <c r="D643" s="215"/>
      <c r="E643" s="215"/>
      <c r="F643" s="215"/>
      <c r="G643" s="215"/>
      <c r="H643" s="160"/>
    </row>
    <row r="644" spans="1:8">
      <c r="A644" s="213"/>
      <c r="B644" s="214"/>
      <c r="C644" s="215"/>
      <c r="D644" s="215"/>
      <c r="E644" s="215"/>
      <c r="F644" s="215"/>
      <c r="G644" s="215"/>
      <c r="H644" s="160"/>
    </row>
    <row r="645" spans="1:8">
      <c r="A645" s="213"/>
      <c r="B645" s="214"/>
      <c r="C645" s="215"/>
      <c r="D645" s="215"/>
      <c r="E645" s="215"/>
      <c r="F645" s="215"/>
      <c r="G645" s="215"/>
      <c r="H645" s="160"/>
    </row>
    <row r="646" spans="1:8">
      <c r="A646" s="213"/>
      <c r="B646" s="214"/>
      <c r="C646" s="215"/>
      <c r="D646" s="215"/>
      <c r="E646" s="215"/>
      <c r="F646" s="215"/>
      <c r="G646" s="215"/>
      <c r="H646" s="160"/>
    </row>
    <row r="647" spans="1:8">
      <c r="A647" s="213"/>
      <c r="B647" s="214"/>
      <c r="C647" s="215"/>
      <c r="D647" s="215"/>
      <c r="E647" s="215"/>
      <c r="F647" s="215"/>
      <c r="G647" s="215"/>
      <c r="H647" s="160"/>
    </row>
    <row r="648" spans="1:8">
      <c r="A648" s="213"/>
      <c r="B648" s="214"/>
      <c r="C648" s="215"/>
      <c r="D648" s="215"/>
      <c r="E648" s="215"/>
      <c r="F648" s="215"/>
      <c r="G648" s="215"/>
      <c r="H648" s="160"/>
    </row>
    <row r="649" spans="1:8">
      <c r="A649" s="213"/>
      <c r="B649" s="214"/>
      <c r="C649" s="215"/>
      <c r="D649" s="215"/>
      <c r="E649" s="215"/>
      <c r="F649" s="215"/>
      <c r="G649" s="215"/>
      <c r="H649" s="160"/>
    </row>
    <row r="650" spans="1:8">
      <c r="A650" s="213"/>
      <c r="B650" s="214"/>
      <c r="C650" s="215"/>
      <c r="D650" s="215"/>
      <c r="E650" s="215"/>
      <c r="F650" s="215"/>
      <c r="G650" s="215"/>
      <c r="H650" s="160"/>
    </row>
    <row r="651" spans="1:8">
      <c r="A651" s="213"/>
      <c r="B651" s="214"/>
      <c r="C651" s="215"/>
      <c r="D651" s="215"/>
      <c r="E651" s="215"/>
      <c r="F651" s="215"/>
      <c r="G651" s="215"/>
      <c r="H651" s="160"/>
    </row>
    <row r="652" spans="1:8">
      <c r="A652" s="213"/>
      <c r="B652" s="214"/>
      <c r="C652" s="215"/>
      <c r="D652" s="215"/>
      <c r="E652" s="215"/>
      <c r="F652" s="215"/>
      <c r="G652" s="215"/>
      <c r="H652" s="160"/>
    </row>
    <row r="653" spans="1:8">
      <c r="A653" s="213"/>
      <c r="B653" s="214"/>
      <c r="C653" s="215"/>
      <c r="D653" s="215"/>
      <c r="E653" s="215"/>
      <c r="F653" s="215"/>
      <c r="G653" s="215"/>
      <c r="H653" s="160"/>
    </row>
    <row r="654" spans="1:8">
      <c r="A654" s="213"/>
      <c r="B654" s="214"/>
      <c r="C654" s="215"/>
      <c r="D654" s="215"/>
      <c r="E654" s="215"/>
      <c r="F654" s="215"/>
      <c r="G654" s="215"/>
      <c r="H654" s="160"/>
    </row>
    <row r="655" spans="1:8">
      <c r="A655" s="213"/>
      <c r="B655" s="214"/>
      <c r="C655" s="215"/>
      <c r="D655" s="215"/>
      <c r="E655" s="215"/>
      <c r="F655" s="215"/>
      <c r="G655" s="215"/>
      <c r="H655" s="160"/>
    </row>
    <row r="656" spans="1:8">
      <c r="A656" s="213"/>
      <c r="B656" s="214"/>
      <c r="C656" s="215"/>
      <c r="D656" s="215"/>
      <c r="E656" s="215"/>
      <c r="F656" s="215"/>
      <c r="G656" s="215"/>
      <c r="H656" s="160"/>
    </row>
    <row r="657" spans="1:8">
      <c r="A657" s="213"/>
      <c r="B657" s="214"/>
      <c r="C657" s="215"/>
      <c r="D657" s="215"/>
      <c r="E657" s="215"/>
      <c r="F657" s="215"/>
      <c r="G657" s="215"/>
      <c r="H657" s="160"/>
    </row>
    <row r="658" spans="1:8">
      <c r="A658" s="213"/>
      <c r="B658" s="214"/>
      <c r="C658" s="215"/>
      <c r="D658" s="215"/>
      <c r="E658" s="215"/>
      <c r="F658" s="215"/>
      <c r="G658" s="215"/>
      <c r="H658" s="160"/>
    </row>
    <row r="659" spans="1:8">
      <c r="A659" s="213"/>
      <c r="B659" s="214"/>
      <c r="C659" s="215"/>
      <c r="D659" s="215"/>
      <c r="E659" s="215"/>
      <c r="F659" s="215"/>
      <c r="G659" s="215"/>
      <c r="H659" s="160"/>
    </row>
    <row r="660" spans="1:8">
      <c r="A660" s="213"/>
      <c r="B660" s="214"/>
      <c r="C660" s="215"/>
      <c r="D660" s="215"/>
      <c r="E660" s="215"/>
      <c r="F660" s="215"/>
      <c r="G660" s="215"/>
      <c r="H660" s="160"/>
    </row>
    <row r="661" spans="1:8">
      <c r="A661" s="213"/>
      <c r="B661" s="214"/>
      <c r="C661" s="215"/>
      <c r="D661" s="215"/>
      <c r="E661" s="215"/>
      <c r="F661" s="215"/>
      <c r="G661" s="215"/>
      <c r="H661" s="160"/>
    </row>
    <row r="662" spans="1:8">
      <c r="A662" s="213"/>
      <c r="B662" s="214"/>
      <c r="C662" s="215"/>
      <c r="D662" s="215"/>
      <c r="E662" s="215"/>
      <c r="F662" s="215"/>
      <c r="G662" s="215"/>
      <c r="H662" s="160"/>
    </row>
    <row r="663" spans="1:8">
      <c r="A663" s="213"/>
      <c r="B663" s="214"/>
      <c r="C663" s="215"/>
      <c r="D663" s="215"/>
      <c r="E663" s="215"/>
      <c r="F663" s="215"/>
      <c r="G663" s="215"/>
      <c r="H663" s="160"/>
    </row>
    <row r="664" spans="1:8">
      <c r="A664" s="213"/>
      <c r="B664" s="214"/>
      <c r="C664" s="215"/>
      <c r="D664" s="215"/>
      <c r="E664" s="215"/>
      <c r="F664" s="215"/>
      <c r="G664" s="215"/>
      <c r="H664" s="160"/>
    </row>
    <row r="665" spans="1:8">
      <c r="A665" s="213"/>
      <c r="B665" s="214"/>
      <c r="C665" s="215"/>
      <c r="D665" s="215"/>
      <c r="E665" s="215"/>
      <c r="F665" s="215"/>
      <c r="G665" s="215"/>
      <c r="H665" s="160"/>
    </row>
    <row r="666" spans="1:8">
      <c r="A666" s="213"/>
      <c r="B666" s="214"/>
      <c r="C666" s="215"/>
      <c r="D666" s="215"/>
      <c r="E666" s="215"/>
      <c r="F666" s="215"/>
      <c r="G666" s="215"/>
      <c r="H666" s="160"/>
    </row>
    <row r="667" spans="1:8">
      <c r="A667" s="213"/>
      <c r="B667" s="214"/>
      <c r="C667" s="215"/>
      <c r="D667" s="215"/>
      <c r="E667" s="215"/>
      <c r="F667" s="215"/>
      <c r="G667" s="215"/>
      <c r="H667" s="160"/>
    </row>
    <row r="668" spans="1:8">
      <c r="A668" s="213"/>
      <c r="B668" s="214"/>
      <c r="C668" s="215"/>
      <c r="D668" s="215"/>
      <c r="E668" s="215"/>
      <c r="F668" s="215"/>
      <c r="G668" s="215"/>
      <c r="H668" s="160"/>
    </row>
    <row r="669" spans="1:8">
      <c r="A669" s="213"/>
      <c r="B669" s="214"/>
      <c r="C669" s="215"/>
      <c r="D669" s="215"/>
      <c r="E669" s="215"/>
      <c r="F669" s="215"/>
      <c r="G669" s="215"/>
      <c r="H669" s="160"/>
    </row>
    <row r="670" spans="1:8">
      <c r="A670" s="213"/>
      <c r="B670" s="214"/>
      <c r="C670" s="215"/>
      <c r="D670" s="215"/>
      <c r="E670" s="215"/>
      <c r="F670" s="215"/>
      <c r="G670" s="215"/>
      <c r="H670" s="160"/>
    </row>
    <row r="671" spans="1:8">
      <c r="A671" s="213"/>
      <c r="B671" s="214"/>
      <c r="C671" s="215"/>
      <c r="D671" s="215"/>
      <c r="E671" s="215"/>
      <c r="F671" s="215"/>
      <c r="G671" s="215"/>
      <c r="H671" s="160"/>
    </row>
    <row r="672" spans="1:8">
      <c r="A672" s="213"/>
      <c r="B672" s="214"/>
      <c r="C672" s="215"/>
      <c r="D672" s="215"/>
      <c r="E672" s="215"/>
      <c r="F672" s="215"/>
      <c r="G672" s="215"/>
      <c r="H672" s="160"/>
    </row>
    <row r="673" spans="1:8">
      <c r="A673" s="213"/>
      <c r="B673" s="214"/>
      <c r="C673" s="215"/>
      <c r="D673" s="215"/>
      <c r="E673" s="215"/>
      <c r="F673" s="215"/>
      <c r="G673" s="215"/>
      <c r="H673" s="160"/>
    </row>
    <row r="674" spans="1:8">
      <c r="A674" s="213"/>
      <c r="B674" s="214"/>
      <c r="C674" s="215"/>
      <c r="D674" s="215"/>
      <c r="E674" s="215"/>
      <c r="F674" s="215"/>
      <c r="G674" s="215"/>
      <c r="H674" s="160"/>
    </row>
    <row r="675" spans="1:8">
      <c r="A675" s="213"/>
      <c r="B675" s="214"/>
      <c r="C675" s="215"/>
      <c r="D675" s="215"/>
      <c r="E675" s="215"/>
      <c r="F675" s="215"/>
      <c r="G675" s="215"/>
      <c r="H675" s="160"/>
    </row>
    <row r="676" spans="1:8">
      <c r="A676" s="213"/>
      <c r="B676" s="214"/>
      <c r="C676" s="215"/>
      <c r="D676" s="215"/>
      <c r="E676" s="215"/>
      <c r="F676" s="215"/>
      <c r="G676" s="215"/>
      <c r="H676" s="160"/>
    </row>
    <row r="677" spans="1:8">
      <c r="A677" s="213"/>
      <c r="B677" s="214"/>
      <c r="C677" s="215"/>
      <c r="D677" s="215"/>
      <c r="E677" s="215"/>
      <c r="F677" s="215"/>
      <c r="G677" s="215"/>
      <c r="H677" s="160"/>
    </row>
    <row r="678" spans="1:8">
      <c r="A678" s="213"/>
      <c r="B678" s="214"/>
      <c r="C678" s="215"/>
      <c r="D678" s="215"/>
      <c r="E678" s="215"/>
      <c r="F678" s="215"/>
      <c r="G678" s="215"/>
      <c r="H678" s="160"/>
    </row>
    <row r="679" spans="1:8">
      <c r="A679" s="213"/>
      <c r="B679" s="214"/>
      <c r="C679" s="215"/>
      <c r="D679" s="215"/>
      <c r="E679" s="215"/>
      <c r="F679" s="215"/>
      <c r="G679" s="215"/>
      <c r="H679" s="160"/>
    </row>
    <row r="680" spans="1:8">
      <c r="A680" s="213"/>
      <c r="B680" s="214"/>
      <c r="C680" s="215"/>
      <c r="D680" s="215"/>
      <c r="E680" s="215"/>
      <c r="F680" s="215"/>
      <c r="G680" s="215"/>
      <c r="H680" s="160"/>
    </row>
    <row r="681" spans="1:8">
      <c r="A681" s="213"/>
      <c r="B681" s="214"/>
      <c r="C681" s="215"/>
      <c r="D681" s="215"/>
      <c r="E681" s="215"/>
      <c r="F681" s="215"/>
      <c r="G681" s="215"/>
      <c r="H681" s="160"/>
    </row>
    <row r="682" spans="1:8">
      <c r="A682" s="213"/>
      <c r="B682" s="214"/>
      <c r="C682" s="215"/>
      <c r="D682" s="215"/>
      <c r="E682" s="215"/>
      <c r="F682" s="215"/>
      <c r="G682" s="215"/>
      <c r="H682" s="160"/>
    </row>
    <row r="683" spans="1:8">
      <c r="A683" s="213"/>
      <c r="B683" s="214"/>
      <c r="C683" s="215"/>
      <c r="D683" s="215"/>
      <c r="E683" s="215"/>
      <c r="F683" s="215"/>
      <c r="G683" s="215"/>
      <c r="H683" s="160"/>
    </row>
    <row r="684" spans="1:8">
      <c r="A684" s="213"/>
      <c r="B684" s="214"/>
      <c r="C684" s="215"/>
      <c r="D684" s="215"/>
      <c r="E684" s="215"/>
      <c r="F684" s="215"/>
      <c r="G684" s="215"/>
      <c r="H684" s="160"/>
    </row>
    <row r="685" spans="1:8">
      <c r="A685" s="213"/>
      <c r="B685" s="214"/>
      <c r="C685" s="215"/>
      <c r="D685" s="215"/>
      <c r="E685" s="215"/>
      <c r="F685" s="215"/>
      <c r="G685" s="215"/>
      <c r="H685" s="160"/>
    </row>
    <row r="686" spans="1:8">
      <c r="A686" s="213"/>
      <c r="B686" s="214"/>
      <c r="C686" s="215"/>
      <c r="D686" s="215"/>
      <c r="E686" s="215"/>
      <c r="F686" s="215"/>
      <c r="G686" s="215"/>
      <c r="H686" s="160"/>
    </row>
    <row r="687" spans="1:8">
      <c r="A687" s="213"/>
      <c r="B687" s="214"/>
      <c r="C687" s="215"/>
      <c r="D687" s="215"/>
      <c r="E687" s="215"/>
      <c r="F687" s="215"/>
      <c r="G687" s="215"/>
      <c r="H687" s="160"/>
    </row>
    <row r="688" spans="1:8">
      <c r="A688" s="213"/>
      <c r="B688" s="214"/>
      <c r="C688" s="215"/>
      <c r="D688" s="215"/>
      <c r="E688" s="215"/>
      <c r="F688" s="215"/>
      <c r="G688" s="215"/>
      <c r="H688" s="160"/>
    </row>
    <row r="689" spans="1:8">
      <c r="A689" s="213"/>
      <c r="B689" s="214"/>
      <c r="C689" s="215"/>
      <c r="D689" s="215"/>
      <c r="E689" s="215"/>
      <c r="F689" s="215"/>
      <c r="G689" s="215"/>
      <c r="H689" s="160"/>
    </row>
    <row r="690" spans="1:8">
      <c r="A690" s="213"/>
      <c r="B690" s="214"/>
      <c r="C690" s="215"/>
      <c r="D690" s="215"/>
      <c r="E690" s="215"/>
      <c r="F690" s="215"/>
      <c r="G690" s="215"/>
      <c r="H690" s="160"/>
    </row>
    <row r="691" spans="1:8">
      <c r="A691" s="213"/>
      <c r="B691" s="214"/>
      <c r="C691" s="215"/>
      <c r="D691" s="215"/>
      <c r="E691" s="215"/>
      <c r="F691" s="215"/>
      <c r="G691" s="215"/>
      <c r="H691" s="160"/>
    </row>
    <row r="692" spans="1:8">
      <c r="A692" s="213"/>
      <c r="B692" s="214"/>
      <c r="C692" s="215"/>
      <c r="D692" s="215"/>
      <c r="E692" s="215"/>
      <c r="F692" s="215"/>
      <c r="G692" s="215"/>
      <c r="H692" s="160"/>
    </row>
    <row r="693" spans="1:8">
      <c r="A693" s="213"/>
      <c r="B693" s="214"/>
      <c r="C693" s="215"/>
      <c r="D693" s="215"/>
      <c r="E693" s="215"/>
      <c r="F693" s="215"/>
      <c r="G693" s="215"/>
      <c r="H693" s="160"/>
    </row>
    <row r="694" spans="1:8">
      <c r="A694" s="213"/>
      <c r="B694" s="214"/>
      <c r="C694" s="215"/>
      <c r="D694" s="215"/>
      <c r="E694" s="215"/>
      <c r="F694" s="215"/>
      <c r="G694" s="215"/>
      <c r="H694" s="160"/>
    </row>
    <row r="695" spans="1:8">
      <c r="A695" s="213"/>
      <c r="B695" s="214"/>
      <c r="C695" s="215"/>
      <c r="D695" s="215"/>
      <c r="E695" s="215"/>
      <c r="F695" s="215"/>
      <c r="G695" s="215"/>
      <c r="H695" s="160"/>
    </row>
    <row r="696" spans="1:8">
      <c r="A696" s="213"/>
      <c r="B696" s="214"/>
      <c r="C696" s="215"/>
      <c r="D696" s="215"/>
      <c r="E696" s="215"/>
      <c r="F696" s="215"/>
      <c r="G696" s="215"/>
      <c r="H696" s="160"/>
    </row>
    <row r="697" spans="1:8">
      <c r="A697" s="213"/>
      <c r="B697" s="214"/>
      <c r="C697" s="215"/>
      <c r="D697" s="215"/>
      <c r="E697" s="215"/>
      <c r="F697" s="215"/>
      <c r="G697" s="215"/>
      <c r="H697" s="160"/>
    </row>
    <row r="698" spans="1:8">
      <c r="A698" s="213"/>
      <c r="B698" s="214"/>
      <c r="C698" s="215"/>
      <c r="D698" s="215"/>
      <c r="E698" s="215"/>
      <c r="F698" s="215"/>
      <c r="G698" s="215"/>
      <c r="H698" s="160"/>
    </row>
    <row r="699" spans="1:8">
      <c r="A699" s="213"/>
      <c r="B699" s="214"/>
      <c r="C699" s="215"/>
      <c r="D699" s="215"/>
      <c r="E699" s="215"/>
      <c r="F699" s="215"/>
      <c r="G699" s="215"/>
      <c r="H699" s="160"/>
    </row>
    <row r="700" spans="1:8">
      <c r="A700" s="213"/>
      <c r="B700" s="214"/>
      <c r="C700" s="215"/>
      <c r="D700" s="215"/>
      <c r="E700" s="215"/>
      <c r="F700" s="215"/>
      <c r="G700" s="215"/>
      <c r="H700" s="160"/>
    </row>
    <row r="701" spans="1:8">
      <c r="A701" s="213"/>
      <c r="B701" s="214"/>
      <c r="C701" s="215"/>
      <c r="D701" s="215"/>
      <c r="E701" s="215"/>
      <c r="F701" s="215"/>
      <c r="G701" s="215"/>
      <c r="H701" s="160"/>
    </row>
    <row r="702" spans="1:8">
      <c r="A702" s="213"/>
      <c r="B702" s="214"/>
      <c r="C702" s="215"/>
      <c r="D702" s="215"/>
      <c r="E702" s="215"/>
      <c r="F702" s="215"/>
      <c r="G702" s="215"/>
      <c r="H702" s="160"/>
    </row>
    <row r="703" spans="1:8">
      <c r="A703" s="213"/>
      <c r="B703" s="214"/>
      <c r="C703" s="215"/>
      <c r="D703" s="215"/>
      <c r="E703" s="215"/>
      <c r="F703" s="215"/>
      <c r="G703" s="215"/>
      <c r="H703" s="160"/>
    </row>
    <row r="704" spans="1:8">
      <c r="A704" s="213"/>
      <c r="B704" s="214"/>
      <c r="C704" s="215"/>
      <c r="D704" s="215"/>
      <c r="E704" s="215"/>
      <c r="F704" s="215"/>
      <c r="G704" s="215"/>
      <c r="H704" s="160"/>
    </row>
    <row r="705" spans="1:8">
      <c r="A705" s="213"/>
      <c r="B705" s="214"/>
      <c r="C705" s="215"/>
      <c r="D705" s="215"/>
      <c r="E705" s="215"/>
      <c r="F705" s="215"/>
      <c r="G705" s="215"/>
      <c r="H705" s="160"/>
    </row>
    <row r="706" spans="1:8">
      <c r="A706" s="213"/>
      <c r="B706" s="214"/>
      <c r="C706" s="215"/>
      <c r="D706" s="215"/>
      <c r="E706" s="215"/>
      <c r="F706" s="215"/>
      <c r="G706" s="215"/>
      <c r="H706" s="160"/>
    </row>
    <row r="707" spans="1:8">
      <c r="A707" s="213"/>
      <c r="B707" s="214"/>
      <c r="C707" s="215"/>
      <c r="D707" s="215"/>
      <c r="E707" s="215"/>
      <c r="F707" s="215"/>
      <c r="G707" s="215"/>
      <c r="H707" s="160"/>
    </row>
    <row r="708" spans="1:8">
      <c r="A708" s="213"/>
      <c r="B708" s="214"/>
      <c r="C708" s="215"/>
      <c r="D708" s="215"/>
      <c r="E708" s="215"/>
      <c r="F708" s="215"/>
      <c r="G708" s="215"/>
      <c r="H708" s="160"/>
    </row>
    <row r="709" spans="1:8">
      <c r="A709" s="213"/>
      <c r="B709" s="214"/>
      <c r="C709" s="215"/>
      <c r="D709" s="215"/>
      <c r="E709" s="215"/>
      <c r="F709" s="215"/>
      <c r="G709" s="215"/>
      <c r="H709" s="160"/>
    </row>
    <row r="710" spans="1:8">
      <c r="A710" s="213"/>
      <c r="B710" s="214"/>
      <c r="C710" s="215"/>
      <c r="D710" s="215"/>
      <c r="E710" s="215"/>
      <c r="F710" s="215"/>
      <c r="G710" s="215"/>
      <c r="H710" s="160"/>
    </row>
    <row r="711" spans="1:8">
      <c r="A711" s="213"/>
      <c r="B711" s="214"/>
      <c r="C711" s="215"/>
      <c r="D711" s="215"/>
      <c r="E711" s="215"/>
      <c r="F711" s="215"/>
      <c r="G711" s="215"/>
      <c r="H711" s="160"/>
    </row>
    <row r="712" spans="1:8">
      <c r="A712" s="213"/>
      <c r="B712" s="214"/>
      <c r="C712" s="215"/>
      <c r="D712" s="215"/>
      <c r="E712" s="215"/>
      <c r="F712" s="215"/>
      <c r="G712" s="215"/>
      <c r="H712" s="160"/>
    </row>
    <row r="713" spans="1:8">
      <c r="A713" s="213"/>
      <c r="B713" s="214"/>
      <c r="C713" s="215"/>
      <c r="D713" s="215"/>
      <c r="E713" s="215"/>
      <c r="F713" s="215"/>
      <c r="G713" s="215"/>
      <c r="H713" s="160"/>
    </row>
    <row r="714" spans="1:8">
      <c r="A714" s="213"/>
      <c r="B714" s="214"/>
      <c r="C714" s="215"/>
      <c r="D714" s="215"/>
      <c r="E714" s="215"/>
      <c r="F714" s="215"/>
      <c r="G714" s="215"/>
      <c r="H714" s="160"/>
    </row>
    <row r="715" spans="1:8">
      <c r="A715" s="213"/>
      <c r="B715" s="214"/>
      <c r="C715" s="215"/>
      <c r="D715" s="215"/>
      <c r="E715" s="215"/>
      <c r="F715" s="215"/>
      <c r="G715" s="215"/>
      <c r="H715" s="160"/>
    </row>
    <row r="716" spans="1:8">
      <c r="A716" s="213"/>
      <c r="B716" s="214"/>
      <c r="C716" s="215"/>
      <c r="D716" s="215"/>
      <c r="E716" s="215"/>
      <c r="F716" s="215"/>
      <c r="G716" s="215"/>
      <c r="H716" s="160"/>
    </row>
    <row r="717" spans="1:8">
      <c r="A717" s="213"/>
      <c r="B717" s="214"/>
      <c r="C717" s="215"/>
      <c r="D717" s="215"/>
      <c r="E717" s="215"/>
      <c r="F717" s="215"/>
      <c r="G717" s="215"/>
      <c r="H717" s="160"/>
    </row>
    <row r="718" spans="1:8">
      <c r="A718" s="213"/>
      <c r="B718" s="214"/>
      <c r="C718" s="215"/>
      <c r="D718" s="215"/>
      <c r="E718" s="215"/>
      <c r="F718" s="215"/>
      <c r="G718" s="215"/>
      <c r="H718" s="160"/>
    </row>
    <row r="719" spans="1:8">
      <c r="A719" s="213"/>
      <c r="B719" s="214"/>
      <c r="C719" s="215"/>
      <c r="D719" s="215"/>
      <c r="E719" s="215"/>
      <c r="F719" s="215"/>
      <c r="G719" s="215"/>
      <c r="H719" s="160"/>
    </row>
    <row r="720" spans="1:8">
      <c r="A720" s="213"/>
      <c r="B720" s="214"/>
      <c r="C720" s="215"/>
      <c r="D720" s="215"/>
      <c r="E720" s="215"/>
      <c r="F720" s="215"/>
      <c r="G720" s="215"/>
      <c r="H720" s="160"/>
    </row>
    <row r="721" spans="1:8">
      <c r="A721" s="213"/>
      <c r="B721" s="214"/>
      <c r="C721" s="215"/>
      <c r="D721" s="215"/>
      <c r="E721" s="215"/>
      <c r="F721" s="215"/>
      <c r="G721" s="215"/>
      <c r="H721" s="160"/>
    </row>
    <row r="722" spans="1:8">
      <c r="A722" s="213"/>
      <c r="B722" s="214"/>
      <c r="C722" s="215"/>
      <c r="D722" s="215"/>
      <c r="E722" s="215"/>
      <c r="F722" s="215"/>
      <c r="G722" s="215"/>
      <c r="H722" s="160"/>
    </row>
    <row r="723" spans="1:8">
      <c r="A723" s="213"/>
      <c r="B723" s="214"/>
      <c r="C723" s="215"/>
      <c r="D723" s="215"/>
      <c r="E723" s="215"/>
      <c r="F723" s="215"/>
      <c r="G723" s="215"/>
      <c r="H723" s="160"/>
    </row>
    <row r="724" spans="1:8">
      <c r="A724" s="213"/>
      <c r="B724" s="214"/>
      <c r="C724" s="215"/>
      <c r="D724" s="215"/>
      <c r="E724" s="215"/>
      <c r="F724" s="215"/>
      <c r="G724" s="215"/>
      <c r="H724" s="160"/>
    </row>
    <row r="725" spans="1:8">
      <c r="A725" s="213"/>
      <c r="B725" s="214"/>
      <c r="C725" s="215"/>
      <c r="D725" s="215"/>
      <c r="E725" s="215"/>
      <c r="F725" s="215"/>
      <c r="G725" s="215"/>
      <c r="H725" s="160"/>
    </row>
    <row r="726" spans="1:8">
      <c r="A726" s="213"/>
      <c r="B726" s="214"/>
      <c r="C726" s="215"/>
      <c r="D726" s="215"/>
      <c r="E726" s="215"/>
      <c r="F726" s="215"/>
      <c r="G726" s="215"/>
      <c r="H726" s="160"/>
    </row>
    <row r="727" spans="1:8">
      <c r="A727" s="213"/>
      <c r="B727" s="214"/>
      <c r="C727" s="215"/>
      <c r="D727" s="215"/>
      <c r="E727" s="215"/>
      <c r="F727" s="215"/>
      <c r="G727" s="215"/>
      <c r="H727" s="160"/>
    </row>
    <row r="728" spans="1:8">
      <c r="A728" s="213"/>
      <c r="B728" s="214"/>
      <c r="C728" s="215"/>
      <c r="D728" s="215"/>
      <c r="E728" s="215"/>
      <c r="F728" s="215"/>
      <c r="G728" s="215"/>
      <c r="H728" s="160"/>
    </row>
    <row r="729" spans="1:8">
      <c r="A729" s="213"/>
      <c r="B729" s="214"/>
      <c r="C729" s="215"/>
      <c r="D729" s="215"/>
      <c r="E729" s="215"/>
      <c r="F729" s="215"/>
      <c r="G729" s="215"/>
      <c r="H729" s="160"/>
    </row>
    <row r="730" spans="1:8">
      <c r="A730" s="213"/>
      <c r="B730" s="214"/>
      <c r="C730" s="215"/>
      <c r="D730" s="215"/>
      <c r="E730" s="215"/>
      <c r="F730" s="215"/>
      <c r="G730" s="215"/>
      <c r="H730" s="160"/>
    </row>
    <row r="731" spans="1:8">
      <c r="A731" s="213"/>
      <c r="B731" s="214"/>
      <c r="C731" s="215"/>
      <c r="D731" s="215"/>
      <c r="E731" s="215"/>
      <c r="F731" s="215"/>
      <c r="G731" s="215"/>
      <c r="H731" s="160"/>
    </row>
    <row r="732" spans="1:8">
      <c r="A732" s="213"/>
      <c r="B732" s="214"/>
      <c r="C732" s="215"/>
      <c r="D732" s="215"/>
      <c r="E732" s="215"/>
      <c r="F732" s="215"/>
      <c r="G732" s="215"/>
      <c r="H732" s="160"/>
    </row>
    <row r="733" spans="1:8">
      <c r="A733" s="213"/>
      <c r="B733" s="214"/>
      <c r="C733" s="215"/>
      <c r="D733" s="215"/>
      <c r="E733" s="215"/>
      <c r="F733" s="215"/>
      <c r="G733" s="215"/>
      <c r="H733" s="160"/>
    </row>
    <row r="734" spans="1:8">
      <c r="A734" s="213"/>
      <c r="B734" s="214"/>
      <c r="C734" s="215"/>
      <c r="D734" s="215"/>
      <c r="E734" s="215"/>
      <c r="F734" s="215"/>
      <c r="G734" s="215"/>
      <c r="H734" s="160"/>
    </row>
    <row r="735" spans="1:8">
      <c r="A735" s="213"/>
      <c r="B735" s="214"/>
      <c r="C735" s="215"/>
      <c r="D735" s="215"/>
      <c r="E735" s="215"/>
      <c r="F735" s="215"/>
      <c r="G735" s="215"/>
      <c r="H735" s="160"/>
    </row>
    <row r="736" spans="1:8">
      <c r="A736" s="213"/>
      <c r="B736" s="214"/>
      <c r="C736" s="215"/>
      <c r="D736" s="215"/>
      <c r="E736" s="215"/>
      <c r="F736" s="215"/>
      <c r="G736" s="215"/>
      <c r="H736" s="160"/>
    </row>
    <row r="737" spans="1:8">
      <c r="A737" s="213"/>
      <c r="B737" s="214"/>
      <c r="C737" s="215"/>
      <c r="D737" s="215"/>
      <c r="E737" s="215"/>
      <c r="F737" s="215"/>
      <c r="G737" s="215"/>
      <c r="H737" s="160"/>
    </row>
    <row r="738" spans="1:8">
      <c r="A738" s="213"/>
      <c r="B738" s="214"/>
      <c r="C738" s="215"/>
      <c r="D738" s="215"/>
      <c r="E738" s="215"/>
      <c r="F738" s="215"/>
      <c r="G738" s="215"/>
      <c r="H738" s="160"/>
    </row>
    <row r="739" spans="1:8">
      <c r="A739" s="213"/>
      <c r="B739" s="214"/>
      <c r="C739" s="215"/>
      <c r="D739" s="215"/>
      <c r="E739" s="215"/>
      <c r="F739" s="215"/>
      <c r="G739" s="215"/>
      <c r="H739" s="160"/>
    </row>
    <row r="740" spans="1:8">
      <c r="A740" s="213"/>
      <c r="B740" s="214"/>
      <c r="C740" s="215"/>
      <c r="D740" s="215"/>
      <c r="E740" s="215"/>
      <c r="F740" s="215"/>
      <c r="G740" s="215"/>
      <c r="H740" s="160"/>
    </row>
    <row r="741" spans="1:8">
      <c r="A741" s="213"/>
      <c r="B741" s="214"/>
      <c r="C741" s="215"/>
      <c r="D741" s="215"/>
      <c r="E741" s="215"/>
      <c r="F741" s="215"/>
      <c r="G741" s="215"/>
      <c r="H741" s="160"/>
    </row>
    <row r="742" spans="1:8">
      <c r="A742" s="213"/>
      <c r="B742" s="214"/>
      <c r="C742" s="215"/>
      <c r="D742" s="215"/>
      <c r="E742" s="215"/>
      <c r="F742" s="215"/>
      <c r="G742" s="215"/>
      <c r="H742" s="160"/>
    </row>
    <row r="743" spans="1:8">
      <c r="A743" s="213"/>
      <c r="B743" s="214"/>
      <c r="C743" s="215"/>
      <c r="D743" s="215"/>
      <c r="E743" s="215"/>
      <c r="F743" s="215"/>
      <c r="G743" s="215"/>
      <c r="H743" s="160"/>
    </row>
    <row r="744" spans="1:8">
      <c r="A744" s="213"/>
      <c r="B744" s="214"/>
      <c r="C744" s="215"/>
      <c r="D744" s="215"/>
      <c r="E744" s="215"/>
      <c r="F744" s="215"/>
      <c r="G744" s="215"/>
      <c r="H744" s="160"/>
    </row>
    <row r="745" spans="1:8">
      <c r="A745" s="213"/>
      <c r="B745" s="214"/>
      <c r="C745" s="215"/>
      <c r="D745" s="215"/>
      <c r="E745" s="215"/>
      <c r="F745" s="215"/>
      <c r="G745" s="215"/>
      <c r="H745" s="160"/>
    </row>
    <row r="746" spans="1:8">
      <c r="A746" s="213"/>
      <c r="B746" s="214"/>
      <c r="C746" s="215"/>
      <c r="D746" s="215"/>
      <c r="E746" s="215"/>
      <c r="F746" s="215"/>
      <c r="G746" s="215"/>
      <c r="H746" s="160"/>
    </row>
    <row r="747" spans="1:8">
      <c r="A747" s="213"/>
      <c r="B747" s="214"/>
      <c r="C747" s="215"/>
      <c r="D747" s="215"/>
      <c r="E747" s="215"/>
      <c r="F747" s="215"/>
      <c r="G747" s="215"/>
      <c r="H747" s="160"/>
    </row>
    <row r="748" spans="1:8">
      <c r="A748" s="213"/>
      <c r="B748" s="214"/>
      <c r="C748" s="215"/>
      <c r="D748" s="215"/>
      <c r="E748" s="215"/>
      <c r="F748" s="215"/>
      <c r="G748" s="215"/>
      <c r="H748" s="160"/>
    </row>
    <row r="749" spans="1:8">
      <c r="A749" s="213"/>
      <c r="B749" s="214"/>
      <c r="C749" s="215"/>
      <c r="D749" s="215"/>
      <c r="E749" s="215"/>
      <c r="F749" s="215"/>
      <c r="G749" s="215"/>
      <c r="H749" s="160"/>
    </row>
    <row r="750" spans="1:8">
      <c r="A750" s="213"/>
      <c r="B750" s="214"/>
      <c r="C750" s="215"/>
      <c r="D750" s="215"/>
      <c r="E750" s="215"/>
      <c r="F750" s="215"/>
      <c r="G750" s="215"/>
      <c r="H750" s="160"/>
    </row>
    <row r="751" spans="1:8">
      <c r="A751" s="213"/>
      <c r="B751" s="214"/>
      <c r="C751" s="215"/>
      <c r="D751" s="215"/>
      <c r="E751" s="215"/>
      <c r="F751" s="215"/>
      <c r="G751" s="215"/>
      <c r="H751" s="160"/>
    </row>
    <row r="752" spans="1:8">
      <c r="A752" s="213"/>
      <c r="B752" s="214"/>
      <c r="C752" s="215"/>
      <c r="D752" s="215"/>
      <c r="E752" s="215"/>
      <c r="F752" s="215"/>
      <c r="G752" s="215"/>
      <c r="H752" s="160"/>
    </row>
    <row r="753" spans="1:8">
      <c r="A753" s="213"/>
      <c r="B753" s="214"/>
      <c r="C753" s="215"/>
      <c r="D753" s="215"/>
      <c r="E753" s="215"/>
      <c r="F753" s="215"/>
      <c r="G753" s="215"/>
      <c r="H753" s="160"/>
    </row>
    <row r="754" spans="1:8">
      <c r="A754" s="213"/>
      <c r="B754" s="214"/>
      <c r="C754" s="215"/>
      <c r="D754" s="215"/>
      <c r="E754" s="215"/>
      <c r="F754" s="215"/>
      <c r="G754" s="215"/>
      <c r="H754" s="160"/>
    </row>
    <row r="755" spans="1:8">
      <c r="A755" s="213"/>
      <c r="B755" s="214"/>
      <c r="C755" s="215"/>
      <c r="D755" s="215"/>
      <c r="E755" s="215"/>
      <c r="F755" s="215"/>
      <c r="G755" s="215"/>
      <c r="H755" s="160"/>
    </row>
    <row r="756" spans="1:8">
      <c r="A756" s="213"/>
      <c r="B756" s="214"/>
      <c r="C756" s="215"/>
      <c r="D756" s="215"/>
      <c r="E756" s="215"/>
      <c r="F756" s="215"/>
      <c r="G756" s="215"/>
      <c r="H756" s="160"/>
    </row>
    <row r="757" spans="1:8">
      <c r="A757" s="213"/>
      <c r="B757" s="214"/>
      <c r="C757" s="215"/>
      <c r="D757" s="215"/>
      <c r="E757" s="215"/>
      <c r="F757" s="215"/>
      <c r="G757" s="215"/>
      <c r="H757" s="160"/>
    </row>
    <row r="758" spans="1:8">
      <c r="A758" s="213"/>
      <c r="B758" s="214"/>
      <c r="C758" s="215"/>
      <c r="D758" s="215"/>
      <c r="E758" s="215"/>
      <c r="F758" s="215"/>
      <c r="G758" s="215"/>
      <c r="H758" s="160"/>
    </row>
    <row r="759" spans="1:8">
      <c r="A759" s="213"/>
      <c r="B759" s="214"/>
      <c r="C759" s="215"/>
      <c r="D759" s="215"/>
      <c r="E759" s="215"/>
      <c r="F759" s="215"/>
      <c r="G759" s="215"/>
      <c r="H759" s="160"/>
    </row>
    <row r="760" spans="1:8">
      <c r="A760" s="213"/>
      <c r="B760" s="214"/>
      <c r="C760" s="215"/>
      <c r="D760" s="215"/>
      <c r="E760" s="215"/>
      <c r="F760" s="215"/>
      <c r="G760" s="215"/>
      <c r="H760" s="160"/>
    </row>
    <row r="761" spans="1:8">
      <c r="A761" s="213"/>
      <c r="B761" s="214"/>
      <c r="C761" s="215"/>
      <c r="D761" s="215"/>
      <c r="E761" s="215"/>
      <c r="F761" s="215"/>
      <c r="G761" s="215"/>
      <c r="H761" s="160"/>
    </row>
    <row r="762" spans="1:8">
      <c r="A762" s="213"/>
      <c r="B762" s="214"/>
      <c r="C762" s="215"/>
      <c r="D762" s="215"/>
      <c r="E762" s="215"/>
      <c r="F762" s="215"/>
      <c r="G762" s="215"/>
      <c r="H762" s="160"/>
    </row>
    <row r="763" spans="1:8">
      <c r="A763" s="213"/>
      <c r="B763" s="214"/>
      <c r="C763" s="215"/>
      <c r="D763" s="215"/>
      <c r="E763" s="215"/>
      <c r="F763" s="215"/>
      <c r="G763" s="215"/>
      <c r="H763" s="160"/>
    </row>
    <row r="764" spans="1:8">
      <c r="A764" s="213"/>
      <c r="B764" s="214"/>
      <c r="C764" s="215"/>
      <c r="D764" s="215"/>
      <c r="E764" s="215"/>
      <c r="F764" s="215"/>
      <c r="G764" s="215"/>
      <c r="H764" s="160"/>
    </row>
    <row r="765" spans="1:8">
      <c r="A765" s="213"/>
      <c r="B765" s="214"/>
      <c r="C765" s="215"/>
      <c r="D765" s="215"/>
      <c r="E765" s="215"/>
      <c r="F765" s="215"/>
      <c r="G765" s="215"/>
      <c r="H765" s="160"/>
    </row>
    <row r="766" spans="1:8">
      <c r="A766" s="213"/>
      <c r="B766" s="214"/>
      <c r="C766" s="215"/>
      <c r="D766" s="215"/>
      <c r="E766" s="215"/>
      <c r="F766" s="215"/>
      <c r="G766" s="215"/>
      <c r="H766" s="160"/>
    </row>
    <row r="767" spans="1:8">
      <c r="A767" s="213"/>
      <c r="B767" s="214"/>
      <c r="C767" s="215"/>
      <c r="D767" s="215"/>
      <c r="E767" s="215"/>
      <c r="F767" s="215"/>
      <c r="G767" s="215"/>
      <c r="H767" s="160"/>
    </row>
    <row r="768" spans="1:8">
      <c r="A768" s="213"/>
      <c r="B768" s="214"/>
      <c r="C768" s="215"/>
      <c r="D768" s="215"/>
      <c r="E768" s="215"/>
      <c r="F768" s="215"/>
      <c r="G768" s="215"/>
      <c r="H768" s="160"/>
    </row>
    <row r="769" spans="1:8">
      <c r="A769" s="213"/>
      <c r="B769" s="214"/>
      <c r="C769" s="215"/>
      <c r="D769" s="215"/>
      <c r="E769" s="215"/>
      <c r="F769" s="215"/>
      <c r="G769" s="215"/>
      <c r="H769" s="160"/>
    </row>
    <row r="770" spans="1:8">
      <c r="A770" s="213"/>
      <c r="B770" s="214"/>
      <c r="C770" s="215"/>
      <c r="D770" s="215"/>
      <c r="E770" s="215"/>
      <c r="F770" s="215"/>
      <c r="G770" s="215"/>
      <c r="H770" s="160"/>
    </row>
    <row r="771" spans="1:8">
      <c r="A771" s="213"/>
      <c r="B771" s="214"/>
      <c r="C771" s="215"/>
      <c r="D771" s="215"/>
      <c r="E771" s="215"/>
      <c r="F771" s="215"/>
      <c r="G771" s="215"/>
      <c r="H771" s="160"/>
    </row>
    <row r="772" spans="1:8">
      <c r="A772" s="213"/>
      <c r="B772" s="214"/>
      <c r="C772" s="215"/>
      <c r="D772" s="215"/>
      <c r="E772" s="215"/>
      <c r="F772" s="215"/>
      <c r="G772" s="215"/>
      <c r="H772" s="160"/>
    </row>
    <row r="773" spans="1:8">
      <c r="A773" s="213"/>
      <c r="B773" s="214"/>
      <c r="C773" s="215"/>
      <c r="D773" s="215"/>
      <c r="E773" s="215"/>
      <c r="F773" s="215"/>
      <c r="G773" s="215"/>
      <c r="H773" s="160"/>
    </row>
    <row r="774" spans="1:8">
      <c r="A774" s="213"/>
      <c r="B774" s="214"/>
      <c r="C774" s="215"/>
      <c r="D774" s="215"/>
      <c r="E774" s="215"/>
      <c r="F774" s="215"/>
      <c r="G774" s="215"/>
      <c r="H774" s="160"/>
    </row>
    <row r="775" spans="1:8">
      <c r="A775" s="213"/>
      <c r="B775" s="214"/>
      <c r="C775" s="215"/>
      <c r="D775" s="215"/>
      <c r="E775" s="215"/>
      <c r="F775" s="215"/>
      <c r="G775" s="215"/>
      <c r="H775" s="160"/>
    </row>
    <row r="776" spans="1:8">
      <c r="A776" s="213"/>
      <c r="B776" s="214"/>
      <c r="C776" s="215"/>
      <c r="D776" s="215"/>
      <c r="E776" s="215"/>
      <c r="F776" s="215"/>
      <c r="G776" s="215"/>
      <c r="H776" s="160"/>
    </row>
    <row r="777" spans="1:8">
      <c r="A777" s="213"/>
      <c r="B777" s="214"/>
      <c r="C777" s="215"/>
      <c r="D777" s="215"/>
      <c r="E777" s="215"/>
      <c r="F777" s="215"/>
      <c r="G777" s="215"/>
      <c r="H777" s="160"/>
    </row>
    <row r="778" spans="1:8">
      <c r="A778" s="213"/>
      <c r="B778" s="214"/>
      <c r="C778" s="215"/>
      <c r="D778" s="215"/>
      <c r="E778" s="215"/>
      <c r="F778" s="215"/>
      <c r="G778" s="215"/>
      <c r="H778" s="160"/>
    </row>
    <row r="779" spans="1:8">
      <c r="A779" s="213"/>
      <c r="B779" s="214"/>
      <c r="C779" s="215"/>
      <c r="D779" s="215"/>
      <c r="E779" s="215"/>
      <c r="F779" s="215"/>
      <c r="G779" s="215"/>
      <c r="H779" s="160"/>
    </row>
    <row r="780" spans="1:8">
      <c r="A780" s="213"/>
      <c r="B780" s="214"/>
      <c r="C780" s="215"/>
      <c r="D780" s="215"/>
      <c r="E780" s="215"/>
      <c r="F780" s="215"/>
      <c r="G780" s="215"/>
      <c r="H780" s="160"/>
    </row>
    <row r="781" spans="1:8">
      <c r="A781" s="213"/>
      <c r="B781" s="214"/>
      <c r="C781" s="215"/>
      <c r="D781" s="215"/>
      <c r="E781" s="215"/>
      <c r="F781" s="215"/>
      <c r="G781" s="215"/>
      <c r="H781" s="160"/>
    </row>
    <row r="782" spans="1:8">
      <c r="A782" s="213"/>
      <c r="B782" s="214"/>
      <c r="C782" s="215"/>
      <c r="D782" s="215"/>
      <c r="E782" s="215"/>
      <c r="F782" s="215"/>
      <c r="G782" s="215"/>
      <c r="H782" s="160"/>
    </row>
    <row r="783" spans="1:8">
      <c r="A783" s="213"/>
      <c r="B783" s="214"/>
      <c r="C783" s="215"/>
      <c r="D783" s="215"/>
      <c r="E783" s="215"/>
      <c r="F783" s="215"/>
      <c r="G783" s="215"/>
      <c r="H783" s="160"/>
    </row>
    <row r="784" spans="1:8">
      <c r="A784" s="213"/>
      <c r="B784" s="214"/>
      <c r="C784" s="215"/>
      <c r="D784" s="215"/>
      <c r="E784" s="215"/>
      <c r="F784" s="215"/>
      <c r="G784" s="215"/>
      <c r="H784" s="160"/>
    </row>
    <row r="785" spans="1:8">
      <c r="A785" s="213"/>
      <c r="B785" s="214"/>
      <c r="C785" s="215"/>
      <c r="D785" s="215"/>
      <c r="E785" s="215"/>
      <c r="F785" s="215"/>
      <c r="G785" s="215"/>
      <c r="H785" s="160"/>
    </row>
    <row r="786" spans="1:8">
      <c r="A786" s="213"/>
      <c r="B786" s="214"/>
      <c r="C786" s="215"/>
      <c r="D786" s="215"/>
      <c r="E786" s="215"/>
      <c r="F786" s="215"/>
      <c r="G786" s="215"/>
      <c r="H786" s="160"/>
    </row>
    <row r="787" spans="1:8">
      <c r="A787" s="213"/>
      <c r="B787" s="214"/>
      <c r="C787" s="215"/>
      <c r="D787" s="215"/>
      <c r="E787" s="215"/>
      <c r="F787" s="215"/>
      <c r="G787" s="215"/>
      <c r="H787" s="160"/>
    </row>
    <row r="788" spans="1:8">
      <c r="A788" s="213"/>
      <c r="B788" s="214"/>
      <c r="C788" s="215"/>
      <c r="D788" s="215"/>
      <c r="E788" s="215"/>
      <c r="F788" s="215"/>
      <c r="G788" s="215"/>
      <c r="H788" s="160"/>
    </row>
    <row r="789" spans="1:8">
      <c r="A789" s="213"/>
      <c r="B789" s="214"/>
      <c r="C789" s="215"/>
      <c r="D789" s="215"/>
      <c r="E789" s="215"/>
      <c r="F789" s="215"/>
      <c r="G789" s="215"/>
      <c r="H789" s="160"/>
    </row>
    <row r="790" spans="1:8">
      <c r="A790" s="213"/>
      <c r="B790" s="214"/>
      <c r="C790" s="215"/>
      <c r="D790" s="215"/>
      <c r="E790" s="215"/>
      <c r="F790" s="215"/>
      <c r="G790" s="215"/>
      <c r="H790" s="160"/>
    </row>
    <row r="791" spans="1:8">
      <c r="A791" s="213"/>
      <c r="B791" s="214"/>
      <c r="C791" s="215"/>
      <c r="D791" s="215"/>
      <c r="E791" s="215"/>
      <c r="F791" s="215"/>
      <c r="G791" s="215"/>
      <c r="H791" s="160"/>
    </row>
    <row r="792" spans="1:8">
      <c r="A792" s="213"/>
      <c r="B792" s="214"/>
      <c r="C792" s="215"/>
      <c r="D792" s="215"/>
      <c r="E792" s="215"/>
      <c r="F792" s="215"/>
      <c r="G792" s="215"/>
      <c r="H792" s="160"/>
    </row>
    <row r="793" spans="1:8">
      <c r="A793" s="213"/>
      <c r="B793" s="214"/>
      <c r="C793" s="215"/>
      <c r="D793" s="215"/>
      <c r="E793" s="215"/>
      <c r="F793" s="215"/>
      <c r="G793" s="215"/>
      <c r="H793" s="160"/>
    </row>
    <row r="794" spans="1:8">
      <c r="A794" s="213"/>
      <c r="B794" s="214"/>
      <c r="C794" s="215"/>
      <c r="D794" s="215"/>
      <c r="E794" s="215"/>
      <c r="F794" s="215"/>
      <c r="G794" s="215"/>
      <c r="H794" s="160"/>
    </row>
    <row r="795" spans="1:8">
      <c r="A795" s="213"/>
      <c r="B795" s="214"/>
      <c r="C795" s="215"/>
      <c r="D795" s="215"/>
      <c r="E795" s="215"/>
      <c r="F795" s="215"/>
      <c r="G795" s="215"/>
      <c r="H795" s="160"/>
    </row>
    <row r="796" spans="1:8">
      <c r="A796" s="213"/>
      <c r="B796" s="214"/>
      <c r="C796" s="215"/>
      <c r="D796" s="215"/>
      <c r="E796" s="215"/>
      <c r="F796" s="215"/>
      <c r="G796" s="215"/>
      <c r="H796" s="160"/>
    </row>
    <row r="797" spans="1:8">
      <c r="A797" s="213"/>
      <c r="B797" s="214"/>
      <c r="C797" s="215"/>
      <c r="D797" s="215"/>
      <c r="E797" s="215"/>
      <c r="F797" s="215"/>
      <c r="G797" s="215"/>
      <c r="H797" s="160"/>
    </row>
    <row r="798" spans="1:8">
      <c r="A798" s="213"/>
      <c r="B798" s="214"/>
      <c r="C798" s="215"/>
      <c r="D798" s="215"/>
      <c r="E798" s="215"/>
      <c r="F798" s="215"/>
      <c r="G798" s="215"/>
      <c r="H798" s="160"/>
    </row>
    <row r="799" spans="1:8">
      <c r="A799" s="213"/>
      <c r="B799" s="214"/>
      <c r="C799" s="215"/>
      <c r="D799" s="215"/>
      <c r="E799" s="215"/>
      <c r="F799" s="215"/>
      <c r="G799" s="215"/>
      <c r="H799" s="160"/>
    </row>
    <row r="800" spans="1:8">
      <c r="A800" s="213"/>
      <c r="B800" s="214"/>
      <c r="C800" s="215"/>
      <c r="D800" s="215"/>
      <c r="E800" s="215"/>
      <c r="F800" s="215"/>
      <c r="G800" s="215"/>
      <c r="H800" s="160"/>
    </row>
    <row r="801" spans="1:8">
      <c r="A801" s="213"/>
      <c r="B801" s="214"/>
      <c r="C801" s="215"/>
      <c r="D801" s="215"/>
      <c r="E801" s="215"/>
      <c r="F801" s="215"/>
      <c r="G801" s="215"/>
      <c r="H801" s="160"/>
    </row>
    <row r="802" spans="1:8">
      <c r="A802" s="213"/>
      <c r="B802" s="214"/>
      <c r="C802" s="215"/>
      <c r="D802" s="215"/>
      <c r="E802" s="215"/>
      <c r="F802" s="215"/>
      <c r="G802" s="215"/>
      <c r="H802" s="160"/>
    </row>
    <row r="803" spans="1:8">
      <c r="A803" s="213"/>
      <c r="B803" s="214"/>
      <c r="C803" s="215"/>
      <c r="D803" s="215"/>
      <c r="E803" s="215"/>
      <c r="F803" s="215"/>
      <c r="G803" s="215"/>
      <c r="H803" s="160"/>
    </row>
    <row r="804" spans="1:8">
      <c r="A804" s="213"/>
      <c r="B804" s="214"/>
      <c r="C804" s="215"/>
      <c r="D804" s="215"/>
      <c r="E804" s="215"/>
      <c r="F804" s="215"/>
      <c r="G804" s="215"/>
      <c r="H804" s="160"/>
    </row>
    <row r="805" spans="1:8">
      <c r="A805" s="213"/>
      <c r="B805" s="214"/>
      <c r="C805" s="215"/>
      <c r="D805" s="215"/>
      <c r="E805" s="215"/>
      <c r="F805" s="215"/>
      <c r="G805" s="215"/>
      <c r="H805" s="160"/>
    </row>
    <row r="806" spans="1:8">
      <c r="A806" s="213"/>
      <c r="B806" s="214"/>
      <c r="C806" s="215"/>
      <c r="D806" s="215"/>
      <c r="E806" s="215"/>
      <c r="F806" s="215"/>
      <c r="G806" s="215"/>
      <c r="H806" s="160"/>
    </row>
    <row r="807" spans="1:8">
      <c r="A807" s="213"/>
      <c r="B807" s="214"/>
      <c r="C807" s="215"/>
      <c r="D807" s="215"/>
      <c r="E807" s="215"/>
      <c r="F807" s="215"/>
      <c r="G807" s="215"/>
      <c r="H807" s="160"/>
    </row>
    <row r="808" spans="1:8">
      <c r="A808" s="213"/>
      <c r="B808" s="214"/>
      <c r="C808" s="215"/>
      <c r="D808" s="215"/>
      <c r="E808" s="215"/>
      <c r="F808" s="215"/>
      <c r="G808" s="215"/>
      <c r="H808" s="160"/>
    </row>
    <row r="809" spans="1:8">
      <c r="A809" s="213"/>
      <c r="B809" s="214"/>
      <c r="C809" s="215"/>
      <c r="D809" s="215"/>
      <c r="E809" s="215"/>
      <c r="F809" s="215"/>
      <c r="G809" s="215"/>
      <c r="H809" s="160"/>
    </row>
    <row r="810" spans="1:8">
      <c r="A810" s="213"/>
      <c r="B810" s="214"/>
      <c r="C810" s="215"/>
      <c r="D810" s="215"/>
      <c r="E810" s="215"/>
      <c r="F810" s="215"/>
      <c r="G810" s="215"/>
      <c r="H810" s="160"/>
    </row>
    <row r="811" spans="1:8">
      <c r="A811" s="213"/>
      <c r="B811" s="214"/>
      <c r="C811" s="215"/>
      <c r="D811" s="215"/>
      <c r="E811" s="215"/>
      <c r="F811" s="215"/>
      <c r="G811" s="215"/>
      <c r="H811" s="160"/>
    </row>
    <row r="812" spans="1:8">
      <c r="A812" s="213"/>
      <c r="B812" s="214"/>
      <c r="C812" s="215"/>
      <c r="D812" s="215"/>
      <c r="E812" s="215"/>
      <c r="F812" s="215"/>
      <c r="G812" s="215"/>
      <c r="H812" s="160"/>
    </row>
    <row r="813" spans="1:8">
      <c r="A813" s="213"/>
      <c r="B813" s="214"/>
      <c r="C813" s="215"/>
      <c r="D813" s="215"/>
      <c r="E813" s="215"/>
      <c r="F813" s="215"/>
      <c r="G813" s="215"/>
      <c r="H813" s="160"/>
    </row>
    <row r="814" spans="1:8">
      <c r="A814" s="213"/>
      <c r="B814" s="214"/>
      <c r="C814" s="215"/>
      <c r="D814" s="215"/>
      <c r="E814" s="215"/>
      <c r="F814" s="215"/>
      <c r="G814" s="215"/>
      <c r="H814" s="160"/>
    </row>
    <row r="815" spans="1:8">
      <c r="A815" s="213"/>
      <c r="B815" s="214"/>
      <c r="C815" s="215"/>
      <c r="D815" s="215"/>
      <c r="E815" s="215"/>
      <c r="F815" s="215"/>
      <c r="G815" s="215"/>
      <c r="H815" s="160"/>
    </row>
    <row r="816" spans="1:8">
      <c r="A816" s="213"/>
      <c r="B816" s="214"/>
      <c r="C816" s="215"/>
      <c r="D816" s="215"/>
      <c r="E816" s="215"/>
      <c r="F816" s="215"/>
      <c r="G816" s="215"/>
      <c r="H816" s="160"/>
    </row>
    <row r="817" spans="1:8">
      <c r="A817" s="213"/>
      <c r="B817" s="214"/>
      <c r="C817" s="215"/>
      <c r="D817" s="215"/>
      <c r="E817" s="215"/>
      <c r="F817" s="215"/>
      <c r="G817" s="215"/>
      <c r="H817" s="160"/>
    </row>
    <row r="818" spans="1:8">
      <c r="A818" s="213"/>
      <c r="B818" s="214"/>
      <c r="C818" s="215"/>
      <c r="D818" s="215"/>
      <c r="E818" s="215"/>
      <c r="F818" s="215"/>
      <c r="G818" s="215"/>
      <c r="H818" s="160"/>
    </row>
    <row r="819" spans="1:8">
      <c r="A819" s="213"/>
      <c r="B819" s="214"/>
      <c r="C819" s="215"/>
      <c r="D819" s="215"/>
      <c r="E819" s="215"/>
      <c r="F819" s="215"/>
      <c r="G819" s="215"/>
      <c r="H819" s="160"/>
    </row>
    <row r="820" spans="1:8">
      <c r="A820" s="213"/>
      <c r="B820" s="214"/>
      <c r="C820" s="215"/>
      <c r="D820" s="215"/>
      <c r="E820" s="215"/>
      <c r="F820" s="215"/>
      <c r="G820" s="215"/>
      <c r="H820" s="160"/>
    </row>
    <row r="821" spans="1:8">
      <c r="A821" s="213"/>
      <c r="B821" s="214"/>
      <c r="C821" s="215"/>
      <c r="D821" s="215"/>
      <c r="E821" s="215"/>
      <c r="F821" s="215"/>
      <c r="G821" s="215"/>
      <c r="H821" s="160"/>
    </row>
    <row r="822" spans="1:8">
      <c r="A822" s="213"/>
      <c r="B822" s="214"/>
      <c r="C822" s="215"/>
      <c r="D822" s="215"/>
      <c r="E822" s="215"/>
      <c r="F822" s="215"/>
      <c r="G822" s="215"/>
      <c r="H822" s="160"/>
    </row>
    <row r="823" spans="1:8">
      <c r="A823" s="213"/>
      <c r="B823" s="214"/>
      <c r="C823" s="215"/>
      <c r="D823" s="215"/>
      <c r="E823" s="215"/>
      <c r="F823" s="215"/>
      <c r="G823" s="215"/>
      <c r="H823" s="160"/>
    </row>
    <row r="824" spans="1:8">
      <c r="A824" s="213"/>
      <c r="B824" s="214"/>
      <c r="C824" s="215"/>
      <c r="D824" s="215"/>
      <c r="E824" s="215"/>
      <c r="F824" s="215"/>
      <c r="G824" s="215"/>
      <c r="H824" s="160"/>
    </row>
    <row r="825" spans="1:8">
      <c r="A825" s="213"/>
      <c r="B825" s="214"/>
      <c r="C825" s="215"/>
      <c r="D825" s="215"/>
      <c r="E825" s="215"/>
      <c r="F825" s="215"/>
      <c r="G825" s="215"/>
      <c r="H825" s="160"/>
    </row>
    <row r="826" spans="1:8">
      <c r="A826" s="213"/>
      <c r="B826" s="214"/>
      <c r="C826" s="215"/>
      <c r="D826" s="215"/>
      <c r="E826" s="215"/>
      <c r="F826" s="215"/>
      <c r="G826" s="215"/>
      <c r="H826" s="160"/>
    </row>
    <row r="827" spans="1:8">
      <c r="A827" s="213"/>
      <c r="B827" s="214"/>
      <c r="C827" s="215"/>
      <c r="D827" s="215"/>
      <c r="E827" s="215"/>
      <c r="F827" s="215"/>
      <c r="G827" s="215"/>
      <c r="H827" s="160"/>
    </row>
    <row r="828" spans="1:8">
      <c r="A828" s="213"/>
      <c r="B828" s="214"/>
      <c r="C828" s="215"/>
      <c r="D828" s="215"/>
      <c r="E828" s="215"/>
      <c r="F828" s="215"/>
      <c r="G828" s="215"/>
      <c r="H828" s="160"/>
    </row>
    <row r="829" spans="1:8">
      <c r="A829" s="213"/>
      <c r="B829" s="214"/>
      <c r="C829" s="215"/>
      <c r="D829" s="215"/>
      <c r="E829" s="215"/>
      <c r="F829" s="215"/>
      <c r="G829" s="215"/>
      <c r="H829" s="160"/>
    </row>
    <row r="830" spans="1:8">
      <c r="A830" s="213"/>
      <c r="B830" s="214"/>
      <c r="C830" s="215"/>
      <c r="D830" s="215"/>
      <c r="E830" s="215"/>
      <c r="F830" s="215"/>
      <c r="G830" s="215"/>
      <c r="H830" s="160"/>
    </row>
    <row r="831" spans="1:8">
      <c r="A831" s="213"/>
      <c r="B831" s="214"/>
      <c r="C831" s="215"/>
      <c r="D831" s="215"/>
      <c r="E831" s="215"/>
      <c r="F831" s="215"/>
      <c r="G831" s="215"/>
      <c r="H831" s="160"/>
    </row>
    <row r="832" spans="1:8">
      <c r="A832" s="213"/>
      <c r="B832" s="214"/>
      <c r="C832" s="215"/>
      <c r="D832" s="215"/>
      <c r="E832" s="215"/>
      <c r="F832" s="215"/>
      <c r="G832" s="215"/>
      <c r="H832" s="160"/>
    </row>
    <row r="833" spans="1:8">
      <c r="A833" s="213"/>
      <c r="B833" s="214"/>
      <c r="C833" s="215"/>
      <c r="D833" s="215"/>
      <c r="E833" s="215"/>
      <c r="F833" s="215"/>
      <c r="G833" s="215"/>
      <c r="H833" s="160"/>
    </row>
    <row r="834" spans="1:8">
      <c r="A834" s="213"/>
      <c r="B834" s="214"/>
      <c r="C834" s="215"/>
      <c r="D834" s="215"/>
      <c r="E834" s="215"/>
      <c r="F834" s="215"/>
      <c r="G834" s="215"/>
      <c r="H834" s="160"/>
    </row>
    <row r="835" spans="1:8">
      <c r="A835" s="213"/>
      <c r="B835" s="214"/>
      <c r="C835" s="215"/>
      <c r="D835" s="215"/>
      <c r="E835" s="215"/>
      <c r="F835" s="215"/>
      <c r="G835" s="215"/>
      <c r="H835" s="160"/>
    </row>
    <row r="836" spans="1:8">
      <c r="A836" s="213"/>
      <c r="B836" s="214"/>
      <c r="C836" s="215"/>
      <c r="D836" s="215"/>
      <c r="E836" s="215"/>
      <c r="F836" s="215"/>
      <c r="G836" s="215"/>
      <c r="H836" s="160"/>
    </row>
    <row r="837" spans="1:8">
      <c r="A837" s="213"/>
      <c r="B837" s="214"/>
      <c r="C837" s="215"/>
      <c r="D837" s="215"/>
      <c r="E837" s="215"/>
      <c r="F837" s="215"/>
      <c r="G837" s="215"/>
      <c r="H837" s="160"/>
    </row>
    <row r="838" spans="1:8">
      <c r="A838" s="213"/>
      <c r="B838" s="214"/>
      <c r="C838" s="215"/>
      <c r="D838" s="215"/>
      <c r="E838" s="215"/>
      <c r="F838" s="215"/>
      <c r="G838" s="215"/>
      <c r="H838" s="160"/>
    </row>
    <row r="839" spans="1:8">
      <c r="A839" s="213"/>
      <c r="B839" s="214"/>
      <c r="C839" s="215"/>
      <c r="D839" s="215"/>
      <c r="E839" s="215"/>
      <c r="F839" s="215"/>
      <c r="G839" s="215"/>
      <c r="H839" s="160"/>
    </row>
    <row r="840" spans="1:8">
      <c r="A840" s="213"/>
      <c r="B840" s="214"/>
      <c r="C840" s="215"/>
      <c r="D840" s="215"/>
      <c r="E840" s="215"/>
      <c r="F840" s="215"/>
      <c r="G840" s="215"/>
      <c r="H840" s="160"/>
    </row>
    <row r="841" spans="1:8">
      <c r="A841" s="213"/>
      <c r="B841" s="214"/>
      <c r="C841" s="215"/>
      <c r="D841" s="215"/>
      <c r="E841" s="215"/>
      <c r="F841" s="215"/>
      <c r="G841" s="215"/>
      <c r="H841" s="160"/>
    </row>
    <row r="842" spans="1:8">
      <c r="A842" s="213"/>
      <c r="B842" s="214"/>
      <c r="C842" s="215"/>
      <c r="D842" s="215"/>
      <c r="E842" s="215"/>
      <c r="F842" s="215"/>
      <c r="G842" s="215"/>
      <c r="H842" s="160"/>
    </row>
    <row r="843" spans="1:8">
      <c r="A843" s="213"/>
      <c r="B843" s="214"/>
      <c r="C843" s="215"/>
      <c r="D843" s="215"/>
      <c r="E843" s="215"/>
      <c r="F843" s="215"/>
      <c r="G843" s="215"/>
      <c r="H843" s="160"/>
    </row>
    <row r="844" spans="1:8">
      <c r="A844" s="213"/>
      <c r="B844" s="214"/>
      <c r="C844" s="215"/>
      <c r="D844" s="215"/>
      <c r="E844" s="215"/>
      <c r="F844" s="215"/>
      <c r="G844" s="215"/>
      <c r="H844" s="160"/>
    </row>
    <row r="845" spans="1:8">
      <c r="A845" s="213"/>
      <c r="B845" s="214"/>
      <c r="C845" s="215"/>
      <c r="D845" s="215"/>
      <c r="E845" s="215"/>
      <c r="F845" s="215"/>
      <c r="G845" s="215"/>
      <c r="H845" s="160"/>
    </row>
    <row r="846" spans="1:8">
      <c r="A846" s="213"/>
      <c r="B846" s="214"/>
      <c r="C846" s="215"/>
      <c r="D846" s="215"/>
      <c r="E846" s="215"/>
      <c r="F846" s="215"/>
      <c r="G846" s="215"/>
      <c r="H846" s="160"/>
    </row>
    <row r="847" spans="1:8">
      <c r="A847" s="213"/>
      <c r="B847" s="214"/>
      <c r="C847" s="215"/>
      <c r="D847" s="215"/>
      <c r="E847" s="215"/>
      <c r="F847" s="215"/>
      <c r="G847" s="215"/>
      <c r="H847" s="160"/>
    </row>
    <row r="848" spans="1:8">
      <c r="A848" s="213"/>
      <c r="B848" s="214"/>
      <c r="C848" s="215"/>
      <c r="D848" s="215"/>
      <c r="E848" s="215"/>
      <c r="F848" s="215"/>
      <c r="G848" s="215"/>
      <c r="H848" s="160"/>
    </row>
    <row r="849" spans="1:8">
      <c r="A849" s="213"/>
      <c r="B849" s="214"/>
      <c r="C849" s="215"/>
      <c r="D849" s="215"/>
      <c r="E849" s="215"/>
      <c r="F849" s="215"/>
      <c r="G849" s="215"/>
      <c r="H849" s="160"/>
    </row>
    <row r="850" spans="1:8">
      <c r="A850" s="213"/>
      <c r="B850" s="214"/>
      <c r="C850" s="215"/>
      <c r="D850" s="215"/>
      <c r="E850" s="215"/>
      <c r="F850" s="215"/>
      <c r="G850" s="215"/>
      <c r="H850" s="160"/>
    </row>
    <row r="851" spans="1:8">
      <c r="A851" s="213"/>
      <c r="B851" s="214"/>
      <c r="C851" s="215"/>
      <c r="D851" s="215"/>
      <c r="E851" s="215"/>
      <c r="F851" s="215"/>
      <c r="G851" s="215"/>
      <c r="H851" s="160"/>
    </row>
    <row r="852" spans="1:8">
      <c r="A852" s="213"/>
      <c r="B852" s="214"/>
      <c r="C852" s="215"/>
      <c r="D852" s="215"/>
      <c r="E852" s="215"/>
      <c r="F852" s="215"/>
      <c r="G852" s="215"/>
      <c r="H852" s="160"/>
    </row>
    <row r="853" spans="1:8">
      <c r="A853" s="213"/>
      <c r="B853" s="214"/>
      <c r="C853" s="215"/>
      <c r="D853" s="215"/>
      <c r="E853" s="215"/>
      <c r="F853" s="215"/>
      <c r="G853" s="215"/>
      <c r="H853" s="160"/>
    </row>
    <row r="854" spans="1:8">
      <c r="A854" s="213"/>
      <c r="B854" s="214"/>
      <c r="C854" s="215"/>
      <c r="D854" s="215"/>
      <c r="E854" s="215"/>
      <c r="F854" s="215"/>
      <c r="G854" s="215"/>
      <c r="H854" s="160"/>
    </row>
    <row r="855" spans="1:8">
      <c r="A855" s="213"/>
      <c r="B855" s="214"/>
      <c r="C855" s="215"/>
      <c r="D855" s="215"/>
      <c r="E855" s="215"/>
      <c r="F855" s="215"/>
      <c r="G855" s="215"/>
      <c r="H855" s="160"/>
    </row>
    <row r="856" spans="1:8">
      <c r="A856" s="213"/>
      <c r="B856" s="214"/>
      <c r="C856" s="215"/>
      <c r="D856" s="215"/>
      <c r="E856" s="215"/>
      <c r="F856" s="215"/>
      <c r="G856" s="215"/>
      <c r="H856" s="160"/>
    </row>
    <row r="857" spans="1:8">
      <c r="A857" s="213"/>
      <c r="B857" s="214"/>
      <c r="C857" s="215"/>
      <c r="D857" s="215"/>
      <c r="E857" s="215"/>
      <c r="F857" s="215"/>
      <c r="G857" s="215"/>
      <c r="H857" s="160"/>
    </row>
    <row r="858" spans="1:8">
      <c r="A858" s="213"/>
      <c r="B858" s="214"/>
      <c r="C858" s="215"/>
      <c r="D858" s="215"/>
      <c r="E858" s="215"/>
      <c r="F858" s="215"/>
      <c r="G858" s="215"/>
      <c r="H858" s="160"/>
    </row>
    <row r="859" spans="1:8">
      <c r="A859" s="213"/>
      <c r="B859" s="214"/>
      <c r="C859" s="215"/>
      <c r="D859" s="215"/>
      <c r="E859" s="215"/>
      <c r="F859" s="215"/>
      <c r="G859" s="215"/>
      <c r="H859" s="160"/>
    </row>
    <row r="860" spans="1:8">
      <c r="A860" s="213"/>
      <c r="B860" s="214"/>
      <c r="C860" s="215"/>
      <c r="D860" s="215"/>
      <c r="E860" s="215"/>
      <c r="F860" s="215"/>
      <c r="G860" s="215"/>
      <c r="H860" s="160"/>
    </row>
    <row r="861" spans="1:8">
      <c r="A861" s="213"/>
      <c r="B861" s="214"/>
      <c r="C861" s="215"/>
      <c r="D861" s="215"/>
      <c r="E861" s="215"/>
      <c r="F861" s="215"/>
      <c r="G861" s="215"/>
      <c r="H861" s="160"/>
    </row>
    <row r="862" spans="1:8">
      <c r="A862" s="213"/>
      <c r="B862" s="214"/>
      <c r="C862" s="215"/>
      <c r="D862" s="215"/>
      <c r="E862" s="215"/>
      <c r="F862" s="215"/>
      <c r="G862" s="215"/>
      <c r="H862" s="160"/>
    </row>
    <row r="863" spans="1:8">
      <c r="A863" s="213"/>
      <c r="B863" s="214"/>
      <c r="C863" s="215"/>
      <c r="D863" s="215"/>
      <c r="E863" s="215"/>
      <c r="F863" s="215"/>
      <c r="G863" s="215"/>
      <c r="H863" s="160"/>
    </row>
    <row r="864" spans="1:8">
      <c r="A864" s="213"/>
      <c r="B864" s="214"/>
      <c r="C864" s="215"/>
      <c r="D864" s="215"/>
      <c r="E864" s="215"/>
      <c r="F864" s="215"/>
      <c r="G864" s="215"/>
      <c r="H864" s="160"/>
    </row>
    <row r="865" spans="1:8">
      <c r="A865" s="213"/>
      <c r="B865" s="214"/>
      <c r="C865" s="215"/>
      <c r="D865" s="215"/>
      <c r="E865" s="215"/>
      <c r="F865" s="215"/>
      <c r="G865" s="215"/>
      <c r="H865" s="160"/>
    </row>
    <row r="866" spans="1:8">
      <c r="A866" s="213"/>
      <c r="B866" s="214"/>
      <c r="C866" s="215"/>
      <c r="D866" s="215"/>
      <c r="E866" s="215"/>
      <c r="F866" s="215"/>
      <c r="G866" s="215"/>
      <c r="H866" s="160"/>
    </row>
    <row r="867" spans="1:8">
      <c r="A867" s="213"/>
      <c r="B867" s="214"/>
      <c r="C867" s="215"/>
      <c r="D867" s="215"/>
      <c r="E867" s="215"/>
      <c r="F867" s="215"/>
      <c r="G867" s="215"/>
      <c r="H867" s="160"/>
    </row>
    <row r="868" spans="1:8">
      <c r="A868" s="213"/>
      <c r="B868" s="214"/>
      <c r="C868" s="215"/>
      <c r="D868" s="215"/>
      <c r="E868" s="215"/>
      <c r="F868" s="215"/>
      <c r="G868" s="215"/>
      <c r="H868" s="160"/>
    </row>
    <row r="869" spans="1:8">
      <c r="A869" s="213"/>
      <c r="B869" s="214"/>
      <c r="C869" s="215"/>
      <c r="D869" s="215"/>
      <c r="E869" s="215"/>
      <c r="F869" s="215"/>
      <c r="G869" s="215"/>
      <c r="H869" s="160"/>
    </row>
    <row r="870" spans="1:8">
      <c r="A870" s="213"/>
      <c r="B870" s="214"/>
      <c r="C870" s="215"/>
      <c r="D870" s="215"/>
      <c r="E870" s="215"/>
      <c r="F870" s="215"/>
      <c r="G870" s="215"/>
      <c r="H870" s="160"/>
    </row>
    <row r="871" spans="1:8">
      <c r="A871" s="213"/>
      <c r="B871" s="214"/>
      <c r="C871" s="215"/>
      <c r="D871" s="215"/>
      <c r="E871" s="215"/>
      <c r="F871" s="215"/>
      <c r="G871" s="215"/>
      <c r="H871" s="160"/>
    </row>
    <row r="872" spans="1:8">
      <c r="A872" s="213"/>
      <c r="B872" s="214"/>
      <c r="C872" s="215"/>
      <c r="D872" s="215"/>
      <c r="E872" s="215"/>
      <c r="F872" s="215"/>
      <c r="G872" s="215"/>
      <c r="H872" s="160"/>
    </row>
    <row r="873" spans="1:8">
      <c r="A873" s="213"/>
      <c r="B873" s="214"/>
      <c r="C873" s="215"/>
      <c r="D873" s="215"/>
      <c r="E873" s="215"/>
      <c r="F873" s="215"/>
      <c r="G873" s="215"/>
      <c r="H873" s="160"/>
    </row>
    <row r="874" spans="1:8">
      <c r="A874" s="213"/>
      <c r="B874" s="214"/>
      <c r="C874" s="215"/>
      <c r="D874" s="215"/>
      <c r="E874" s="215"/>
      <c r="F874" s="215"/>
      <c r="G874" s="215"/>
      <c r="H874" s="160"/>
    </row>
    <row r="875" spans="1:8">
      <c r="A875" s="213"/>
      <c r="B875" s="214"/>
      <c r="C875" s="215"/>
      <c r="D875" s="215"/>
      <c r="E875" s="215"/>
      <c r="F875" s="215"/>
      <c r="G875" s="215"/>
      <c r="H875" s="160"/>
    </row>
    <row r="876" spans="1:8">
      <c r="A876" s="213"/>
      <c r="B876" s="214"/>
      <c r="C876" s="215"/>
      <c r="D876" s="215"/>
      <c r="E876" s="215"/>
      <c r="F876" s="215"/>
      <c r="G876" s="215"/>
      <c r="H876" s="160"/>
    </row>
    <row r="877" spans="1:8">
      <c r="A877" s="213"/>
      <c r="B877" s="214"/>
      <c r="C877" s="215"/>
      <c r="D877" s="215"/>
      <c r="E877" s="215"/>
      <c r="F877" s="215"/>
      <c r="G877" s="215"/>
      <c r="H877" s="160"/>
    </row>
    <row r="878" spans="1:8">
      <c r="A878" s="213"/>
      <c r="B878" s="214"/>
      <c r="C878" s="215"/>
      <c r="D878" s="215"/>
      <c r="E878" s="215"/>
      <c r="F878" s="215"/>
      <c r="G878" s="215"/>
      <c r="H878" s="160"/>
    </row>
    <row r="879" spans="1:8">
      <c r="A879" s="213"/>
      <c r="B879" s="214"/>
      <c r="C879" s="215"/>
      <c r="D879" s="215"/>
      <c r="E879" s="215"/>
      <c r="F879" s="215"/>
      <c r="G879" s="215"/>
      <c r="H879" s="160"/>
    </row>
    <row r="880" spans="1:8">
      <c r="A880" s="213"/>
      <c r="B880" s="214"/>
      <c r="C880" s="215"/>
      <c r="D880" s="215"/>
      <c r="E880" s="215"/>
      <c r="F880" s="215"/>
      <c r="G880" s="215"/>
      <c r="H880" s="160"/>
    </row>
    <row r="881" spans="1:8">
      <c r="A881" s="213"/>
      <c r="B881" s="214"/>
      <c r="C881" s="215"/>
      <c r="D881" s="215"/>
      <c r="E881" s="215"/>
      <c r="F881" s="215"/>
      <c r="G881" s="215"/>
      <c r="H881" s="160"/>
    </row>
    <row r="882" spans="1:8">
      <c r="A882" s="213"/>
      <c r="B882" s="214"/>
      <c r="C882" s="215"/>
      <c r="D882" s="215"/>
      <c r="E882" s="215"/>
      <c r="F882" s="215"/>
      <c r="G882" s="215"/>
      <c r="H882" s="160"/>
    </row>
    <row r="883" spans="1:8">
      <c r="A883" s="213"/>
      <c r="B883" s="214"/>
      <c r="C883" s="215"/>
      <c r="D883" s="215"/>
      <c r="E883" s="215"/>
      <c r="F883" s="215"/>
      <c r="G883" s="215"/>
      <c r="H883" s="160"/>
    </row>
    <row r="884" spans="1:8">
      <c r="A884" s="213"/>
      <c r="B884" s="214"/>
      <c r="C884" s="215"/>
      <c r="D884" s="215"/>
      <c r="E884" s="215"/>
      <c r="F884" s="215"/>
      <c r="G884" s="215"/>
      <c r="H884" s="160"/>
    </row>
    <row r="885" spans="1:8">
      <c r="A885" s="213"/>
      <c r="B885" s="214"/>
      <c r="C885" s="215"/>
      <c r="D885" s="215"/>
      <c r="E885" s="215"/>
      <c r="F885" s="215"/>
      <c r="G885" s="215"/>
      <c r="H885" s="160"/>
    </row>
    <row r="886" spans="1:8">
      <c r="A886" s="213"/>
      <c r="B886" s="214"/>
      <c r="C886" s="215"/>
      <c r="D886" s="215"/>
      <c r="E886" s="215"/>
      <c r="F886" s="215"/>
      <c r="G886" s="215"/>
      <c r="H886" s="160"/>
    </row>
    <row r="887" spans="1:8">
      <c r="A887" s="213"/>
      <c r="B887" s="214"/>
      <c r="C887" s="215"/>
      <c r="D887" s="215"/>
      <c r="E887" s="215"/>
      <c r="F887" s="215"/>
      <c r="G887" s="215"/>
      <c r="H887" s="160"/>
    </row>
    <row r="888" spans="1:8">
      <c r="A888" s="213"/>
      <c r="B888" s="214"/>
      <c r="C888" s="215"/>
      <c r="D888" s="215"/>
      <c r="E888" s="215"/>
      <c r="F888" s="215"/>
      <c r="G888" s="215"/>
      <c r="H888" s="160"/>
    </row>
    <row r="889" spans="1:8">
      <c r="A889" s="213"/>
      <c r="B889" s="214"/>
      <c r="C889" s="215"/>
      <c r="D889" s="215"/>
      <c r="E889" s="215"/>
      <c r="F889" s="215"/>
      <c r="G889" s="215"/>
      <c r="H889" s="160"/>
    </row>
    <row r="890" spans="1:8">
      <c r="A890" s="213"/>
      <c r="B890" s="214"/>
      <c r="C890" s="215"/>
      <c r="D890" s="215"/>
      <c r="E890" s="215"/>
      <c r="F890" s="215"/>
      <c r="G890" s="215"/>
      <c r="H890" s="160"/>
    </row>
    <row r="891" spans="1:8">
      <c r="A891" s="213"/>
      <c r="B891" s="214"/>
      <c r="C891" s="215"/>
      <c r="D891" s="215"/>
      <c r="E891" s="215"/>
      <c r="F891" s="215"/>
      <c r="G891" s="215"/>
      <c r="H891" s="160"/>
    </row>
    <row r="892" spans="1:8">
      <c r="A892" s="213"/>
      <c r="B892" s="214"/>
      <c r="C892" s="215"/>
      <c r="D892" s="215"/>
      <c r="E892" s="215"/>
      <c r="F892" s="215"/>
      <c r="G892" s="215"/>
      <c r="H892" s="160"/>
    </row>
    <row r="893" spans="1:8">
      <c r="A893" s="213"/>
      <c r="B893" s="214"/>
      <c r="C893" s="215"/>
      <c r="D893" s="215"/>
      <c r="E893" s="215"/>
      <c r="F893" s="215"/>
      <c r="G893" s="215"/>
      <c r="H893" s="160"/>
    </row>
    <row r="894" spans="1:8">
      <c r="A894" s="213"/>
      <c r="B894" s="214"/>
      <c r="C894" s="215"/>
      <c r="D894" s="215"/>
      <c r="E894" s="215"/>
      <c r="F894" s="215"/>
      <c r="G894" s="215"/>
      <c r="H894" s="160"/>
    </row>
    <row r="895" spans="1:8">
      <c r="A895" s="213"/>
      <c r="B895" s="214"/>
      <c r="C895" s="215"/>
      <c r="D895" s="215"/>
      <c r="E895" s="215"/>
      <c r="F895" s="215"/>
      <c r="G895" s="215"/>
      <c r="H895" s="160"/>
    </row>
    <row r="896" spans="1:8">
      <c r="A896" s="213"/>
      <c r="B896" s="214"/>
      <c r="C896" s="215"/>
      <c r="D896" s="215"/>
      <c r="E896" s="215"/>
      <c r="F896" s="215"/>
      <c r="G896" s="215"/>
      <c r="H896" s="160"/>
    </row>
    <row r="897" spans="1:8">
      <c r="A897" s="213"/>
      <c r="B897" s="214"/>
      <c r="C897" s="215"/>
      <c r="D897" s="215"/>
      <c r="E897" s="215"/>
      <c r="F897" s="215"/>
      <c r="G897" s="215"/>
      <c r="H897" s="160"/>
    </row>
    <row r="898" spans="1:8">
      <c r="A898" s="213"/>
      <c r="B898" s="214"/>
      <c r="C898" s="215"/>
      <c r="D898" s="215"/>
      <c r="E898" s="215"/>
      <c r="F898" s="215"/>
      <c r="G898" s="215"/>
      <c r="H898" s="160"/>
    </row>
    <row r="899" spans="1:8">
      <c r="A899" s="213"/>
      <c r="B899" s="214"/>
      <c r="C899" s="215"/>
      <c r="D899" s="215"/>
      <c r="E899" s="215"/>
      <c r="F899" s="215"/>
      <c r="G899" s="215"/>
      <c r="H899" s="160"/>
    </row>
    <row r="900" spans="1:8">
      <c r="A900" s="213"/>
      <c r="B900" s="214"/>
      <c r="C900" s="215"/>
      <c r="D900" s="215"/>
      <c r="E900" s="215"/>
      <c r="F900" s="215"/>
      <c r="G900" s="215"/>
      <c r="H900" s="160"/>
    </row>
    <row r="901" spans="1:8">
      <c r="A901" s="213"/>
      <c r="B901" s="214"/>
      <c r="C901" s="215"/>
      <c r="D901" s="215"/>
      <c r="E901" s="215"/>
      <c r="F901" s="215"/>
      <c r="G901" s="215"/>
      <c r="H901" s="160"/>
    </row>
    <row r="902" spans="1:8">
      <c r="A902" s="213"/>
      <c r="B902" s="214"/>
      <c r="C902" s="215"/>
      <c r="D902" s="215"/>
      <c r="E902" s="215"/>
      <c r="F902" s="215"/>
      <c r="G902" s="215"/>
      <c r="H902" s="160"/>
    </row>
    <row r="903" spans="1:8">
      <c r="A903" s="213"/>
      <c r="B903" s="214"/>
      <c r="C903" s="215"/>
      <c r="D903" s="215"/>
      <c r="E903" s="215"/>
      <c r="F903" s="215"/>
      <c r="G903" s="215"/>
      <c r="H903" s="160"/>
    </row>
    <row r="904" spans="1:8">
      <c r="A904" s="213"/>
      <c r="B904" s="214"/>
      <c r="C904" s="215"/>
      <c r="D904" s="215"/>
      <c r="E904" s="215"/>
      <c r="F904" s="215"/>
      <c r="G904" s="215"/>
      <c r="H904" s="160"/>
    </row>
    <row r="905" spans="1:8">
      <c r="A905" s="213"/>
      <c r="B905" s="214"/>
      <c r="C905" s="215"/>
      <c r="D905" s="215"/>
      <c r="E905" s="215"/>
      <c r="F905" s="215"/>
      <c r="G905" s="215"/>
      <c r="H905" s="160"/>
    </row>
    <row r="906" spans="1:8">
      <c r="A906" s="213"/>
      <c r="B906" s="214"/>
      <c r="C906" s="215"/>
      <c r="D906" s="215"/>
      <c r="E906" s="215"/>
      <c r="F906" s="215"/>
      <c r="G906" s="215"/>
      <c r="H906" s="160"/>
    </row>
    <row r="907" spans="1:8">
      <c r="A907" s="213"/>
      <c r="B907" s="214"/>
      <c r="C907" s="215"/>
      <c r="D907" s="215"/>
      <c r="E907" s="215"/>
      <c r="F907" s="215"/>
      <c r="G907" s="215"/>
      <c r="H907" s="160"/>
    </row>
    <row r="908" spans="1:8">
      <c r="A908" s="213"/>
      <c r="B908" s="214"/>
      <c r="C908" s="215"/>
      <c r="D908" s="215"/>
      <c r="E908" s="215"/>
      <c r="F908" s="215"/>
      <c r="G908" s="215"/>
      <c r="H908" s="160"/>
    </row>
    <row r="909" spans="1:8">
      <c r="A909" s="213"/>
      <c r="B909" s="214"/>
      <c r="C909" s="215"/>
      <c r="D909" s="215"/>
      <c r="E909" s="215"/>
      <c r="F909" s="215"/>
      <c r="G909" s="215"/>
      <c r="H909" s="160"/>
    </row>
    <row r="910" spans="1:8">
      <c r="A910" s="213"/>
      <c r="B910" s="214"/>
      <c r="C910" s="215"/>
      <c r="D910" s="215"/>
      <c r="E910" s="215"/>
      <c r="F910" s="215"/>
      <c r="G910" s="215"/>
      <c r="H910" s="160"/>
    </row>
    <row r="911" spans="1:8">
      <c r="A911" s="213"/>
      <c r="B911" s="214"/>
      <c r="C911" s="215"/>
      <c r="D911" s="215"/>
      <c r="E911" s="215"/>
      <c r="F911" s="215"/>
      <c r="G911" s="215"/>
      <c r="H911" s="160"/>
    </row>
    <row r="912" spans="1:8">
      <c r="A912" s="213"/>
      <c r="B912" s="214"/>
      <c r="C912" s="215"/>
      <c r="D912" s="215"/>
      <c r="E912" s="215"/>
      <c r="F912" s="215"/>
      <c r="G912" s="215"/>
      <c r="H912" s="160"/>
    </row>
    <row r="913" spans="1:8">
      <c r="A913" s="213"/>
      <c r="B913" s="214"/>
      <c r="C913" s="215"/>
      <c r="D913" s="215"/>
      <c r="E913" s="215"/>
      <c r="F913" s="215"/>
      <c r="G913" s="215"/>
      <c r="H913" s="160"/>
    </row>
    <row r="914" spans="1:8">
      <c r="A914" s="213"/>
      <c r="B914" s="214"/>
      <c r="C914" s="215"/>
      <c r="D914" s="215"/>
      <c r="E914" s="215"/>
      <c r="F914" s="215"/>
      <c r="G914" s="215"/>
      <c r="H914" s="160"/>
    </row>
    <row r="915" spans="1:8">
      <c r="A915" s="213"/>
      <c r="B915" s="214"/>
      <c r="C915" s="215"/>
      <c r="D915" s="215"/>
      <c r="E915" s="215"/>
      <c r="F915" s="215"/>
      <c r="G915" s="215"/>
      <c r="H915" s="160"/>
    </row>
    <row r="916" spans="1:8">
      <c r="A916" s="213"/>
      <c r="B916" s="214"/>
      <c r="C916" s="215"/>
      <c r="D916" s="215"/>
      <c r="E916" s="215"/>
      <c r="F916" s="215"/>
      <c r="G916" s="215"/>
      <c r="H916" s="160"/>
    </row>
    <row r="917" spans="1:8">
      <c r="A917" s="213"/>
      <c r="B917" s="214"/>
      <c r="C917" s="215"/>
      <c r="D917" s="215"/>
      <c r="E917" s="215"/>
      <c r="F917" s="215"/>
      <c r="G917" s="215"/>
      <c r="H917" s="160"/>
    </row>
    <row r="918" spans="1:8">
      <c r="A918" s="213"/>
      <c r="B918" s="214"/>
      <c r="C918" s="215"/>
      <c r="D918" s="215"/>
      <c r="E918" s="215"/>
      <c r="F918" s="215"/>
      <c r="G918" s="215"/>
      <c r="H918" s="160"/>
    </row>
    <row r="919" spans="1:8">
      <c r="A919" s="213"/>
      <c r="B919" s="214"/>
      <c r="C919" s="215"/>
      <c r="D919" s="215"/>
      <c r="E919" s="215"/>
      <c r="F919" s="215"/>
      <c r="G919" s="215"/>
      <c r="H919" s="160"/>
    </row>
    <row r="920" spans="1:8">
      <c r="A920" s="213"/>
      <c r="B920" s="214"/>
      <c r="C920" s="215"/>
      <c r="D920" s="215"/>
      <c r="E920" s="215"/>
      <c r="F920" s="215"/>
      <c r="G920" s="215"/>
      <c r="H920" s="160"/>
    </row>
    <row r="921" spans="1:8">
      <c r="A921" s="213"/>
      <c r="B921" s="214"/>
      <c r="C921" s="215"/>
      <c r="D921" s="215"/>
      <c r="E921" s="215"/>
      <c r="F921" s="215"/>
      <c r="G921" s="215"/>
      <c r="H921" s="160"/>
    </row>
    <row r="922" spans="1:8">
      <c r="A922" s="213"/>
      <c r="B922" s="214"/>
      <c r="C922" s="215"/>
      <c r="D922" s="215"/>
      <c r="E922" s="215"/>
      <c r="F922" s="215"/>
      <c r="G922" s="215"/>
      <c r="H922" s="160"/>
    </row>
    <row r="923" spans="1:8">
      <c r="A923" s="213"/>
      <c r="B923" s="214"/>
      <c r="C923" s="215"/>
      <c r="D923" s="215"/>
      <c r="E923" s="215"/>
      <c r="F923" s="215"/>
      <c r="G923" s="215"/>
      <c r="H923" s="160"/>
    </row>
    <row r="924" spans="1:8">
      <c r="A924" s="213"/>
      <c r="B924" s="214"/>
      <c r="C924" s="215"/>
      <c r="D924" s="215"/>
      <c r="E924" s="215"/>
      <c r="F924" s="215"/>
      <c r="G924" s="215"/>
      <c r="H924" s="160"/>
    </row>
    <row r="925" spans="1:8">
      <c r="A925" s="213"/>
      <c r="B925" s="214"/>
      <c r="C925" s="215"/>
      <c r="D925" s="215"/>
      <c r="E925" s="215"/>
      <c r="F925" s="215"/>
      <c r="G925" s="215"/>
      <c r="H925" s="160"/>
    </row>
    <row r="926" spans="1:8">
      <c r="A926" s="213"/>
      <c r="B926" s="214"/>
      <c r="C926" s="215"/>
      <c r="D926" s="215"/>
      <c r="E926" s="215"/>
      <c r="F926" s="215"/>
      <c r="G926" s="215"/>
      <c r="H926" s="160"/>
    </row>
    <row r="927" spans="1:8">
      <c r="A927" s="213"/>
      <c r="B927" s="214"/>
      <c r="C927" s="215"/>
      <c r="D927" s="215"/>
      <c r="E927" s="215"/>
      <c r="F927" s="215"/>
      <c r="G927" s="215"/>
      <c r="H927" s="160"/>
    </row>
    <row r="928" spans="1:8">
      <c r="A928" s="213"/>
      <c r="B928" s="214"/>
      <c r="C928" s="215"/>
      <c r="D928" s="215"/>
      <c r="E928" s="215"/>
      <c r="F928" s="215"/>
      <c r="G928" s="215"/>
      <c r="H928" s="160"/>
    </row>
    <row r="929" spans="1:8">
      <c r="A929" s="213"/>
      <c r="B929" s="214"/>
      <c r="C929" s="215"/>
      <c r="D929" s="215"/>
      <c r="E929" s="215"/>
      <c r="F929" s="215"/>
      <c r="G929" s="215"/>
      <c r="H929" s="160"/>
    </row>
    <row r="930" spans="1:8">
      <c r="A930" s="213"/>
      <c r="B930" s="214"/>
      <c r="C930" s="215"/>
      <c r="D930" s="215"/>
      <c r="E930" s="215"/>
      <c r="F930" s="215"/>
      <c r="G930" s="215"/>
      <c r="H930" s="160"/>
    </row>
    <row r="931" spans="1:8">
      <c r="A931" s="213"/>
      <c r="B931" s="214"/>
      <c r="C931" s="215"/>
      <c r="D931" s="215"/>
      <c r="E931" s="215"/>
      <c r="F931" s="215"/>
      <c r="G931" s="215"/>
      <c r="H931" s="160"/>
    </row>
    <row r="932" spans="1:8">
      <c r="A932" s="213"/>
      <c r="B932" s="214"/>
      <c r="C932" s="215"/>
      <c r="D932" s="215"/>
      <c r="E932" s="215"/>
      <c r="F932" s="215"/>
      <c r="G932" s="215"/>
      <c r="H932" s="160"/>
    </row>
    <row r="933" spans="1:8">
      <c r="A933" s="213"/>
      <c r="B933" s="214"/>
      <c r="C933" s="215"/>
      <c r="D933" s="215"/>
      <c r="E933" s="215"/>
      <c r="F933" s="215"/>
      <c r="G933" s="215"/>
      <c r="H933" s="160"/>
    </row>
    <row r="934" spans="1:8">
      <c r="A934" s="213"/>
      <c r="B934" s="214"/>
      <c r="C934" s="215"/>
      <c r="D934" s="215"/>
      <c r="E934" s="215"/>
      <c r="F934" s="215"/>
      <c r="G934" s="215"/>
      <c r="H934" s="160"/>
    </row>
    <row r="935" spans="1:8">
      <c r="A935" s="213"/>
      <c r="B935" s="214"/>
      <c r="C935" s="215"/>
      <c r="D935" s="215"/>
      <c r="E935" s="215"/>
      <c r="F935" s="215"/>
      <c r="G935" s="215"/>
      <c r="H935" s="160"/>
    </row>
    <row r="936" spans="1:8">
      <c r="A936" s="213"/>
      <c r="B936" s="214"/>
      <c r="C936" s="215"/>
      <c r="D936" s="215"/>
      <c r="E936" s="215"/>
      <c r="F936" s="215"/>
      <c r="G936" s="215"/>
      <c r="H936" s="160"/>
    </row>
    <row r="937" spans="1:8">
      <c r="A937" s="213"/>
      <c r="B937" s="214"/>
      <c r="C937" s="215"/>
      <c r="D937" s="215"/>
      <c r="E937" s="215"/>
      <c r="F937" s="215"/>
      <c r="G937" s="215"/>
      <c r="H937" s="160"/>
    </row>
    <row r="938" spans="1:8">
      <c r="A938" s="213"/>
      <c r="B938" s="214"/>
      <c r="C938" s="215"/>
      <c r="D938" s="215"/>
      <c r="E938" s="215"/>
      <c r="F938" s="215"/>
      <c r="G938" s="215"/>
      <c r="H938" s="160"/>
    </row>
    <row r="939" spans="1:8">
      <c r="A939" s="213"/>
      <c r="B939" s="214"/>
      <c r="C939" s="215"/>
      <c r="D939" s="215"/>
      <c r="E939" s="215"/>
      <c r="F939" s="215"/>
      <c r="G939" s="215"/>
      <c r="H939" s="160"/>
    </row>
    <row r="940" spans="1:8">
      <c r="A940" s="213"/>
      <c r="B940" s="214"/>
      <c r="C940" s="215"/>
      <c r="D940" s="215"/>
      <c r="E940" s="215"/>
      <c r="F940" s="215"/>
      <c r="G940" s="215"/>
      <c r="H940" s="160"/>
    </row>
    <row r="941" spans="1:8">
      <c r="A941" s="213"/>
      <c r="B941" s="214"/>
      <c r="C941" s="215"/>
      <c r="D941" s="215"/>
      <c r="E941" s="215"/>
      <c r="F941" s="215"/>
      <c r="G941" s="215"/>
      <c r="H941" s="160"/>
    </row>
    <row r="942" spans="1:8">
      <c r="A942" s="213"/>
      <c r="B942" s="214"/>
      <c r="C942" s="215"/>
      <c r="D942" s="215"/>
      <c r="E942" s="215"/>
      <c r="F942" s="215"/>
      <c r="G942" s="215"/>
      <c r="H942" s="160"/>
    </row>
    <row r="943" spans="1:8">
      <c r="A943" s="213"/>
      <c r="B943" s="214"/>
      <c r="C943" s="215"/>
      <c r="D943" s="215"/>
      <c r="E943" s="215"/>
      <c r="F943" s="215"/>
      <c r="G943" s="215"/>
      <c r="H943" s="160"/>
    </row>
    <row r="944" spans="1:8">
      <c r="A944" s="213"/>
      <c r="B944" s="214"/>
      <c r="C944" s="215"/>
      <c r="D944" s="215"/>
      <c r="E944" s="215"/>
      <c r="F944" s="215"/>
      <c r="G944" s="215"/>
      <c r="H944" s="160"/>
    </row>
    <row r="945" spans="1:8">
      <c r="A945" s="213"/>
      <c r="B945" s="214"/>
      <c r="C945" s="215"/>
      <c r="D945" s="215"/>
      <c r="E945" s="215"/>
      <c r="F945" s="215"/>
      <c r="G945" s="215"/>
      <c r="H945" s="160"/>
    </row>
    <row r="946" spans="1:8">
      <c r="A946" s="213"/>
      <c r="B946" s="214"/>
      <c r="C946" s="215"/>
      <c r="D946" s="215"/>
      <c r="E946" s="215"/>
      <c r="F946" s="215"/>
      <c r="G946" s="215"/>
      <c r="H946" s="160"/>
    </row>
    <row r="947" spans="1:8">
      <c r="A947" s="213"/>
      <c r="B947" s="214"/>
      <c r="C947" s="215"/>
      <c r="D947" s="215"/>
      <c r="E947" s="215"/>
      <c r="F947" s="215"/>
      <c r="G947" s="215"/>
      <c r="H947" s="160"/>
    </row>
    <row r="948" spans="1:8">
      <c r="A948" s="213"/>
      <c r="B948" s="214"/>
      <c r="C948" s="215"/>
      <c r="D948" s="215"/>
      <c r="E948" s="215"/>
      <c r="F948" s="215"/>
      <c r="G948" s="215"/>
      <c r="H948" s="160"/>
    </row>
    <row r="949" spans="1:8">
      <c r="A949" s="213"/>
      <c r="B949" s="214"/>
      <c r="C949" s="215"/>
      <c r="D949" s="215"/>
      <c r="E949" s="215"/>
      <c r="F949" s="215"/>
      <c r="G949" s="215"/>
      <c r="H949" s="160"/>
    </row>
    <row r="950" spans="1:8">
      <c r="A950" s="213"/>
      <c r="B950" s="214"/>
      <c r="C950" s="215"/>
      <c r="D950" s="215"/>
      <c r="E950" s="215"/>
      <c r="F950" s="215"/>
      <c r="G950" s="215"/>
      <c r="H950" s="160"/>
    </row>
    <row r="951" spans="1:8">
      <c r="A951" s="213"/>
      <c r="B951" s="214"/>
      <c r="C951" s="215"/>
      <c r="D951" s="215"/>
      <c r="E951" s="215"/>
      <c r="F951" s="215"/>
      <c r="G951" s="215"/>
      <c r="H951" s="160"/>
    </row>
    <row r="952" spans="1:8">
      <c r="A952" s="213"/>
      <c r="B952" s="214"/>
      <c r="C952" s="215"/>
      <c r="D952" s="215"/>
      <c r="E952" s="215"/>
      <c r="F952" s="215"/>
      <c r="G952" s="215"/>
      <c r="H952" s="160"/>
    </row>
    <row r="953" spans="1:8">
      <c r="A953" s="213"/>
      <c r="B953" s="214"/>
      <c r="C953" s="215"/>
      <c r="D953" s="215"/>
      <c r="E953" s="215"/>
      <c r="F953" s="215"/>
      <c r="G953" s="215"/>
      <c r="H953" s="160"/>
    </row>
    <row r="954" spans="1:8">
      <c r="A954" s="213"/>
      <c r="B954" s="214"/>
      <c r="C954" s="215"/>
      <c r="D954" s="215"/>
      <c r="E954" s="215"/>
      <c r="F954" s="215"/>
      <c r="G954" s="215"/>
      <c r="H954" s="160"/>
    </row>
    <row r="955" spans="1:8">
      <c r="A955" s="213"/>
      <c r="B955" s="214"/>
      <c r="C955" s="215"/>
      <c r="D955" s="215"/>
      <c r="E955" s="215"/>
      <c r="F955" s="215"/>
      <c r="G955" s="215"/>
      <c r="H955" s="160"/>
    </row>
    <row r="956" spans="1:8">
      <c r="A956" s="213"/>
      <c r="B956" s="214"/>
      <c r="C956" s="215"/>
      <c r="D956" s="215"/>
      <c r="E956" s="215"/>
      <c r="F956" s="215"/>
      <c r="G956" s="215"/>
      <c r="H956" s="160"/>
    </row>
    <row r="957" spans="1:8">
      <c r="A957" s="213"/>
      <c r="B957" s="214"/>
      <c r="C957" s="215"/>
      <c r="D957" s="215"/>
      <c r="E957" s="215"/>
      <c r="F957" s="215"/>
      <c r="G957" s="215"/>
      <c r="H957" s="160"/>
    </row>
    <row r="958" spans="1:8">
      <c r="A958" s="213"/>
      <c r="B958" s="214"/>
      <c r="C958" s="215"/>
      <c r="D958" s="215"/>
      <c r="E958" s="215"/>
      <c r="F958" s="215"/>
      <c r="G958" s="215"/>
      <c r="H958" s="160"/>
    </row>
    <row r="959" spans="1:8">
      <c r="A959" s="213"/>
      <c r="B959" s="214"/>
      <c r="C959" s="215"/>
      <c r="D959" s="215"/>
      <c r="E959" s="215"/>
      <c r="F959" s="215"/>
      <c r="G959" s="215"/>
      <c r="H959" s="160"/>
    </row>
    <row r="960" spans="1:8">
      <c r="A960" s="213"/>
      <c r="B960" s="214"/>
      <c r="C960" s="215"/>
      <c r="D960" s="215"/>
      <c r="E960" s="215"/>
      <c r="F960" s="215"/>
      <c r="G960" s="215"/>
      <c r="H960" s="160"/>
    </row>
    <row r="961" spans="1:8">
      <c r="A961" s="213"/>
      <c r="B961" s="214"/>
      <c r="C961" s="215"/>
      <c r="D961" s="215"/>
      <c r="E961" s="215"/>
      <c r="F961" s="215"/>
      <c r="G961" s="215"/>
      <c r="H961" s="160"/>
    </row>
    <row r="962" spans="1:8">
      <c r="A962" s="213"/>
      <c r="B962" s="214"/>
      <c r="C962" s="215"/>
      <c r="D962" s="215"/>
      <c r="E962" s="215"/>
      <c r="F962" s="215"/>
      <c r="G962" s="215"/>
      <c r="H962" s="160"/>
    </row>
    <row r="963" spans="1:8">
      <c r="A963" s="213"/>
      <c r="B963" s="214"/>
      <c r="C963" s="215"/>
      <c r="D963" s="215"/>
      <c r="E963" s="215"/>
      <c r="F963" s="215"/>
      <c r="G963" s="215"/>
      <c r="H963" s="160"/>
    </row>
    <row r="964" spans="1:8">
      <c r="A964" s="213"/>
      <c r="B964" s="214"/>
      <c r="C964" s="215"/>
      <c r="D964" s="215"/>
      <c r="E964" s="215"/>
      <c r="F964" s="215"/>
      <c r="G964" s="215"/>
      <c r="H964" s="160"/>
    </row>
    <row r="965" spans="1:8">
      <c r="A965" s="213"/>
      <c r="B965" s="214"/>
      <c r="C965" s="215"/>
      <c r="D965" s="215"/>
      <c r="E965" s="215"/>
      <c r="F965" s="215"/>
      <c r="G965" s="215"/>
      <c r="H965" s="160"/>
    </row>
    <row r="966" spans="1:8">
      <c r="A966" s="213"/>
      <c r="B966" s="214"/>
      <c r="C966" s="215"/>
      <c r="D966" s="215"/>
      <c r="E966" s="215"/>
      <c r="F966" s="215"/>
      <c r="G966" s="215"/>
      <c r="H966" s="160"/>
    </row>
    <row r="967" spans="1:8">
      <c r="A967" s="213"/>
      <c r="B967" s="214"/>
      <c r="C967" s="215"/>
      <c r="D967" s="215"/>
      <c r="E967" s="215"/>
      <c r="F967" s="215"/>
      <c r="G967" s="215"/>
      <c r="H967" s="160"/>
    </row>
    <row r="968" spans="1:8">
      <c r="A968" s="213"/>
      <c r="B968" s="214"/>
      <c r="C968" s="215"/>
      <c r="D968" s="215"/>
      <c r="E968" s="215"/>
      <c r="F968" s="215"/>
      <c r="G968" s="215"/>
      <c r="H968" s="160"/>
    </row>
    <row r="969" spans="1:8">
      <c r="A969" s="213"/>
      <c r="B969" s="214"/>
      <c r="C969" s="215"/>
      <c r="D969" s="215"/>
      <c r="E969" s="215"/>
      <c r="F969" s="215"/>
      <c r="G969" s="215"/>
      <c r="H969" s="160"/>
    </row>
    <row r="970" spans="1:8">
      <c r="A970" s="213"/>
      <c r="B970" s="214"/>
      <c r="C970" s="215"/>
      <c r="D970" s="215"/>
      <c r="E970" s="215"/>
      <c r="F970" s="215"/>
      <c r="G970" s="215"/>
      <c r="H970" s="160"/>
    </row>
    <row r="971" spans="1:8">
      <c r="A971" s="213"/>
      <c r="B971" s="214"/>
      <c r="C971" s="215"/>
      <c r="D971" s="215"/>
      <c r="E971" s="215"/>
      <c r="F971" s="215"/>
      <c r="G971" s="215"/>
      <c r="H971" s="160"/>
    </row>
    <row r="972" spans="1:8">
      <c r="A972" s="213"/>
      <c r="B972" s="214"/>
      <c r="C972" s="215"/>
      <c r="D972" s="215"/>
      <c r="E972" s="215"/>
      <c r="F972" s="215"/>
      <c r="G972" s="215"/>
      <c r="H972" s="160"/>
    </row>
    <row r="973" spans="1:8">
      <c r="A973" s="213"/>
      <c r="B973" s="214"/>
      <c r="C973" s="215"/>
      <c r="D973" s="215"/>
      <c r="E973" s="215"/>
      <c r="F973" s="215"/>
      <c r="G973" s="215"/>
      <c r="H973" s="160"/>
    </row>
    <row r="974" spans="1:8">
      <c r="A974" s="213"/>
      <c r="B974" s="214"/>
      <c r="C974" s="215"/>
      <c r="D974" s="215"/>
      <c r="E974" s="215"/>
      <c r="F974" s="215"/>
      <c r="G974" s="215"/>
      <c r="H974" s="160"/>
    </row>
    <row r="975" spans="1:8">
      <c r="A975" s="213"/>
      <c r="B975" s="214"/>
      <c r="C975" s="215"/>
      <c r="D975" s="215"/>
      <c r="E975" s="215"/>
      <c r="F975" s="215"/>
      <c r="G975" s="215"/>
      <c r="H975" s="160"/>
    </row>
    <row r="976" spans="1:8">
      <c r="A976" s="213"/>
      <c r="B976" s="214"/>
      <c r="C976" s="215"/>
      <c r="D976" s="215"/>
      <c r="E976" s="215"/>
      <c r="F976" s="215"/>
      <c r="G976" s="215"/>
      <c r="H976" s="160"/>
    </row>
    <row r="977" spans="1:8">
      <c r="A977" s="213"/>
      <c r="B977" s="214"/>
      <c r="C977" s="215"/>
      <c r="D977" s="215"/>
      <c r="E977" s="215"/>
      <c r="F977" s="215"/>
      <c r="G977" s="215"/>
      <c r="H977" s="160"/>
    </row>
    <row r="978" spans="1:8">
      <c r="A978" s="213"/>
      <c r="B978" s="214"/>
      <c r="C978" s="215"/>
      <c r="D978" s="215"/>
      <c r="E978" s="215"/>
      <c r="F978" s="215"/>
      <c r="G978" s="215"/>
      <c r="H978" s="160"/>
    </row>
    <row r="979" spans="1:8">
      <c r="A979" s="213"/>
      <c r="B979" s="214"/>
      <c r="C979" s="215"/>
      <c r="D979" s="215"/>
      <c r="E979" s="215"/>
      <c r="F979" s="215"/>
      <c r="G979" s="215"/>
      <c r="H979" s="160"/>
    </row>
    <row r="980" spans="1:8">
      <c r="A980" s="213"/>
      <c r="B980" s="214"/>
      <c r="C980" s="215"/>
      <c r="D980" s="215"/>
      <c r="E980" s="215"/>
      <c r="F980" s="215"/>
      <c r="G980" s="215"/>
      <c r="H980" s="160"/>
    </row>
    <row r="981" spans="1:8">
      <c r="A981" s="213"/>
      <c r="B981" s="214"/>
      <c r="C981" s="215"/>
      <c r="D981" s="215"/>
      <c r="E981" s="215"/>
      <c r="F981" s="215"/>
      <c r="G981" s="215"/>
      <c r="H981" s="160"/>
    </row>
    <row r="982" spans="1:8">
      <c r="A982" s="213"/>
      <c r="B982" s="214"/>
      <c r="C982" s="215"/>
      <c r="D982" s="215"/>
      <c r="E982" s="215"/>
      <c r="F982" s="215"/>
      <c r="G982" s="215"/>
      <c r="H982" s="160"/>
    </row>
    <row r="983" spans="1:8">
      <c r="A983" s="213"/>
      <c r="B983" s="214"/>
      <c r="C983" s="215"/>
      <c r="D983" s="215"/>
      <c r="E983" s="215"/>
      <c r="F983" s="215"/>
      <c r="G983" s="215"/>
      <c r="H983" s="160"/>
    </row>
    <row r="984" spans="1:8">
      <c r="A984" s="213"/>
      <c r="B984" s="214"/>
      <c r="C984" s="215"/>
      <c r="D984" s="215"/>
      <c r="E984" s="215"/>
      <c r="F984" s="215"/>
      <c r="G984" s="215"/>
      <c r="H984" s="160"/>
    </row>
    <row r="985" spans="1:8">
      <c r="A985" s="213"/>
      <c r="B985" s="214"/>
      <c r="C985" s="215"/>
      <c r="D985" s="215"/>
      <c r="E985" s="215"/>
      <c r="F985" s="215"/>
      <c r="G985" s="215"/>
      <c r="H985" s="160"/>
    </row>
    <row r="986" spans="1:8">
      <c r="A986" s="213"/>
      <c r="B986" s="214"/>
      <c r="C986" s="215"/>
      <c r="D986" s="215"/>
      <c r="E986" s="215"/>
      <c r="F986" s="215"/>
      <c r="G986" s="215"/>
      <c r="H986" s="160"/>
    </row>
    <row r="987" spans="1:8">
      <c r="A987" s="213"/>
      <c r="B987" s="214"/>
      <c r="C987" s="215"/>
      <c r="D987" s="215"/>
      <c r="E987" s="215"/>
      <c r="F987" s="215"/>
      <c r="G987" s="215"/>
      <c r="H987" s="160"/>
    </row>
    <row r="988" spans="1:8">
      <c r="A988" s="213"/>
      <c r="B988" s="214"/>
      <c r="C988" s="215"/>
      <c r="D988" s="215"/>
      <c r="E988" s="215"/>
      <c r="F988" s="215"/>
      <c r="G988" s="215"/>
      <c r="H988" s="160"/>
    </row>
    <row r="989" spans="1:8">
      <c r="A989" s="213"/>
      <c r="B989" s="214"/>
      <c r="C989" s="215"/>
      <c r="D989" s="215"/>
      <c r="E989" s="215"/>
      <c r="F989" s="215"/>
      <c r="G989" s="215"/>
      <c r="H989" s="160"/>
    </row>
    <row r="990" spans="1:8">
      <c r="A990" s="213"/>
      <c r="B990" s="214"/>
      <c r="C990" s="215"/>
      <c r="D990" s="215"/>
      <c r="E990" s="215"/>
      <c r="F990" s="215"/>
      <c r="G990" s="215"/>
      <c r="H990" s="160"/>
    </row>
    <row r="991" spans="1:8">
      <c r="A991" s="213"/>
      <c r="B991" s="214"/>
      <c r="C991" s="215"/>
      <c r="D991" s="215"/>
      <c r="E991" s="215"/>
      <c r="F991" s="215"/>
      <c r="G991" s="215"/>
      <c r="H991" s="160"/>
    </row>
    <row r="992" spans="1:8">
      <c r="A992" s="213"/>
      <c r="B992" s="214"/>
      <c r="C992" s="215"/>
      <c r="D992" s="215"/>
      <c r="E992" s="215"/>
      <c r="F992" s="215"/>
      <c r="G992" s="215"/>
      <c r="H992" s="160"/>
    </row>
    <row r="993" spans="1:8">
      <c r="A993" s="213"/>
      <c r="B993" s="214"/>
      <c r="C993" s="215"/>
      <c r="D993" s="215"/>
      <c r="E993" s="215"/>
      <c r="F993" s="215"/>
      <c r="G993" s="215"/>
      <c r="H993" s="160"/>
    </row>
    <row r="994" spans="1:8">
      <c r="A994" s="213"/>
      <c r="B994" s="214"/>
      <c r="C994" s="215"/>
      <c r="D994" s="215"/>
      <c r="E994" s="215"/>
      <c r="F994" s="215"/>
      <c r="G994" s="215"/>
      <c r="H994" s="160"/>
    </row>
    <row r="995" spans="1:8">
      <c r="A995" s="213"/>
      <c r="B995" s="214"/>
      <c r="C995" s="215"/>
      <c r="D995" s="215"/>
      <c r="E995" s="215"/>
      <c r="F995" s="215"/>
      <c r="G995" s="215"/>
      <c r="H995" s="160"/>
    </row>
    <row r="996" spans="1:8">
      <c r="A996" s="213"/>
      <c r="B996" s="214"/>
      <c r="C996" s="215"/>
      <c r="D996" s="215"/>
      <c r="E996" s="215"/>
      <c r="F996" s="215"/>
      <c r="G996" s="215"/>
      <c r="H996" s="160"/>
    </row>
    <row r="997" spans="1:8">
      <c r="A997" s="213"/>
      <c r="B997" s="214"/>
      <c r="C997" s="215"/>
      <c r="D997" s="215"/>
      <c r="E997" s="215"/>
      <c r="F997" s="215"/>
      <c r="G997" s="215"/>
      <c r="H997" s="160"/>
    </row>
    <row r="998" spans="1:8">
      <c r="A998" s="213"/>
      <c r="B998" s="214"/>
      <c r="C998" s="215"/>
      <c r="D998" s="215"/>
      <c r="E998" s="215"/>
      <c r="F998" s="215"/>
      <c r="G998" s="215"/>
      <c r="H998" s="160"/>
    </row>
    <row r="999" spans="1:8">
      <c r="A999" s="213"/>
      <c r="B999" s="214"/>
      <c r="C999" s="215"/>
      <c r="D999" s="215"/>
      <c r="E999" s="215"/>
      <c r="F999" s="215"/>
      <c r="G999" s="215"/>
      <c r="H999" s="160"/>
    </row>
  </sheetData>
  <mergeCells count="2">
    <mergeCell ref="A2:A3"/>
    <mergeCell ref="B2: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997"/>
  <sheetViews>
    <sheetView tabSelected="1" workbookViewId="0">
      <pane xSplit="3" ySplit="3" topLeftCell="D95" activePane="bottomRight" state="frozen"/>
      <selection pane="topRight" activeCell="D1" sqref="D1"/>
      <selection pane="bottomLeft" activeCell="A4" sqref="A4"/>
      <selection pane="bottomRight" activeCell="D112" sqref="D112"/>
    </sheetView>
  </sheetViews>
  <sheetFormatPr defaultColWidth="12.6640625" defaultRowHeight="15.75" customHeight="1"/>
  <cols>
    <col min="1" max="1" width="5.33203125" style="323" customWidth="1"/>
    <col min="2" max="2" width="16.6640625" style="323" customWidth="1"/>
    <col min="10" max="10" width="34" style="323" customWidth="1"/>
    <col min="11" max="11" width="20" style="323" customWidth="1"/>
  </cols>
  <sheetData>
    <row r="1" spans="1:35" ht="14.4" customHeight="1">
      <c r="A1" s="279"/>
      <c r="B1" s="185"/>
      <c r="C1" s="279"/>
      <c r="D1" s="6"/>
      <c r="E1" s="185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ht="14.4" customHeight="1">
      <c r="A2" s="365" t="s">
        <v>0</v>
      </c>
      <c r="B2" s="366" t="s">
        <v>7</v>
      </c>
      <c r="C2" s="364" t="s">
        <v>8</v>
      </c>
      <c r="D2" s="11" t="s">
        <v>9</v>
      </c>
      <c r="E2" s="19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27"/>
      <c r="AI2" s="7"/>
    </row>
    <row r="3" spans="1:35" ht="14.4" customHeight="1">
      <c r="A3" s="362"/>
      <c r="B3" s="362"/>
      <c r="C3" s="362"/>
      <c r="D3" s="30">
        <v>46204</v>
      </c>
      <c r="E3" s="30">
        <v>46205</v>
      </c>
      <c r="F3" s="30">
        <v>46206</v>
      </c>
      <c r="G3" s="30">
        <v>46207</v>
      </c>
      <c r="H3" s="30">
        <v>46208</v>
      </c>
      <c r="I3" s="30">
        <v>46209</v>
      </c>
      <c r="J3" s="30">
        <v>46210</v>
      </c>
      <c r="K3" s="30">
        <v>46211</v>
      </c>
      <c r="L3" s="30">
        <v>46212</v>
      </c>
      <c r="M3" s="30">
        <v>46213</v>
      </c>
      <c r="N3" s="30">
        <v>46214</v>
      </c>
      <c r="O3" s="30">
        <v>46215</v>
      </c>
      <c r="P3" s="30">
        <v>46216</v>
      </c>
      <c r="Q3" s="30">
        <v>46217</v>
      </c>
      <c r="R3" s="30">
        <v>46218</v>
      </c>
      <c r="S3" s="30">
        <v>46219</v>
      </c>
      <c r="T3" s="30">
        <v>46220</v>
      </c>
      <c r="U3" s="30">
        <v>46221</v>
      </c>
      <c r="V3" s="30">
        <v>46222</v>
      </c>
      <c r="W3" s="30">
        <v>46223</v>
      </c>
      <c r="X3" s="30">
        <v>46224</v>
      </c>
      <c r="Y3" s="30">
        <v>46225</v>
      </c>
      <c r="Z3" s="30">
        <v>46226</v>
      </c>
      <c r="AA3" s="30">
        <v>46227</v>
      </c>
      <c r="AB3" s="30">
        <v>46228</v>
      </c>
      <c r="AC3" s="30">
        <v>46229</v>
      </c>
      <c r="AD3" s="30">
        <v>46230</v>
      </c>
      <c r="AE3" s="30">
        <v>46231</v>
      </c>
      <c r="AF3" s="30">
        <v>46232</v>
      </c>
      <c r="AG3" s="30">
        <v>46233</v>
      </c>
      <c r="AH3" s="30">
        <v>46234</v>
      </c>
      <c r="AI3" s="7"/>
    </row>
    <row r="4" spans="1:35" ht="14.4" customHeight="1">
      <c r="A4" s="281">
        <v>1</v>
      </c>
      <c r="B4" s="191" t="s">
        <v>127</v>
      </c>
      <c r="C4" s="191">
        <v>7923</v>
      </c>
      <c r="D4" s="192">
        <v>5511690</v>
      </c>
      <c r="E4" s="206">
        <v>5613204</v>
      </c>
      <c r="F4" s="192">
        <v>7336395</v>
      </c>
      <c r="G4" s="193">
        <v>14795410</v>
      </c>
      <c r="H4" s="194">
        <v>1618843</v>
      </c>
      <c r="I4" s="195">
        <v>5384264</v>
      </c>
      <c r="J4" s="193">
        <v>12930578</v>
      </c>
      <c r="K4" s="193">
        <v>10244363</v>
      </c>
      <c r="L4" s="192">
        <v>2484540</v>
      </c>
      <c r="M4" s="193">
        <v>15731276</v>
      </c>
      <c r="N4" s="192">
        <v>9025924</v>
      </c>
      <c r="O4" s="192">
        <v>14703345</v>
      </c>
      <c r="P4" s="193">
        <v>14703345</v>
      </c>
      <c r="Q4" s="193">
        <v>14191580</v>
      </c>
      <c r="R4" s="192">
        <v>4156160</v>
      </c>
      <c r="S4" s="193">
        <v>12802073</v>
      </c>
      <c r="T4" s="196">
        <v>14191580</v>
      </c>
      <c r="U4" s="192">
        <v>14191580</v>
      </c>
      <c r="V4" s="193">
        <v>14191580</v>
      </c>
      <c r="W4" s="193">
        <v>11499414</v>
      </c>
      <c r="X4" s="197">
        <v>14191580</v>
      </c>
      <c r="Y4" s="197">
        <v>14191580</v>
      </c>
      <c r="Z4" s="193">
        <v>16185085</v>
      </c>
      <c r="AA4" s="198">
        <v>16185085</v>
      </c>
      <c r="AB4" s="199">
        <v>16185085</v>
      </c>
      <c r="AC4" s="198">
        <v>11499414</v>
      </c>
      <c r="AD4" s="198">
        <v>16185085</v>
      </c>
      <c r="AE4" s="201"/>
      <c r="AF4" s="198">
        <v>2024595</v>
      </c>
      <c r="AG4" s="199">
        <v>16185085</v>
      </c>
      <c r="AH4" s="198">
        <v>4766134</v>
      </c>
      <c r="AI4" s="42"/>
    </row>
    <row r="5" spans="1:35" ht="14.4" customHeight="1">
      <c r="A5" s="281">
        <v>2</v>
      </c>
      <c r="B5" s="200"/>
      <c r="C5" s="259"/>
      <c r="D5" s="193">
        <v>5746165</v>
      </c>
      <c r="E5" s="206">
        <v>7990992</v>
      </c>
      <c r="F5" s="193">
        <v>7990992</v>
      </c>
      <c r="G5" s="193">
        <v>2733757</v>
      </c>
      <c r="H5" s="193">
        <v>12210187</v>
      </c>
      <c r="I5" s="193">
        <v>7776006</v>
      </c>
      <c r="J5" s="193">
        <v>9025924</v>
      </c>
      <c r="K5" s="193">
        <v>13921873</v>
      </c>
      <c r="L5" s="193">
        <v>10244363</v>
      </c>
      <c r="M5" s="193">
        <v>11504087</v>
      </c>
      <c r="N5" s="193">
        <v>4661418</v>
      </c>
      <c r="O5" s="201">
        <v>2098560</v>
      </c>
      <c r="P5" s="193">
        <v>9914329</v>
      </c>
      <c r="Q5" s="193">
        <v>9025924</v>
      </c>
      <c r="R5" s="193">
        <v>4364019</v>
      </c>
      <c r="S5" s="193">
        <v>14603420</v>
      </c>
      <c r="T5" s="193">
        <v>9025924</v>
      </c>
      <c r="U5" s="193">
        <v>14603420</v>
      </c>
      <c r="V5" s="193">
        <v>9025924</v>
      </c>
      <c r="W5" s="193"/>
      <c r="X5" s="193">
        <v>9025924</v>
      </c>
      <c r="Y5" s="193">
        <v>9025924</v>
      </c>
      <c r="Z5" s="198">
        <v>3750387</v>
      </c>
      <c r="AA5" s="198">
        <v>9025924</v>
      </c>
      <c r="AB5" s="199">
        <v>11499414</v>
      </c>
      <c r="AC5" s="199">
        <v>9025924</v>
      </c>
      <c r="AD5" s="198">
        <v>2062871</v>
      </c>
      <c r="AE5" s="198"/>
      <c r="AF5" s="198">
        <v>4049190</v>
      </c>
      <c r="AG5" s="199">
        <v>1130397</v>
      </c>
      <c r="AH5" s="198">
        <v>250468</v>
      </c>
      <c r="AI5" s="42"/>
    </row>
    <row r="6" spans="1:35" ht="14.4" customHeight="1">
      <c r="A6" s="281">
        <v>3</v>
      </c>
      <c r="B6" s="200"/>
      <c r="C6" s="259"/>
      <c r="D6" s="193">
        <v>14216873</v>
      </c>
      <c r="E6" s="206">
        <v>17764992</v>
      </c>
      <c r="F6" s="193"/>
      <c r="G6" s="193">
        <v>12027381</v>
      </c>
      <c r="H6" s="193">
        <v>974840</v>
      </c>
      <c r="I6" s="193">
        <v>12262824</v>
      </c>
      <c r="J6" s="193">
        <v>5978921</v>
      </c>
      <c r="K6" s="193"/>
      <c r="L6" s="193">
        <v>9025924</v>
      </c>
      <c r="M6" s="193"/>
      <c r="N6" s="193">
        <v>10338551</v>
      </c>
      <c r="O6" s="193">
        <v>9914329</v>
      </c>
      <c r="P6" s="193"/>
      <c r="Q6" s="193">
        <v>11073477</v>
      </c>
      <c r="R6" s="193"/>
      <c r="S6" s="193">
        <v>1589213</v>
      </c>
      <c r="T6" s="193"/>
      <c r="U6" s="193"/>
      <c r="V6" s="193">
        <v>11499414</v>
      </c>
      <c r="W6" s="193"/>
      <c r="X6" s="193">
        <v>4329897</v>
      </c>
      <c r="Y6" s="201">
        <v>11499414</v>
      </c>
      <c r="Z6" s="201"/>
      <c r="AA6" s="198">
        <v>11499414</v>
      </c>
      <c r="AB6" s="201">
        <v>1860783</v>
      </c>
      <c r="AC6" s="203"/>
      <c r="AD6" s="203">
        <v>638116</v>
      </c>
      <c r="AE6" s="198"/>
      <c r="AF6" s="201">
        <v>8098380</v>
      </c>
      <c r="AG6" s="201">
        <v>2260795</v>
      </c>
      <c r="AH6" s="201">
        <v>1753281</v>
      </c>
      <c r="AI6" s="42"/>
    </row>
    <row r="7" spans="1:35" ht="14.4" customHeight="1">
      <c r="A7" s="281">
        <v>4</v>
      </c>
      <c r="B7" s="200"/>
      <c r="C7" s="259"/>
      <c r="D7" s="193">
        <v>12380291</v>
      </c>
      <c r="E7" s="206">
        <v>8888615</v>
      </c>
      <c r="F7" s="193"/>
      <c r="G7" s="193"/>
      <c r="H7" s="193">
        <v>1949680</v>
      </c>
      <c r="I7" s="193">
        <v>9025924</v>
      </c>
      <c r="J7" s="193">
        <v>7776006</v>
      </c>
      <c r="K7" s="193"/>
      <c r="L7" s="193">
        <v>15731276</v>
      </c>
      <c r="M7" s="193"/>
      <c r="N7" s="193"/>
      <c r="O7" s="203"/>
      <c r="P7" s="193"/>
      <c r="Q7" s="193"/>
      <c r="R7" s="193"/>
      <c r="S7" s="193"/>
      <c r="T7" s="193"/>
      <c r="U7" s="193"/>
      <c r="V7" s="193">
        <v>3992240</v>
      </c>
      <c r="W7" s="193"/>
      <c r="X7" s="193">
        <v>11499414</v>
      </c>
      <c r="Y7" s="201"/>
      <c r="Z7" s="201"/>
      <c r="AA7" s="201">
        <v>1867786</v>
      </c>
      <c r="AB7" s="198"/>
      <c r="AC7" s="201"/>
      <c r="AD7" s="203"/>
      <c r="AE7" s="199"/>
      <c r="AF7" s="201">
        <v>2024596</v>
      </c>
      <c r="AG7" s="204">
        <v>11499414</v>
      </c>
      <c r="AH7" s="201">
        <v>16241259</v>
      </c>
      <c r="AI7" s="42"/>
    </row>
    <row r="8" spans="1:35" ht="14.4" customHeight="1">
      <c r="A8" s="281">
        <v>5</v>
      </c>
      <c r="B8" s="200"/>
      <c r="C8" s="259"/>
      <c r="D8" s="193">
        <v>9347458</v>
      </c>
      <c r="E8" s="206"/>
      <c r="F8" s="193"/>
      <c r="G8" s="193"/>
      <c r="H8" s="193">
        <v>4255695</v>
      </c>
      <c r="I8" s="193"/>
      <c r="J8" s="193"/>
      <c r="K8" s="193"/>
      <c r="L8" s="193"/>
      <c r="M8" s="193"/>
      <c r="N8" s="193"/>
      <c r="O8" s="203"/>
      <c r="P8" s="193"/>
      <c r="Q8" s="193"/>
      <c r="R8" s="193"/>
      <c r="S8" s="193"/>
      <c r="T8" s="193"/>
      <c r="U8" s="193"/>
      <c r="V8" s="193"/>
      <c r="W8" s="193"/>
      <c r="X8" s="193"/>
      <c r="Y8" s="201"/>
      <c r="Z8" s="201"/>
      <c r="AA8" s="201"/>
      <c r="AB8" s="198"/>
      <c r="AC8" s="201"/>
      <c r="AD8" s="203"/>
      <c r="AE8" s="199"/>
      <c r="AF8" s="201">
        <v>1162438</v>
      </c>
      <c r="AG8" s="204">
        <v>5310315</v>
      </c>
      <c r="AH8" s="201">
        <v>6120332</v>
      </c>
      <c r="AI8" s="42"/>
    </row>
    <row r="9" spans="1:35" ht="14.4" customHeight="1">
      <c r="A9" s="281">
        <v>6</v>
      </c>
      <c r="B9" s="200"/>
      <c r="C9" s="259"/>
      <c r="D9" s="193">
        <v>6652074</v>
      </c>
      <c r="E9" s="206"/>
      <c r="F9" s="193"/>
      <c r="G9" s="193"/>
      <c r="H9" s="193"/>
      <c r="I9" s="193"/>
      <c r="J9" s="193"/>
      <c r="K9" s="193"/>
      <c r="L9" s="193"/>
      <c r="M9" s="193"/>
      <c r="N9" s="193"/>
      <c r="O9" s="203"/>
      <c r="P9" s="193"/>
      <c r="Q9" s="193"/>
      <c r="R9" s="193"/>
      <c r="S9" s="193"/>
      <c r="T9" s="193"/>
      <c r="U9" s="193"/>
      <c r="V9" s="193"/>
      <c r="W9" s="193"/>
      <c r="X9" s="193"/>
      <c r="Y9" s="201"/>
      <c r="Z9" s="201"/>
      <c r="AA9" s="201"/>
      <c r="AB9" s="198"/>
      <c r="AC9" s="201"/>
      <c r="AD9" s="203"/>
      <c r="AE9" s="199"/>
      <c r="AF9" s="201">
        <v>2324876</v>
      </c>
      <c r="AG9" s="204">
        <v>663924</v>
      </c>
      <c r="AH9" s="201"/>
      <c r="AI9" s="42"/>
    </row>
    <row r="10" spans="1:35" ht="14.4" customHeight="1">
      <c r="A10" s="281">
        <v>7</v>
      </c>
      <c r="B10" s="200"/>
      <c r="C10" s="259"/>
      <c r="D10" s="193">
        <v>15224</v>
      </c>
      <c r="E10" s="206"/>
      <c r="F10" s="193"/>
      <c r="G10" s="193"/>
      <c r="H10" s="193"/>
      <c r="I10" s="193"/>
      <c r="J10" s="193"/>
      <c r="K10" s="193"/>
      <c r="L10" s="193"/>
      <c r="M10" s="193"/>
      <c r="N10" s="193"/>
      <c r="O10" s="203"/>
      <c r="P10" s="193"/>
      <c r="Q10" s="193"/>
      <c r="R10" s="193"/>
      <c r="S10" s="193"/>
      <c r="T10" s="193"/>
      <c r="U10" s="193"/>
      <c r="V10" s="193"/>
      <c r="W10" s="193"/>
      <c r="X10" s="193"/>
      <c r="Y10" s="201"/>
      <c r="Z10" s="201"/>
      <c r="AA10" s="201"/>
      <c r="AB10" s="198"/>
      <c r="AC10" s="201"/>
      <c r="AD10" s="203"/>
      <c r="AE10" s="199"/>
      <c r="AF10" s="201">
        <v>4649753</v>
      </c>
      <c r="AG10" s="204">
        <v>4403337</v>
      </c>
      <c r="AH10" s="201"/>
      <c r="AI10" s="42"/>
    </row>
    <row r="11" spans="1:35" ht="14.4" customHeight="1">
      <c r="A11" s="281">
        <v>8</v>
      </c>
      <c r="B11" s="200"/>
      <c r="C11" s="259"/>
      <c r="D11" s="193"/>
      <c r="E11" s="206"/>
      <c r="F11" s="193"/>
      <c r="G11" s="193"/>
      <c r="H11" s="193"/>
      <c r="I11" s="193"/>
      <c r="J11" s="193"/>
      <c r="K11" s="193"/>
      <c r="L11" s="193"/>
      <c r="M11" s="193"/>
      <c r="N11" s="193"/>
      <c r="O11" s="203"/>
      <c r="P11" s="193"/>
      <c r="Q11" s="193"/>
      <c r="R11" s="193"/>
      <c r="S11" s="193"/>
      <c r="T11" s="193"/>
      <c r="U11" s="193"/>
      <c r="V11" s="193"/>
      <c r="W11" s="193"/>
      <c r="X11" s="193"/>
      <c r="Y11" s="201"/>
      <c r="Z11" s="201"/>
      <c r="AA11" s="201"/>
      <c r="AB11" s="198"/>
      <c r="AC11" s="201"/>
      <c r="AD11" s="203"/>
      <c r="AE11" s="199"/>
      <c r="AF11" s="201">
        <v>1162444</v>
      </c>
      <c r="AG11" s="204"/>
      <c r="AH11" s="201"/>
      <c r="AI11" s="42"/>
    </row>
    <row r="12" spans="1:35" ht="14.4" customHeight="1">
      <c r="A12" s="281">
        <v>9</v>
      </c>
      <c r="B12" s="200"/>
      <c r="C12" s="259"/>
      <c r="D12" s="193"/>
      <c r="E12" s="206"/>
      <c r="F12" s="193"/>
      <c r="G12" s="193"/>
      <c r="H12" s="193"/>
      <c r="I12" s="193"/>
      <c r="J12" s="193"/>
      <c r="K12" s="193"/>
      <c r="L12" s="193"/>
      <c r="M12" s="193"/>
      <c r="N12" s="193"/>
      <c r="O12" s="203"/>
      <c r="P12" s="193"/>
      <c r="Q12" s="193"/>
      <c r="R12" s="193"/>
      <c r="S12" s="193"/>
      <c r="T12" s="193"/>
      <c r="U12" s="193"/>
      <c r="V12" s="193"/>
      <c r="W12" s="193"/>
      <c r="X12" s="193"/>
      <c r="Y12" s="201"/>
      <c r="Z12" s="201"/>
      <c r="AA12" s="201"/>
      <c r="AB12" s="198"/>
      <c r="AC12" s="201"/>
      <c r="AD12" s="203"/>
      <c r="AE12" s="199"/>
      <c r="AF12" s="201">
        <v>1517286</v>
      </c>
      <c r="AG12" s="204"/>
      <c r="AH12" s="201"/>
      <c r="AI12" s="42"/>
    </row>
    <row r="13" spans="1:35" ht="14.4" customHeight="1">
      <c r="A13" s="281">
        <v>10</v>
      </c>
      <c r="B13" s="200"/>
      <c r="C13" s="259"/>
      <c r="D13" s="193"/>
      <c r="E13" s="206"/>
      <c r="F13" s="193"/>
      <c r="G13" s="193"/>
      <c r="H13" s="193"/>
      <c r="I13" s="193"/>
      <c r="J13" s="193"/>
      <c r="K13" s="193"/>
      <c r="L13" s="193"/>
      <c r="M13" s="193"/>
      <c r="N13" s="193"/>
      <c r="O13" s="203"/>
      <c r="P13" s="193"/>
      <c r="Q13" s="193"/>
      <c r="R13" s="193"/>
      <c r="S13" s="193"/>
      <c r="T13" s="193"/>
      <c r="U13" s="193"/>
      <c r="V13" s="193"/>
      <c r="W13" s="193"/>
      <c r="X13" s="193"/>
      <c r="Y13" s="201"/>
      <c r="Z13" s="201"/>
      <c r="AA13" s="201"/>
      <c r="AB13" s="198"/>
      <c r="AC13" s="201"/>
      <c r="AD13" s="203"/>
      <c r="AE13" s="199"/>
      <c r="AF13" s="201">
        <v>3034572</v>
      </c>
      <c r="AG13" s="204"/>
      <c r="AH13" s="201"/>
      <c r="AI13" s="42"/>
    </row>
    <row r="14" spans="1:35" ht="14.4" customHeight="1">
      <c r="A14" s="281">
        <v>11</v>
      </c>
      <c r="B14" s="200"/>
      <c r="C14" s="259"/>
      <c r="D14" s="193"/>
      <c r="E14" s="206"/>
      <c r="F14" s="193"/>
      <c r="G14" s="193"/>
      <c r="H14" s="193"/>
      <c r="I14" s="193"/>
      <c r="J14" s="193"/>
      <c r="K14" s="193"/>
      <c r="L14" s="193"/>
      <c r="M14" s="193"/>
      <c r="N14" s="193"/>
      <c r="O14" s="203"/>
      <c r="P14" s="193"/>
      <c r="Q14" s="193"/>
      <c r="R14" s="193"/>
      <c r="S14" s="193"/>
      <c r="T14" s="193"/>
      <c r="U14" s="193"/>
      <c r="V14" s="193"/>
      <c r="W14" s="193"/>
      <c r="X14" s="193"/>
      <c r="Y14" s="201"/>
      <c r="Z14" s="201"/>
      <c r="AA14" s="201"/>
      <c r="AB14" s="198"/>
      <c r="AC14" s="201"/>
      <c r="AD14" s="203"/>
      <c r="AE14" s="199"/>
      <c r="AF14" s="201">
        <v>6069144</v>
      </c>
      <c r="AG14" s="204"/>
      <c r="AH14" s="201"/>
      <c r="AI14" s="42"/>
    </row>
    <row r="15" spans="1:35" ht="14.4" customHeight="1">
      <c r="A15" s="281">
        <v>12</v>
      </c>
      <c r="B15" s="200"/>
      <c r="C15" s="259"/>
      <c r="D15" s="193"/>
      <c r="E15" s="206"/>
      <c r="F15" s="193"/>
      <c r="G15" s="193"/>
      <c r="H15" s="193"/>
      <c r="I15" s="193"/>
      <c r="J15" s="193"/>
      <c r="K15" s="193"/>
      <c r="L15" s="193"/>
      <c r="M15" s="193"/>
      <c r="N15" s="193"/>
      <c r="O15" s="203"/>
      <c r="P15" s="193"/>
      <c r="Q15" s="193"/>
      <c r="R15" s="193"/>
      <c r="S15" s="193"/>
      <c r="T15" s="193"/>
      <c r="U15" s="193"/>
      <c r="V15" s="193"/>
      <c r="W15" s="193"/>
      <c r="X15" s="193"/>
      <c r="Y15" s="201"/>
      <c r="Z15" s="201"/>
      <c r="AA15" s="201"/>
      <c r="AB15" s="198"/>
      <c r="AC15" s="201"/>
      <c r="AD15" s="203"/>
      <c r="AE15" s="199"/>
      <c r="AF15" s="201">
        <v>1517291</v>
      </c>
      <c r="AG15" s="204"/>
      <c r="AH15" s="201"/>
      <c r="AI15" s="42"/>
    </row>
    <row r="16" spans="1:35" ht="14.4" customHeight="1">
      <c r="A16" s="281">
        <v>13</v>
      </c>
      <c r="B16" s="200"/>
      <c r="C16" s="259"/>
      <c r="D16" s="193"/>
      <c r="E16" s="206"/>
      <c r="F16" s="193"/>
      <c r="G16" s="193"/>
      <c r="H16" s="193"/>
      <c r="I16" s="193"/>
      <c r="J16" s="193"/>
      <c r="K16" s="193"/>
      <c r="L16" s="193"/>
      <c r="M16" s="193"/>
      <c r="N16" s="193"/>
      <c r="O16" s="203"/>
      <c r="P16" s="193"/>
      <c r="Q16" s="193"/>
      <c r="R16" s="193"/>
      <c r="S16" s="193"/>
      <c r="T16" s="193"/>
      <c r="U16" s="193"/>
      <c r="V16" s="193"/>
      <c r="W16" s="193"/>
      <c r="X16" s="193"/>
      <c r="Y16" s="201"/>
      <c r="Z16" s="201"/>
      <c r="AA16" s="201"/>
      <c r="AB16" s="198"/>
      <c r="AC16" s="201"/>
      <c r="AD16" s="203"/>
      <c r="AE16" s="199"/>
      <c r="AF16" s="201"/>
      <c r="AG16" s="204"/>
      <c r="AH16" s="201"/>
      <c r="AI16" s="42"/>
    </row>
    <row r="17" spans="1:35" ht="14.4" customHeight="1">
      <c r="A17" s="46" t="s">
        <v>10</v>
      </c>
      <c r="B17" s="216"/>
      <c r="C17" s="47">
        <f>+D17+E17+F17+G17+H17+I17+J17+K17+L17+M17+N17+O17++P17+Q17+R17+S17+T17+U17+V17+W17+X17+Y17+Z17+AA17+AB17+AC17+AD17+AE17+AF17+AG17+AH17</f>
        <v>798099147.27272689</v>
      </c>
      <c r="D17" s="47">
        <f t="shared" ref="D17:AH17" si="0">SUM(D4:D16) /1.1</f>
        <v>48972522.727272727</v>
      </c>
      <c r="E17" s="216">
        <f t="shared" si="0"/>
        <v>36598002.727272727</v>
      </c>
      <c r="F17" s="47">
        <f t="shared" si="0"/>
        <v>13933988.18181818</v>
      </c>
      <c r="G17" s="47">
        <f t="shared" si="0"/>
        <v>26869589.09090909</v>
      </c>
      <c r="H17" s="47">
        <f t="shared" si="0"/>
        <v>19099313.636363633</v>
      </c>
      <c r="I17" s="47">
        <f t="shared" si="0"/>
        <v>31317289.09090909</v>
      </c>
      <c r="J17" s="47">
        <f t="shared" si="0"/>
        <v>32464935.454545453</v>
      </c>
      <c r="K17" s="47">
        <f t="shared" si="0"/>
        <v>21969305.454545453</v>
      </c>
      <c r="L17" s="47">
        <f t="shared" si="0"/>
        <v>34078275.454545453</v>
      </c>
      <c r="M17" s="47">
        <f t="shared" si="0"/>
        <v>24759420.909090906</v>
      </c>
      <c r="N17" s="47">
        <f t="shared" si="0"/>
        <v>21841720.909090906</v>
      </c>
      <c r="O17" s="47">
        <f t="shared" si="0"/>
        <v>24287485.454545453</v>
      </c>
      <c r="P17" s="47">
        <f t="shared" si="0"/>
        <v>22379703.636363633</v>
      </c>
      <c r="Q17" s="47">
        <f t="shared" si="0"/>
        <v>31173619.09090909</v>
      </c>
      <c r="R17" s="47">
        <f t="shared" si="0"/>
        <v>7745617.2727272725</v>
      </c>
      <c r="S17" s="47">
        <f t="shared" si="0"/>
        <v>26358823.636363633</v>
      </c>
      <c r="T17" s="47">
        <f t="shared" si="0"/>
        <v>21106821.818181816</v>
      </c>
      <c r="U17" s="47">
        <f t="shared" si="0"/>
        <v>26177272.727272727</v>
      </c>
      <c r="V17" s="47">
        <f t="shared" si="0"/>
        <v>35190143.636363633</v>
      </c>
      <c r="W17" s="47">
        <f t="shared" si="0"/>
        <v>10454012.727272727</v>
      </c>
      <c r="X17" s="47">
        <f t="shared" si="0"/>
        <v>35497104.545454539</v>
      </c>
      <c r="Y17" s="47">
        <f t="shared" si="0"/>
        <v>31560834.545454543</v>
      </c>
      <c r="Z17" s="47">
        <f t="shared" si="0"/>
        <v>18123156.363636363</v>
      </c>
      <c r="AA17" s="47">
        <f t="shared" si="0"/>
        <v>35071099.090909086</v>
      </c>
      <c r="AB17" s="47">
        <f t="shared" si="0"/>
        <v>26859347.27272727</v>
      </c>
      <c r="AC17" s="47">
        <f t="shared" si="0"/>
        <v>18659398.18181818</v>
      </c>
      <c r="AD17" s="47">
        <f t="shared" si="0"/>
        <v>17169156.363636363</v>
      </c>
      <c r="AE17" s="47">
        <f t="shared" si="0"/>
        <v>0</v>
      </c>
      <c r="AF17" s="47">
        <f t="shared" si="0"/>
        <v>34213240.909090906</v>
      </c>
      <c r="AG17" s="47">
        <f t="shared" si="0"/>
        <v>37684788.18181818</v>
      </c>
      <c r="AH17" s="47">
        <f t="shared" si="0"/>
        <v>26483158.18181818</v>
      </c>
      <c r="AI17" s="42"/>
    </row>
    <row r="18" spans="1:35" ht="24.75" customHeight="1">
      <c r="A18" s="217" t="s">
        <v>11</v>
      </c>
      <c r="B18" s="185"/>
      <c r="C18" s="279"/>
      <c r="D18" s="6"/>
      <c r="E18" s="185"/>
      <c r="F18" s="279"/>
      <c r="G18" s="279"/>
      <c r="H18" s="279"/>
      <c r="I18" s="279"/>
      <c r="J18" s="279"/>
      <c r="K18" s="279"/>
      <c r="L18" s="279"/>
      <c r="M18" s="279"/>
      <c r="N18" s="279"/>
      <c r="O18" s="279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ht="24.75" customHeight="1">
      <c r="A19" s="218" t="s">
        <v>12</v>
      </c>
      <c r="B19" s="185"/>
      <c r="C19" s="279"/>
      <c r="D19" s="70">
        <f t="shared" ref="D19:AH19" si="1">D17-D18</f>
        <v>48972522.727272727</v>
      </c>
      <c r="E19" s="219">
        <f t="shared" si="1"/>
        <v>36598002.727272727</v>
      </c>
      <c r="F19" s="70">
        <f t="shared" si="1"/>
        <v>13933988.18181818</v>
      </c>
      <c r="G19" s="70">
        <f t="shared" si="1"/>
        <v>26869589.09090909</v>
      </c>
      <c r="H19" s="70">
        <f t="shared" si="1"/>
        <v>19099313.636363633</v>
      </c>
      <c r="I19" s="70">
        <f t="shared" si="1"/>
        <v>31317289.09090909</v>
      </c>
      <c r="J19" s="70">
        <f t="shared" si="1"/>
        <v>32464935.454545453</v>
      </c>
      <c r="K19" s="70">
        <f t="shared" si="1"/>
        <v>21969305.454545453</v>
      </c>
      <c r="L19" s="70">
        <f t="shared" si="1"/>
        <v>34078275.454545453</v>
      </c>
      <c r="M19" s="70">
        <f t="shared" si="1"/>
        <v>24759420.909090906</v>
      </c>
      <c r="N19" s="70">
        <f t="shared" si="1"/>
        <v>21841720.909090906</v>
      </c>
      <c r="O19" s="70">
        <f t="shared" si="1"/>
        <v>24287485.454545453</v>
      </c>
      <c r="P19" s="70">
        <f t="shared" si="1"/>
        <v>22379703.636363633</v>
      </c>
      <c r="Q19" s="70">
        <f t="shared" si="1"/>
        <v>31173619.09090909</v>
      </c>
      <c r="R19" s="70">
        <f t="shared" si="1"/>
        <v>7745617.2727272725</v>
      </c>
      <c r="S19" s="70">
        <f t="shared" si="1"/>
        <v>26358823.636363633</v>
      </c>
      <c r="T19" s="70">
        <f t="shared" si="1"/>
        <v>21106821.818181816</v>
      </c>
      <c r="U19" s="70">
        <f t="shared" si="1"/>
        <v>26177272.727272727</v>
      </c>
      <c r="V19" s="70">
        <f t="shared" si="1"/>
        <v>35190143.636363633</v>
      </c>
      <c r="W19" s="70">
        <f t="shared" si="1"/>
        <v>10454012.727272727</v>
      </c>
      <c r="X19" s="70">
        <f t="shared" si="1"/>
        <v>35497104.545454539</v>
      </c>
      <c r="Y19" s="70">
        <f t="shared" si="1"/>
        <v>31560834.545454543</v>
      </c>
      <c r="Z19" s="70">
        <f t="shared" si="1"/>
        <v>18123156.363636363</v>
      </c>
      <c r="AA19" s="70">
        <f t="shared" si="1"/>
        <v>35071099.090909086</v>
      </c>
      <c r="AB19" s="70">
        <f t="shared" si="1"/>
        <v>26859347.27272727</v>
      </c>
      <c r="AC19" s="70">
        <f t="shared" si="1"/>
        <v>18659398.18181818</v>
      </c>
      <c r="AD19" s="70">
        <f t="shared" si="1"/>
        <v>17169156.363636363</v>
      </c>
      <c r="AE19" s="70">
        <f t="shared" si="1"/>
        <v>0</v>
      </c>
      <c r="AF19" s="70">
        <f t="shared" si="1"/>
        <v>34213240.909090906</v>
      </c>
      <c r="AG19" s="70">
        <f t="shared" si="1"/>
        <v>37684788.18181818</v>
      </c>
      <c r="AH19" s="70">
        <f t="shared" si="1"/>
        <v>26483158.18181818</v>
      </c>
      <c r="AI19" s="7"/>
    </row>
    <row r="20" spans="1:35" ht="13.2" customHeight="1">
      <c r="B20" s="160"/>
      <c r="E20" s="160"/>
    </row>
    <row r="21" spans="1:35" ht="13.2" customHeight="1">
      <c r="B21" s="160"/>
      <c r="E21" s="160"/>
    </row>
    <row r="22" spans="1:35" ht="13.8" customHeight="1">
      <c r="B22" s="220" t="s">
        <v>13</v>
      </c>
      <c r="D22" s="74"/>
      <c r="E22" s="160"/>
    </row>
    <row r="23" spans="1:35" ht="31.2" customHeight="1">
      <c r="B23" s="75" t="s">
        <v>14</v>
      </c>
      <c r="C23" s="75" t="s">
        <v>15</v>
      </c>
      <c r="D23" s="75" t="s">
        <v>16</v>
      </c>
      <c r="E23" s="76" t="s">
        <v>17</v>
      </c>
      <c r="G23" s="221" t="s">
        <v>18</v>
      </c>
      <c r="I23" s="222" t="s">
        <v>166</v>
      </c>
      <c r="J23" t="s">
        <v>167</v>
      </c>
      <c r="K23" t="s">
        <v>168</v>
      </c>
    </row>
    <row r="24" spans="1:35" ht="13.2" customHeight="1">
      <c r="B24" s="223">
        <v>46204</v>
      </c>
      <c r="C24" s="224" t="s">
        <v>169</v>
      </c>
      <c r="D24" s="224" t="s">
        <v>170</v>
      </c>
      <c r="E24" s="225">
        <v>6652074</v>
      </c>
      <c r="F24" s="327" t="s">
        <v>171</v>
      </c>
      <c r="G24" s="328">
        <v>6652074</v>
      </c>
      <c r="H24" s="132" t="s">
        <v>169</v>
      </c>
      <c r="I24" s="132" t="s">
        <v>170</v>
      </c>
      <c r="J24" s="132" t="s">
        <v>172</v>
      </c>
      <c r="K24" s="132" t="s">
        <v>173</v>
      </c>
    </row>
    <row r="25" spans="1:35" ht="13.2" customHeight="1">
      <c r="B25" s="226">
        <v>46204</v>
      </c>
      <c r="C25" s="227" t="s">
        <v>169</v>
      </c>
      <c r="D25" s="227" t="s">
        <v>174</v>
      </c>
      <c r="E25" s="228">
        <v>5511690</v>
      </c>
      <c r="F25" s="329" t="s">
        <v>171</v>
      </c>
      <c r="G25" s="330">
        <v>5511690</v>
      </c>
      <c r="H25" s="81" t="s">
        <v>169</v>
      </c>
      <c r="I25" s="81" t="s">
        <v>174</v>
      </c>
      <c r="J25" s="81" t="s">
        <v>175</v>
      </c>
      <c r="K25" s="81" t="s">
        <v>173</v>
      </c>
    </row>
    <row r="26" spans="1:35" ht="13.2" customHeight="1">
      <c r="B26" s="226">
        <v>46204</v>
      </c>
      <c r="C26" s="227" t="s">
        <v>169</v>
      </c>
      <c r="D26" s="227" t="s">
        <v>176</v>
      </c>
      <c r="E26" s="228">
        <v>5746165</v>
      </c>
      <c r="F26" s="329" t="s">
        <v>171</v>
      </c>
      <c r="G26" s="330">
        <v>5746165</v>
      </c>
      <c r="H26" s="81" t="s">
        <v>169</v>
      </c>
      <c r="I26" s="81" t="s">
        <v>176</v>
      </c>
      <c r="J26" s="81" t="s">
        <v>175</v>
      </c>
      <c r="K26" s="81" t="s">
        <v>173</v>
      </c>
    </row>
    <row r="27" spans="1:35" ht="13.2" customHeight="1">
      <c r="B27" s="226">
        <v>46205</v>
      </c>
      <c r="C27" s="227" t="s">
        <v>169</v>
      </c>
      <c r="D27" s="227" t="s">
        <v>177</v>
      </c>
      <c r="E27" s="228">
        <v>5613204</v>
      </c>
      <c r="F27" s="329" t="s">
        <v>178</v>
      </c>
      <c r="G27" s="330">
        <v>5613204</v>
      </c>
      <c r="H27" s="81" t="s">
        <v>169</v>
      </c>
      <c r="I27" s="81" t="s">
        <v>177</v>
      </c>
      <c r="J27" s="81" t="s">
        <v>175</v>
      </c>
      <c r="K27" s="81" t="s">
        <v>173</v>
      </c>
    </row>
    <row r="28" spans="1:35" ht="13.2" customHeight="1">
      <c r="B28" s="226">
        <v>46205</v>
      </c>
      <c r="C28" s="227" t="s">
        <v>169</v>
      </c>
      <c r="D28" s="227" t="s">
        <v>179</v>
      </c>
      <c r="E28" s="228">
        <v>7990992</v>
      </c>
      <c r="F28" s="329" t="s">
        <v>178</v>
      </c>
      <c r="G28" s="330">
        <v>7990992</v>
      </c>
      <c r="H28" s="81" t="s">
        <v>169</v>
      </c>
      <c r="I28" s="81" t="s">
        <v>179</v>
      </c>
      <c r="J28" s="81" t="s">
        <v>175</v>
      </c>
      <c r="K28" s="81" t="s">
        <v>173</v>
      </c>
    </row>
    <row r="29" spans="1:35" ht="13.2" customHeight="1">
      <c r="B29" s="226">
        <v>46206</v>
      </c>
      <c r="C29" s="227" t="s">
        <v>169</v>
      </c>
      <c r="D29" s="227" t="s">
        <v>180</v>
      </c>
      <c r="E29" s="228">
        <v>7990992</v>
      </c>
      <c r="F29" s="329" t="s">
        <v>181</v>
      </c>
      <c r="G29" s="330">
        <v>7990992</v>
      </c>
      <c r="H29" s="81" t="s">
        <v>169</v>
      </c>
      <c r="I29" s="81" t="s">
        <v>180</v>
      </c>
      <c r="J29" s="81" t="s">
        <v>175</v>
      </c>
      <c r="K29" s="81" t="s">
        <v>173</v>
      </c>
    </row>
    <row r="30" spans="1:35" ht="13.2" customHeight="1">
      <c r="B30" s="226">
        <v>46208</v>
      </c>
      <c r="C30" s="227" t="s">
        <v>169</v>
      </c>
      <c r="D30" s="227" t="s">
        <v>182</v>
      </c>
      <c r="E30" s="228">
        <v>12210187</v>
      </c>
      <c r="F30" s="329" t="s">
        <v>183</v>
      </c>
      <c r="G30" s="330">
        <v>12210187</v>
      </c>
      <c r="H30" s="81" t="s">
        <v>169</v>
      </c>
      <c r="I30" s="81" t="s">
        <v>182</v>
      </c>
      <c r="J30" s="81" t="s">
        <v>175</v>
      </c>
      <c r="K30" s="81" t="s">
        <v>173</v>
      </c>
    </row>
    <row r="31" spans="1:35" ht="13.2" customHeight="1">
      <c r="B31" s="226">
        <v>46208</v>
      </c>
      <c r="C31" s="227" t="s">
        <v>169</v>
      </c>
      <c r="D31" s="227" t="s">
        <v>184</v>
      </c>
      <c r="E31" s="228">
        <v>974840</v>
      </c>
      <c r="F31" s="329" t="s">
        <v>183</v>
      </c>
      <c r="G31" s="330">
        <v>974840</v>
      </c>
      <c r="H31" s="81" t="s">
        <v>169</v>
      </c>
      <c r="I31" s="81" t="s">
        <v>184</v>
      </c>
      <c r="J31" s="81" t="s">
        <v>175</v>
      </c>
      <c r="K31" s="81" t="s">
        <v>173</v>
      </c>
    </row>
    <row r="32" spans="1:35" ht="13.2" customHeight="1">
      <c r="B32" s="226">
        <v>46208</v>
      </c>
      <c r="C32" s="227" t="s">
        <v>169</v>
      </c>
      <c r="D32" s="227" t="s">
        <v>185</v>
      </c>
      <c r="E32" s="228">
        <v>1949680</v>
      </c>
      <c r="F32" s="329" t="s">
        <v>183</v>
      </c>
      <c r="G32" s="330">
        <v>1949680</v>
      </c>
      <c r="H32" s="81" t="s">
        <v>169</v>
      </c>
      <c r="I32" s="81" t="s">
        <v>185</v>
      </c>
      <c r="J32" s="81" t="s">
        <v>175</v>
      </c>
      <c r="K32" s="81" t="s">
        <v>173</v>
      </c>
    </row>
    <row r="33" spans="2:11" ht="13.2" customHeight="1">
      <c r="B33" s="226">
        <v>46209</v>
      </c>
      <c r="C33" s="227" t="s">
        <v>169</v>
      </c>
      <c r="D33" s="227" t="s">
        <v>186</v>
      </c>
      <c r="E33" s="228">
        <v>5384264</v>
      </c>
      <c r="F33" s="329" t="s">
        <v>187</v>
      </c>
      <c r="G33" s="330">
        <v>5384264</v>
      </c>
      <c r="H33" s="81" t="s">
        <v>169</v>
      </c>
      <c r="I33" s="81" t="s">
        <v>186</v>
      </c>
      <c r="J33" s="81" t="s">
        <v>175</v>
      </c>
      <c r="K33" s="81" t="s">
        <v>173</v>
      </c>
    </row>
    <row r="34" spans="2:11" ht="13.2" customHeight="1">
      <c r="B34" s="226">
        <v>46209</v>
      </c>
      <c r="C34" s="227" t="s">
        <v>169</v>
      </c>
      <c r="D34" s="227" t="s">
        <v>188</v>
      </c>
      <c r="E34" s="228">
        <v>7776006</v>
      </c>
      <c r="F34" s="329" t="s">
        <v>187</v>
      </c>
      <c r="G34" s="330">
        <v>7776006</v>
      </c>
      <c r="H34" s="81" t="s">
        <v>169</v>
      </c>
      <c r="I34" s="81" t="s">
        <v>188</v>
      </c>
      <c r="J34" s="81" t="s">
        <v>175</v>
      </c>
      <c r="K34" s="81" t="s">
        <v>173</v>
      </c>
    </row>
    <row r="35" spans="2:11" ht="13.2" customHeight="1">
      <c r="B35" s="226">
        <v>46210</v>
      </c>
      <c r="C35" s="227" t="s">
        <v>169</v>
      </c>
      <c r="D35" s="227" t="s">
        <v>189</v>
      </c>
      <c r="E35" s="228">
        <v>7776006</v>
      </c>
      <c r="F35" s="329" t="s">
        <v>190</v>
      </c>
      <c r="G35" s="330">
        <v>7776006</v>
      </c>
      <c r="H35" s="81" t="s">
        <v>169</v>
      </c>
      <c r="I35" s="81" t="s">
        <v>189</v>
      </c>
      <c r="J35" s="81" t="s">
        <v>175</v>
      </c>
      <c r="K35" s="81" t="s">
        <v>173</v>
      </c>
    </row>
    <row r="36" spans="2:11" ht="13.2" customHeight="1">
      <c r="B36" s="226">
        <v>46211</v>
      </c>
      <c r="C36" s="227" t="s">
        <v>169</v>
      </c>
      <c r="D36" s="227" t="s">
        <v>191</v>
      </c>
      <c r="E36" s="228">
        <v>10244363</v>
      </c>
      <c r="F36" s="329" t="s">
        <v>192</v>
      </c>
      <c r="G36" s="330">
        <v>10244363</v>
      </c>
      <c r="H36" s="81" t="s">
        <v>169</v>
      </c>
      <c r="I36" s="81" t="s">
        <v>191</v>
      </c>
      <c r="J36" s="81" t="s">
        <v>175</v>
      </c>
      <c r="K36" s="81" t="s">
        <v>173</v>
      </c>
    </row>
    <row r="37" spans="2:11" ht="13.2" customHeight="1">
      <c r="B37" s="226">
        <v>46212</v>
      </c>
      <c r="C37" s="227" t="s">
        <v>169</v>
      </c>
      <c r="D37" s="227" t="s">
        <v>193</v>
      </c>
      <c r="E37" s="228">
        <v>10244363</v>
      </c>
      <c r="F37" s="329" t="s">
        <v>194</v>
      </c>
      <c r="G37" s="330">
        <v>10244363</v>
      </c>
      <c r="H37" s="81" t="s">
        <v>169</v>
      </c>
      <c r="I37" s="81" t="s">
        <v>193</v>
      </c>
      <c r="J37" s="81" t="s">
        <v>175</v>
      </c>
      <c r="K37" s="81" t="s">
        <v>173</v>
      </c>
    </row>
    <row r="38" spans="2:11" ht="13.2" customHeight="1">
      <c r="B38" s="226">
        <v>46213</v>
      </c>
      <c r="C38" s="227" t="s">
        <v>169</v>
      </c>
      <c r="D38" s="227" t="s">
        <v>195</v>
      </c>
      <c r="E38" s="228">
        <v>11504087</v>
      </c>
      <c r="F38" s="329" t="s">
        <v>196</v>
      </c>
      <c r="G38" s="330">
        <v>11504087</v>
      </c>
      <c r="H38" s="81" t="s">
        <v>169</v>
      </c>
      <c r="I38" s="81" t="s">
        <v>195</v>
      </c>
      <c r="J38" s="81" t="s">
        <v>175</v>
      </c>
      <c r="K38" s="81" t="s">
        <v>173</v>
      </c>
    </row>
    <row r="39" spans="2:11" ht="13.2" customHeight="1">
      <c r="B39" s="226">
        <v>46214</v>
      </c>
      <c r="C39" s="227" t="s">
        <v>169</v>
      </c>
      <c r="D39" s="227" t="s">
        <v>197</v>
      </c>
      <c r="E39" s="228">
        <v>10338551</v>
      </c>
      <c r="F39" s="329" t="s">
        <v>198</v>
      </c>
      <c r="G39" s="330">
        <v>10338551</v>
      </c>
      <c r="H39" s="81" t="s">
        <v>169</v>
      </c>
      <c r="I39" s="81" t="s">
        <v>197</v>
      </c>
      <c r="J39" s="81" t="s">
        <v>175</v>
      </c>
      <c r="K39" s="81" t="s">
        <v>173</v>
      </c>
    </row>
    <row r="40" spans="2:11" ht="13.2" customHeight="1">
      <c r="B40" s="226">
        <v>46215</v>
      </c>
      <c r="C40" s="227" t="s">
        <v>169</v>
      </c>
      <c r="D40" s="227" t="s">
        <v>199</v>
      </c>
      <c r="E40" s="228">
        <v>9914329</v>
      </c>
      <c r="F40" s="329" t="s">
        <v>200</v>
      </c>
      <c r="G40" s="330">
        <v>9914329</v>
      </c>
      <c r="H40" s="81" t="s">
        <v>169</v>
      </c>
      <c r="I40" s="81" t="s">
        <v>199</v>
      </c>
      <c r="J40" s="81" t="s">
        <v>175</v>
      </c>
      <c r="K40" s="81" t="s">
        <v>173</v>
      </c>
    </row>
    <row r="41" spans="2:11" ht="13.2" customHeight="1">
      <c r="B41" s="226">
        <v>46216</v>
      </c>
      <c r="C41" s="227" t="s">
        <v>169</v>
      </c>
      <c r="D41" s="227" t="s">
        <v>201</v>
      </c>
      <c r="E41" s="228">
        <v>9914329</v>
      </c>
      <c r="F41" s="329" t="s">
        <v>202</v>
      </c>
      <c r="G41" s="330">
        <v>9914329</v>
      </c>
      <c r="H41" s="81" t="s">
        <v>169</v>
      </c>
      <c r="I41" s="81" t="s">
        <v>201</v>
      </c>
      <c r="J41" s="81" t="s">
        <v>175</v>
      </c>
      <c r="K41" s="81" t="s">
        <v>173</v>
      </c>
    </row>
    <row r="42" spans="2:11" ht="13.2" customHeight="1">
      <c r="B42" s="226">
        <v>46217</v>
      </c>
      <c r="C42" s="227" t="s">
        <v>169</v>
      </c>
      <c r="D42" s="227" t="s">
        <v>203</v>
      </c>
      <c r="E42" s="228">
        <v>11073477</v>
      </c>
      <c r="F42" s="329" t="s">
        <v>204</v>
      </c>
      <c r="G42" s="330">
        <v>11073477</v>
      </c>
      <c r="H42" s="81" t="s">
        <v>169</v>
      </c>
      <c r="I42" s="81" t="s">
        <v>203</v>
      </c>
      <c r="J42" s="81" t="s">
        <v>175</v>
      </c>
      <c r="K42" s="81" t="s">
        <v>173</v>
      </c>
    </row>
    <row r="43" spans="2:11" ht="13.2" customHeight="1">
      <c r="B43" s="226">
        <v>46219</v>
      </c>
      <c r="C43" s="227" t="s">
        <v>169</v>
      </c>
      <c r="D43" s="227" t="s">
        <v>205</v>
      </c>
      <c r="E43" s="228">
        <v>14603420</v>
      </c>
      <c r="F43" s="329" t="s">
        <v>206</v>
      </c>
      <c r="G43" s="330">
        <v>14603420</v>
      </c>
      <c r="H43" s="81" t="s">
        <v>169</v>
      </c>
      <c r="I43" s="81" t="s">
        <v>205</v>
      </c>
      <c r="J43" s="81" t="s">
        <v>175</v>
      </c>
      <c r="K43" s="81" t="s">
        <v>173</v>
      </c>
    </row>
    <row r="44" spans="2:11" ht="13.2" customHeight="1">
      <c r="B44" s="226">
        <v>46221</v>
      </c>
      <c r="C44" s="227" t="s">
        <v>169</v>
      </c>
      <c r="D44" s="227" t="s">
        <v>207</v>
      </c>
      <c r="E44" s="228">
        <v>14603420</v>
      </c>
      <c r="F44" s="329" t="s">
        <v>208</v>
      </c>
      <c r="G44" s="330">
        <v>14603420</v>
      </c>
      <c r="H44" s="81" t="s">
        <v>169</v>
      </c>
      <c r="I44" s="81" t="s">
        <v>207</v>
      </c>
      <c r="J44" s="81" t="s">
        <v>175</v>
      </c>
      <c r="K44" s="81" t="s">
        <v>173</v>
      </c>
    </row>
    <row r="45" spans="2:11" ht="13.2" customHeight="1">
      <c r="B45" s="226">
        <v>46222</v>
      </c>
      <c r="C45" s="227" t="s">
        <v>169</v>
      </c>
      <c r="D45" s="227" t="s">
        <v>209</v>
      </c>
      <c r="E45" s="228">
        <v>11499414</v>
      </c>
      <c r="F45" s="329" t="s">
        <v>210</v>
      </c>
      <c r="G45" s="330">
        <v>11499414</v>
      </c>
      <c r="H45" s="81" t="s">
        <v>169</v>
      </c>
      <c r="I45" s="81" t="s">
        <v>209</v>
      </c>
      <c r="J45" s="81" t="s">
        <v>175</v>
      </c>
      <c r="K45" s="81" t="s">
        <v>173</v>
      </c>
    </row>
    <row r="46" spans="2:11" ht="13.2" customHeight="1">
      <c r="B46" s="226">
        <v>46223</v>
      </c>
      <c r="C46" s="227" t="s">
        <v>169</v>
      </c>
      <c r="D46" s="227" t="s">
        <v>211</v>
      </c>
      <c r="E46" s="228">
        <v>11499414</v>
      </c>
      <c r="F46" s="329" t="s">
        <v>212</v>
      </c>
      <c r="G46" s="330">
        <v>11499414</v>
      </c>
      <c r="H46" s="81" t="s">
        <v>169</v>
      </c>
      <c r="I46" s="81" t="s">
        <v>211</v>
      </c>
      <c r="J46" s="81" t="s">
        <v>175</v>
      </c>
      <c r="K46" s="81" t="s">
        <v>173</v>
      </c>
    </row>
    <row r="47" spans="2:11" ht="13.2" customHeight="1">
      <c r="B47" s="226">
        <v>46224</v>
      </c>
      <c r="C47" s="227" t="s">
        <v>169</v>
      </c>
      <c r="D47" s="227" t="s">
        <v>213</v>
      </c>
      <c r="E47" s="228">
        <v>11499414</v>
      </c>
      <c r="F47" s="329" t="s">
        <v>214</v>
      </c>
      <c r="G47" s="330">
        <v>11499414</v>
      </c>
      <c r="H47" s="81" t="s">
        <v>169</v>
      </c>
      <c r="I47" s="81" t="s">
        <v>213</v>
      </c>
      <c r="J47" s="81" t="s">
        <v>175</v>
      </c>
      <c r="K47" s="81" t="s">
        <v>173</v>
      </c>
    </row>
    <row r="48" spans="2:11" ht="13.2" customHeight="1">
      <c r="B48" s="226">
        <v>46225</v>
      </c>
      <c r="C48" s="227" t="s">
        <v>169</v>
      </c>
      <c r="D48" s="227" t="s">
        <v>215</v>
      </c>
      <c r="E48" s="228">
        <v>11499414</v>
      </c>
      <c r="F48" s="329" t="s">
        <v>216</v>
      </c>
      <c r="G48" s="330">
        <v>11499414</v>
      </c>
      <c r="H48" s="81" t="s">
        <v>169</v>
      </c>
      <c r="I48" s="81" t="s">
        <v>215</v>
      </c>
      <c r="J48" s="81" t="s">
        <v>175</v>
      </c>
      <c r="K48" s="81" t="s">
        <v>173</v>
      </c>
    </row>
    <row r="49" spans="2:11" ht="13.2" customHeight="1">
      <c r="B49" s="226">
        <v>46227</v>
      </c>
      <c r="C49" s="227" t="s">
        <v>169</v>
      </c>
      <c r="D49" s="227" t="s">
        <v>217</v>
      </c>
      <c r="E49" s="228">
        <v>11499414</v>
      </c>
      <c r="F49" s="329" t="s">
        <v>218</v>
      </c>
      <c r="G49" s="330">
        <v>11499414</v>
      </c>
      <c r="H49" s="81" t="s">
        <v>169</v>
      </c>
      <c r="I49" s="81" t="s">
        <v>217</v>
      </c>
      <c r="J49" s="81" t="s">
        <v>175</v>
      </c>
      <c r="K49" s="81" t="s">
        <v>173</v>
      </c>
    </row>
    <row r="50" spans="2:11" ht="13.2" customHeight="1">
      <c r="B50" s="226">
        <v>46228</v>
      </c>
      <c r="C50" s="227" t="s">
        <v>169</v>
      </c>
      <c r="D50" s="227" t="s">
        <v>219</v>
      </c>
      <c r="E50" s="228">
        <v>11499414</v>
      </c>
      <c r="F50" s="329" t="s">
        <v>220</v>
      </c>
      <c r="G50" s="330">
        <v>11499414</v>
      </c>
      <c r="H50" s="81" t="s">
        <v>169</v>
      </c>
      <c r="I50" s="81" t="s">
        <v>219</v>
      </c>
      <c r="J50" s="81" t="s">
        <v>175</v>
      </c>
      <c r="K50" s="81" t="s">
        <v>173</v>
      </c>
    </row>
    <row r="51" spans="2:11" ht="13.2" customHeight="1">
      <c r="B51" s="226">
        <v>46229</v>
      </c>
      <c r="C51" s="227" t="s">
        <v>169</v>
      </c>
      <c r="D51" s="227" t="s">
        <v>221</v>
      </c>
      <c r="E51" s="228">
        <v>11499414</v>
      </c>
      <c r="F51" s="329" t="s">
        <v>222</v>
      </c>
      <c r="G51" s="330">
        <v>11499414</v>
      </c>
      <c r="H51" s="81" t="s">
        <v>169</v>
      </c>
      <c r="I51" s="81" t="s">
        <v>221</v>
      </c>
      <c r="J51" s="81" t="s">
        <v>175</v>
      </c>
      <c r="K51" s="81" t="s">
        <v>173</v>
      </c>
    </row>
    <row r="52" spans="2:11" ht="13.2" customHeight="1">
      <c r="B52" s="226">
        <v>46232</v>
      </c>
      <c r="C52" s="227" t="s">
        <v>169</v>
      </c>
      <c r="D52" s="227" t="s">
        <v>223</v>
      </c>
      <c r="E52" s="228">
        <v>1517286</v>
      </c>
      <c r="F52" s="329" t="s">
        <v>224</v>
      </c>
      <c r="G52" s="330">
        <v>1517286</v>
      </c>
      <c r="H52" s="81" t="s">
        <v>169</v>
      </c>
      <c r="I52" s="81" t="s">
        <v>223</v>
      </c>
      <c r="J52" s="81" t="s">
        <v>175</v>
      </c>
      <c r="K52" s="81" t="s">
        <v>173</v>
      </c>
    </row>
    <row r="53" spans="2:11" ht="13.2" customHeight="1">
      <c r="B53" s="226">
        <v>46232</v>
      </c>
      <c r="C53" s="227" t="s">
        <v>169</v>
      </c>
      <c r="D53" s="227" t="s">
        <v>225</v>
      </c>
      <c r="E53" s="228">
        <v>3034572</v>
      </c>
      <c r="F53" s="329" t="s">
        <v>224</v>
      </c>
      <c r="G53" s="330">
        <v>3034572</v>
      </c>
      <c r="H53" s="81" t="s">
        <v>169</v>
      </c>
      <c r="I53" s="81" t="s">
        <v>225</v>
      </c>
      <c r="J53" s="81" t="s">
        <v>175</v>
      </c>
      <c r="K53" s="81" t="s">
        <v>173</v>
      </c>
    </row>
    <row r="54" spans="2:11" ht="13.2" customHeight="1">
      <c r="B54" s="226">
        <v>46232</v>
      </c>
      <c r="C54" s="227" t="s">
        <v>169</v>
      </c>
      <c r="D54" s="227" t="s">
        <v>226</v>
      </c>
      <c r="E54" s="228">
        <v>6069144</v>
      </c>
      <c r="F54" s="329" t="s">
        <v>224</v>
      </c>
      <c r="G54" s="330">
        <v>6069144</v>
      </c>
      <c r="H54" s="81" t="s">
        <v>169</v>
      </c>
      <c r="I54" s="81" t="s">
        <v>226</v>
      </c>
      <c r="J54" s="81" t="s">
        <v>175</v>
      </c>
      <c r="K54" s="81" t="s">
        <v>173</v>
      </c>
    </row>
    <row r="55" spans="2:11" ht="13.2" customHeight="1">
      <c r="B55" s="226">
        <v>46232</v>
      </c>
      <c r="C55" s="227" t="s">
        <v>169</v>
      </c>
      <c r="D55" s="227" t="s">
        <v>227</v>
      </c>
      <c r="E55" s="228">
        <v>1517291</v>
      </c>
      <c r="F55" s="329" t="s">
        <v>224</v>
      </c>
      <c r="G55" s="330">
        <v>1517291</v>
      </c>
      <c r="H55" s="81" t="s">
        <v>169</v>
      </c>
      <c r="I55" s="81" t="s">
        <v>227</v>
      </c>
      <c r="J55" s="81" t="s">
        <v>175</v>
      </c>
      <c r="K55" s="81" t="s">
        <v>173</v>
      </c>
    </row>
    <row r="56" spans="2:11" ht="13.2" customHeight="1">
      <c r="B56" s="226">
        <v>46233</v>
      </c>
      <c r="C56" s="227" t="s">
        <v>169</v>
      </c>
      <c r="D56" s="227" t="s">
        <v>228</v>
      </c>
      <c r="E56" s="228">
        <v>11499414</v>
      </c>
      <c r="F56" s="329" t="s">
        <v>229</v>
      </c>
      <c r="G56" s="330">
        <v>11499414</v>
      </c>
      <c r="H56" s="81" t="s">
        <v>169</v>
      </c>
      <c r="I56" s="81" t="s">
        <v>228</v>
      </c>
      <c r="J56" s="81" t="s">
        <v>175</v>
      </c>
      <c r="K56" s="81" t="s">
        <v>173</v>
      </c>
    </row>
    <row r="57" spans="2:11" ht="13.2" customHeight="1">
      <c r="B57" s="226">
        <v>46233</v>
      </c>
      <c r="C57" s="227" t="s">
        <v>169</v>
      </c>
      <c r="D57" s="227" t="s">
        <v>230</v>
      </c>
      <c r="E57" s="228">
        <v>5310315</v>
      </c>
      <c r="F57" s="329" t="s">
        <v>229</v>
      </c>
      <c r="G57" s="330">
        <v>5310315</v>
      </c>
      <c r="H57" s="81" t="s">
        <v>169</v>
      </c>
      <c r="I57" s="81" t="s">
        <v>230</v>
      </c>
      <c r="J57" s="81" t="s">
        <v>175</v>
      </c>
      <c r="K57" s="81" t="s">
        <v>173</v>
      </c>
    </row>
    <row r="58" spans="2:11" ht="13.2" customHeight="1">
      <c r="B58" s="226">
        <v>46233</v>
      </c>
      <c r="C58" s="227" t="s">
        <v>169</v>
      </c>
      <c r="D58" s="227" t="s">
        <v>231</v>
      </c>
      <c r="E58" s="228">
        <v>663924</v>
      </c>
      <c r="F58" s="329" t="s">
        <v>229</v>
      </c>
      <c r="G58" s="330">
        <v>663924</v>
      </c>
      <c r="H58" s="81" t="s">
        <v>169</v>
      </c>
      <c r="I58" s="81" t="s">
        <v>231</v>
      </c>
      <c r="J58" s="81" t="s">
        <v>175</v>
      </c>
      <c r="K58" s="81" t="s">
        <v>173</v>
      </c>
    </row>
    <row r="59" spans="2:11" ht="13.2" customHeight="1">
      <c r="B59" s="226">
        <v>46234</v>
      </c>
      <c r="C59" s="227" t="s">
        <v>169</v>
      </c>
      <c r="D59" s="227" t="s">
        <v>232</v>
      </c>
      <c r="E59" s="228">
        <v>4766134</v>
      </c>
      <c r="F59" s="329" t="s">
        <v>233</v>
      </c>
      <c r="G59" s="330">
        <v>4766134</v>
      </c>
      <c r="H59" s="81" t="s">
        <v>169</v>
      </c>
      <c r="I59" s="81" t="s">
        <v>232</v>
      </c>
      <c r="J59" s="81" t="s">
        <v>175</v>
      </c>
      <c r="K59" s="81" t="s">
        <v>173</v>
      </c>
    </row>
    <row r="60" spans="2:11" ht="13.2" customHeight="1">
      <c r="B60" s="229">
        <v>46204</v>
      </c>
      <c r="C60" s="230" t="s">
        <v>169</v>
      </c>
      <c r="D60" s="230" t="s">
        <v>234</v>
      </c>
      <c r="E60" s="231">
        <v>14216873</v>
      </c>
      <c r="F60" s="331">
        <v>46204</v>
      </c>
      <c r="G60" s="332">
        <v>14216873</v>
      </c>
      <c r="H60" s="333" t="s">
        <v>169</v>
      </c>
      <c r="I60" s="333" t="s">
        <v>234</v>
      </c>
      <c r="J60" s="333" t="s">
        <v>235</v>
      </c>
      <c r="K60" s="333" t="s">
        <v>173</v>
      </c>
    </row>
    <row r="61" spans="2:11" ht="13.2" customHeight="1">
      <c r="B61" s="229">
        <v>46204</v>
      </c>
      <c r="C61" s="230" t="s">
        <v>169</v>
      </c>
      <c r="D61" s="230" t="s">
        <v>236</v>
      </c>
      <c r="E61" s="231">
        <v>12380291</v>
      </c>
      <c r="F61" s="331">
        <v>46204</v>
      </c>
      <c r="G61" s="332">
        <v>12380291</v>
      </c>
      <c r="H61" s="333" t="s">
        <v>169</v>
      </c>
      <c r="I61" s="333" t="s">
        <v>236</v>
      </c>
      <c r="J61" s="333" t="s">
        <v>235</v>
      </c>
      <c r="K61" s="333" t="s">
        <v>173</v>
      </c>
    </row>
    <row r="62" spans="2:11" ht="13.2" customHeight="1">
      <c r="B62" s="229">
        <v>46205</v>
      </c>
      <c r="C62" s="230" t="s">
        <v>169</v>
      </c>
      <c r="D62" s="230" t="s">
        <v>237</v>
      </c>
      <c r="E62" s="231">
        <v>17764992</v>
      </c>
      <c r="F62" s="331">
        <v>46205</v>
      </c>
      <c r="G62" s="332">
        <v>17764992</v>
      </c>
      <c r="H62" s="333" t="s">
        <v>169</v>
      </c>
      <c r="I62" s="333" t="s">
        <v>237</v>
      </c>
      <c r="J62" s="333" t="s">
        <v>235</v>
      </c>
      <c r="K62" s="333" t="s">
        <v>173</v>
      </c>
    </row>
    <row r="63" spans="2:11" ht="13.2" customHeight="1">
      <c r="B63" s="229">
        <v>46206</v>
      </c>
      <c r="C63" s="230" t="s">
        <v>169</v>
      </c>
      <c r="D63" s="230" t="s">
        <v>238</v>
      </c>
      <c r="E63" s="231">
        <v>7336395</v>
      </c>
      <c r="F63" s="331">
        <v>46206</v>
      </c>
      <c r="G63" s="332">
        <v>7336395</v>
      </c>
      <c r="H63" s="333" t="s">
        <v>169</v>
      </c>
      <c r="I63" s="333" t="s">
        <v>238</v>
      </c>
      <c r="J63" s="333" t="s">
        <v>235</v>
      </c>
      <c r="K63" s="333" t="s">
        <v>173</v>
      </c>
    </row>
    <row r="64" spans="2:11" ht="13.2" customHeight="1">
      <c r="B64" s="229">
        <v>46207</v>
      </c>
      <c r="C64" s="230" t="s">
        <v>169</v>
      </c>
      <c r="D64" s="230" t="s">
        <v>239</v>
      </c>
      <c r="E64" s="231">
        <v>14795410</v>
      </c>
      <c r="F64" s="331">
        <v>46207</v>
      </c>
      <c r="G64" s="332">
        <v>14795410</v>
      </c>
      <c r="H64" s="333" t="s">
        <v>169</v>
      </c>
      <c r="I64" s="333" t="s">
        <v>239</v>
      </c>
      <c r="J64" s="333" t="s">
        <v>235</v>
      </c>
      <c r="K64" s="333" t="s">
        <v>173</v>
      </c>
    </row>
    <row r="65" spans="2:11" ht="13.2" customHeight="1">
      <c r="B65" s="229">
        <v>46207</v>
      </c>
      <c r="C65" s="230" t="s">
        <v>169</v>
      </c>
      <c r="D65" s="230" t="s">
        <v>240</v>
      </c>
      <c r="E65" s="231">
        <v>2733757</v>
      </c>
      <c r="F65" s="331">
        <v>46207</v>
      </c>
      <c r="G65" s="332">
        <v>2733757</v>
      </c>
      <c r="H65" s="333" t="s">
        <v>169</v>
      </c>
      <c r="I65" s="333" t="s">
        <v>240</v>
      </c>
      <c r="J65" s="333" t="s">
        <v>235</v>
      </c>
      <c r="K65" s="333" t="s">
        <v>173</v>
      </c>
    </row>
    <row r="66" spans="2:11" ht="13.2" customHeight="1">
      <c r="B66" s="229">
        <v>46208</v>
      </c>
      <c r="C66" s="230" t="s">
        <v>169</v>
      </c>
      <c r="D66" s="230" t="s">
        <v>241</v>
      </c>
      <c r="E66" s="231">
        <v>1618843</v>
      </c>
      <c r="F66" s="331">
        <v>46208</v>
      </c>
      <c r="G66" s="332">
        <v>1618843</v>
      </c>
      <c r="H66" s="333" t="s">
        <v>169</v>
      </c>
      <c r="I66" s="333" t="s">
        <v>241</v>
      </c>
      <c r="J66" s="333" t="s">
        <v>235</v>
      </c>
      <c r="K66" s="333" t="s">
        <v>173</v>
      </c>
    </row>
    <row r="67" spans="2:11" ht="13.2" customHeight="1">
      <c r="B67" s="229">
        <v>46209</v>
      </c>
      <c r="C67" s="230" t="s">
        <v>169</v>
      </c>
      <c r="D67" s="230" t="s">
        <v>242</v>
      </c>
      <c r="E67" s="231">
        <v>12262824</v>
      </c>
      <c r="F67" s="331">
        <v>46209</v>
      </c>
      <c r="G67" s="332">
        <v>12262824</v>
      </c>
      <c r="H67" s="333" t="s">
        <v>169</v>
      </c>
      <c r="I67" s="333" t="s">
        <v>242</v>
      </c>
      <c r="J67" s="333" t="s">
        <v>235</v>
      </c>
      <c r="K67" s="333" t="s">
        <v>173</v>
      </c>
    </row>
    <row r="68" spans="2:11" ht="13.2" customHeight="1">
      <c r="B68" s="229">
        <v>46210</v>
      </c>
      <c r="C68" s="230" t="s">
        <v>169</v>
      </c>
      <c r="D68" s="230" t="s">
        <v>243</v>
      </c>
      <c r="E68" s="231">
        <v>12930578</v>
      </c>
      <c r="F68" s="331">
        <v>46210</v>
      </c>
      <c r="G68" s="332">
        <v>12930578</v>
      </c>
      <c r="H68" s="333" t="s">
        <v>169</v>
      </c>
      <c r="I68" s="333" t="s">
        <v>243</v>
      </c>
      <c r="J68" s="333" t="s">
        <v>235</v>
      </c>
      <c r="K68" s="333" t="s">
        <v>173</v>
      </c>
    </row>
    <row r="69" spans="2:11" ht="13.2" customHeight="1">
      <c r="B69" s="229">
        <v>46211</v>
      </c>
      <c r="C69" s="230" t="s">
        <v>169</v>
      </c>
      <c r="D69" s="230" t="s">
        <v>244</v>
      </c>
      <c r="E69" s="231">
        <v>13921873</v>
      </c>
      <c r="F69" s="331">
        <v>46211</v>
      </c>
      <c r="G69" s="332">
        <v>13921873</v>
      </c>
      <c r="H69" s="333" t="s">
        <v>169</v>
      </c>
      <c r="I69" s="333" t="s">
        <v>244</v>
      </c>
      <c r="J69" s="333" t="s">
        <v>235</v>
      </c>
      <c r="K69" s="333" t="s">
        <v>173</v>
      </c>
    </row>
    <row r="70" spans="2:11" ht="13.2" customHeight="1">
      <c r="B70" s="229">
        <v>46212</v>
      </c>
      <c r="C70" s="230" t="s">
        <v>169</v>
      </c>
      <c r="D70" s="230" t="s">
        <v>245</v>
      </c>
      <c r="E70" s="231">
        <v>15731276</v>
      </c>
      <c r="F70" s="331">
        <v>46212</v>
      </c>
      <c r="G70" s="332">
        <v>15731276</v>
      </c>
      <c r="H70" s="333" t="s">
        <v>169</v>
      </c>
      <c r="I70" s="333" t="s">
        <v>245</v>
      </c>
      <c r="J70" s="333" t="s">
        <v>235</v>
      </c>
      <c r="K70" s="333" t="s">
        <v>173</v>
      </c>
    </row>
    <row r="71" spans="2:11" ht="13.2" customHeight="1">
      <c r="B71" s="229">
        <v>46213</v>
      </c>
      <c r="C71" s="230" t="s">
        <v>169</v>
      </c>
      <c r="D71" s="230" t="s">
        <v>246</v>
      </c>
      <c r="E71" s="231">
        <v>15731276</v>
      </c>
      <c r="F71" s="331">
        <v>46213</v>
      </c>
      <c r="G71" s="332">
        <v>15731276</v>
      </c>
      <c r="H71" s="333" t="s">
        <v>169</v>
      </c>
      <c r="I71" s="333" t="s">
        <v>246</v>
      </c>
      <c r="J71" s="333" t="s">
        <v>235</v>
      </c>
      <c r="K71" s="333" t="s">
        <v>173</v>
      </c>
    </row>
    <row r="72" spans="2:11" ht="13.2" customHeight="1">
      <c r="B72" s="229">
        <v>46215</v>
      </c>
      <c r="C72" s="230" t="s">
        <v>169</v>
      </c>
      <c r="D72" s="230" t="s">
        <v>247</v>
      </c>
      <c r="E72" s="231">
        <v>14703345</v>
      </c>
      <c r="F72" s="331">
        <v>46215</v>
      </c>
      <c r="G72" s="332">
        <v>14703345</v>
      </c>
      <c r="H72" s="333" t="s">
        <v>169</v>
      </c>
      <c r="I72" s="333" t="s">
        <v>247</v>
      </c>
      <c r="J72" s="333" t="s">
        <v>235</v>
      </c>
      <c r="K72" s="333" t="s">
        <v>173</v>
      </c>
    </row>
    <row r="73" spans="2:11" ht="13.2" customHeight="1">
      <c r="B73" s="229">
        <v>46216</v>
      </c>
      <c r="C73" s="230" t="s">
        <v>169</v>
      </c>
      <c r="D73" s="230" t="s">
        <v>248</v>
      </c>
      <c r="E73" s="231">
        <v>14703345</v>
      </c>
      <c r="F73" s="331">
        <v>46216</v>
      </c>
      <c r="G73" s="332">
        <v>14703345</v>
      </c>
      <c r="H73" s="333" t="s">
        <v>169</v>
      </c>
      <c r="I73" s="333" t="s">
        <v>248</v>
      </c>
      <c r="J73" s="333" t="s">
        <v>235</v>
      </c>
      <c r="K73" s="333" t="s">
        <v>173</v>
      </c>
    </row>
    <row r="74" spans="2:11" ht="13.2" customHeight="1">
      <c r="B74" s="229">
        <v>46217</v>
      </c>
      <c r="C74" s="230" t="s">
        <v>169</v>
      </c>
      <c r="D74" s="230" t="s">
        <v>249</v>
      </c>
      <c r="E74" s="231">
        <v>14191580</v>
      </c>
      <c r="F74" s="331">
        <v>46217</v>
      </c>
      <c r="G74" s="332">
        <v>14191580</v>
      </c>
      <c r="H74" s="333" t="s">
        <v>169</v>
      </c>
      <c r="I74" s="333" t="s">
        <v>249</v>
      </c>
      <c r="J74" s="333" t="s">
        <v>235</v>
      </c>
      <c r="K74" s="333" t="s">
        <v>173</v>
      </c>
    </row>
    <row r="75" spans="2:11" ht="13.2" customHeight="1">
      <c r="B75" s="229">
        <v>46219</v>
      </c>
      <c r="C75" s="230" t="s">
        <v>169</v>
      </c>
      <c r="D75" s="230" t="s">
        <v>250</v>
      </c>
      <c r="E75" s="231">
        <v>12802073</v>
      </c>
      <c r="F75" s="331">
        <v>46219</v>
      </c>
      <c r="G75" s="332">
        <v>12802073</v>
      </c>
      <c r="H75" s="333" t="s">
        <v>169</v>
      </c>
      <c r="I75" s="333" t="s">
        <v>250</v>
      </c>
      <c r="J75" s="333" t="s">
        <v>235</v>
      </c>
      <c r="K75" s="333" t="s">
        <v>173</v>
      </c>
    </row>
    <row r="76" spans="2:11" ht="13.2" customHeight="1">
      <c r="B76" s="229">
        <v>46220</v>
      </c>
      <c r="C76" s="230" t="s">
        <v>169</v>
      </c>
      <c r="D76" s="230" t="s">
        <v>251</v>
      </c>
      <c r="E76" s="231">
        <v>14191580</v>
      </c>
      <c r="F76" s="331">
        <v>46220</v>
      </c>
      <c r="G76" s="332">
        <v>14191580</v>
      </c>
      <c r="H76" s="333" t="s">
        <v>169</v>
      </c>
      <c r="I76" s="333" t="s">
        <v>251</v>
      </c>
      <c r="J76" s="333" t="s">
        <v>235</v>
      </c>
      <c r="K76" s="333" t="s">
        <v>173</v>
      </c>
    </row>
    <row r="77" spans="2:11" ht="13.2" customHeight="1">
      <c r="B77" s="229">
        <v>46221</v>
      </c>
      <c r="C77" s="230" t="s">
        <v>169</v>
      </c>
      <c r="D77" s="230" t="s">
        <v>252</v>
      </c>
      <c r="E77" s="231">
        <v>14191580</v>
      </c>
      <c r="F77" s="331">
        <v>46221</v>
      </c>
      <c r="G77" s="332">
        <v>14191580</v>
      </c>
      <c r="H77" s="333" t="s">
        <v>169</v>
      </c>
      <c r="I77" s="333" t="s">
        <v>252</v>
      </c>
      <c r="J77" s="333" t="s">
        <v>235</v>
      </c>
      <c r="K77" s="333" t="s">
        <v>173</v>
      </c>
    </row>
    <row r="78" spans="2:11" ht="13.2" customHeight="1">
      <c r="B78" s="229">
        <v>46222</v>
      </c>
      <c r="C78" s="230" t="s">
        <v>169</v>
      </c>
      <c r="D78" s="230" t="s">
        <v>253</v>
      </c>
      <c r="E78" s="231">
        <v>14191580</v>
      </c>
      <c r="F78" s="331">
        <v>46222</v>
      </c>
      <c r="G78" s="332">
        <v>14191580</v>
      </c>
      <c r="H78" s="333" t="s">
        <v>169</v>
      </c>
      <c r="I78" s="333" t="s">
        <v>253</v>
      </c>
      <c r="J78" s="333" t="s">
        <v>235</v>
      </c>
      <c r="K78" s="333" t="s">
        <v>173</v>
      </c>
    </row>
    <row r="79" spans="2:11" ht="13.2" customHeight="1">
      <c r="B79" s="229">
        <v>46224</v>
      </c>
      <c r="C79" s="230" t="s">
        <v>169</v>
      </c>
      <c r="D79" s="230" t="s">
        <v>254</v>
      </c>
      <c r="E79" s="231">
        <v>14191580</v>
      </c>
      <c r="F79" s="331">
        <v>46224</v>
      </c>
      <c r="G79" s="332">
        <v>14191580</v>
      </c>
      <c r="H79" s="333" t="s">
        <v>169</v>
      </c>
      <c r="I79" s="333" t="s">
        <v>254</v>
      </c>
      <c r="J79" s="333" t="s">
        <v>235</v>
      </c>
      <c r="K79" s="333" t="s">
        <v>173</v>
      </c>
    </row>
    <row r="80" spans="2:11" ht="13.2" customHeight="1">
      <c r="B80" s="229">
        <v>46225</v>
      </c>
      <c r="C80" s="230" t="s">
        <v>169</v>
      </c>
      <c r="D80" s="230" t="s">
        <v>255</v>
      </c>
      <c r="E80" s="231">
        <v>14191580</v>
      </c>
      <c r="F80" s="331">
        <v>46225</v>
      </c>
      <c r="G80" s="332">
        <v>14191580</v>
      </c>
      <c r="H80" s="333" t="s">
        <v>169</v>
      </c>
      <c r="I80" s="333" t="s">
        <v>255</v>
      </c>
      <c r="J80" s="333" t="s">
        <v>235</v>
      </c>
      <c r="K80" s="333" t="s">
        <v>173</v>
      </c>
    </row>
    <row r="81" spans="2:11" ht="13.2" customHeight="1">
      <c r="B81" s="229">
        <v>46226</v>
      </c>
      <c r="C81" s="230" t="s">
        <v>169</v>
      </c>
      <c r="D81" s="230" t="s">
        <v>256</v>
      </c>
      <c r="E81" s="231">
        <v>16185085</v>
      </c>
      <c r="F81" s="331">
        <v>46226</v>
      </c>
      <c r="G81" s="332">
        <v>16185085</v>
      </c>
      <c r="H81" s="333" t="s">
        <v>169</v>
      </c>
      <c r="I81" s="333" t="s">
        <v>256</v>
      </c>
      <c r="J81" s="333" t="s">
        <v>235</v>
      </c>
      <c r="K81" s="333" t="s">
        <v>173</v>
      </c>
    </row>
    <row r="82" spans="2:11" ht="13.2" customHeight="1">
      <c r="B82" s="229">
        <v>46227</v>
      </c>
      <c r="C82" s="230" t="s">
        <v>169</v>
      </c>
      <c r="D82" s="230" t="s">
        <v>257</v>
      </c>
      <c r="E82" s="231">
        <v>16185085</v>
      </c>
      <c r="F82" s="331">
        <v>46227</v>
      </c>
      <c r="G82" s="332">
        <v>16185085</v>
      </c>
      <c r="H82" s="333" t="s">
        <v>169</v>
      </c>
      <c r="I82" s="333" t="s">
        <v>257</v>
      </c>
      <c r="J82" s="333" t="s">
        <v>235</v>
      </c>
      <c r="K82" s="333" t="s">
        <v>173</v>
      </c>
    </row>
    <row r="83" spans="2:11" ht="13.2" customHeight="1">
      <c r="B83" s="229">
        <v>46228</v>
      </c>
      <c r="C83" s="230" t="s">
        <v>169</v>
      </c>
      <c r="D83" s="230" t="s">
        <v>258</v>
      </c>
      <c r="E83" s="231">
        <v>16185085</v>
      </c>
      <c r="F83" s="331">
        <v>46228</v>
      </c>
      <c r="G83" s="332">
        <v>16185085</v>
      </c>
      <c r="H83" s="333" t="s">
        <v>169</v>
      </c>
      <c r="I83" s="333" t="s">
        <v>258</v>
      </c>
      <c r="J83" s="333" t="s">
        <v>235</v>
      </c>
      <c r="K83" s="333" t="s">
        <v>173</v>
      </c>
    </row>
    <row r="84" spans="2:11" ht="13.2" customHeight="1">
      <c r="B84" s="229">
        <v>46230</v>
      </c>
      <c r="C84" s="230" t="s">
        <v>169</v>
      </c>
      <c r="D84" s="230" t="s">
        <v>259</v>
      </c>
      <c r="E84" s="231">
        <v>16185085</v>
      </c>
      <c r="F84" s="331">
        <v>46230</v>
      </c>
      <c r="G84" s="332">
        <v>16185085</v>
      </c>
      <c r="H84" s="333" t="s">
        <v>169</v>
      </c>
      <c r="I84" s="333" t="s">
        <v>259</v>
      </c>
      <c r="J84" s="333" t="s">
        <v>235</v>
      </c>
      <c r="K84" s="333" t="s">
        <v>173</v>
      </c>
    </row>
    <row r="85" spans="2:11" ht="13.2" customHeight="1">
      <c r="B85" s="229">
        <v>46232</v>
      </c>
      <c r="C85" s="230" t="s">
        <v>169</v>
      </c>
      <c r="D85" s="230" t="s">
        <v>260</v>
      </c>
      <c r="E85" s="231">
        <v>2024595</v>
      </c>
      <c r="F85" s="331">
        <v>46232</v>
      </c>
      <c r="G85" s="332">
        <v>2024595</v>
      </c>
      <c r="H85" s="333" t="s">
        <v>169</v>
      </c>
      <c r="I85" s="333" t="s">
        <v>260</v>
      </c>
      <c r="J85" s="333" t="s">
        <v>235</v>
      </c>
      <c r="K85" s="333" t="s">
        <v>173</v>
      </c>
    </row>
    <row r="86" spans="2:11" ht="13.2" customHeight="1">
      <c r="B86" s="229">
        <v>46232</v>
      </c>
      <c r="C86" s="230" t="s">
        <v>169</v>
      </c>
      <c r="D86" s="230" t="s">
        <v>261</v>
      </c>
      <c r="E86" s="231">
        <v>4049190</v>
      </c>
      <c r="F86" s="331">
        <v>46232</v>
      </c>
      <c r="G86" s="332">
        <v>4049190</v>
      </c>
      <c r="H86" s="333" t="s">
        <v>169</v>
      </c>
      <c r="I86" s="333" t="s">
        <v>261</v>
      </c>
      <c r="J86" s="333" t="s">
        <v>235</v>
      </c>
      <c r="K86" s="333" t="s">
        <v>173</v>
      </c>
    </row>
    <row r="87" spans="2:11" ht="13.2" customHeight="1">
      <c r="B87" s="229">
        <v>46232</v>
      </c>
      <c r="C87" s="230" t="s">
        <v>169</v>
      </c>
      <c r="D87" s="230" t="s">
        <v>262</v>
      </c>
      <c r="E87" s="231">
        <v>8098380</v>
      </c>
      <c r="F87" s="331">
        <v>46232</v>
      </c>
      <c r="G87" s="332">
        <v>8098380</v>
      </c>
      <c r="H87" s="333" t="s">
        <v>169</v>
      </c>
      <c r="I87" s="333" t="s">
        <v>262</v>
      </c>
      <c r="J87" s="333" t="s">
        <v>235</v>
      </c>
      <c r="K87" s="333" t="s">
        <v>173</v>
      </c>
    </row>
    <row r="88" spans="2:11" ht="13.2" customHeight="1">
      <c r="B88" s="229">
        <v>46232</v>
      </c>
      <c r="C88" s="230" t="s">
        <v>169</v>
      </c>
      <c r="D88" s="230" t="s">
        <v>263</v>
      </c>
      <c r="E88" s="231">
        <v>2024596</v>
      </c>
      <c r="F88" s="331">
        <v>46232</v>
      </c>
      <c r="G88" s="332">
        <v>2024596</v>
      </c>
      <c r="H88" s="333" t="s">
        <v>169</v>
      </c>
      <c r="I88" s="333" t="s">
        <v>263</v>
      </c>
      <c r="J88" s="333" t="s">
        <v>235</v>
      </c>
      <c r="K88" s="333" t="s">
        <v>173</v>
      </c>
    </row>
    <row r="89" spans="2:11" ht="13.2" customHeight="1">
      <c r="B89" s="229">
        <v>46233</v>
      </c>
      <c r="C89" s="230" t="s">
        <v>169</v>
      </c>
      <c r="D89" s="230" t="s">
        <v>264</v>
      </c>
      <c r="E89" s="231">
        <v>16185085</v>
      </c>
      <c r="F89" s="331">
        <v>46233</v>
      </c>
      <c r="G89" s="332">
        <v>16185085</v>
      </c>
      <c r="H89" s="333" t="s">
        <v>169</v>
      </c>
      <c r="I89" s="333" t="s">
        <v>264</v>
      </c>
      <c r="J89" s="333" t="s">
        <v>235</v>
      </c>
      <c r="K89" s="333" t="s">
        <v>173</v>
      </c>
    </row>
    <row r="90" spans="2:11" ht="13.2" customHeight="1">
      <c r="B90" s="229">
        <v>46234</v>
      </c>
      <c r="C90" s="230" t="s">
        <v>169</v>
      </c>
      <c r="D90" s="230" t="s">
        <v>265</v>
      </c>
      <c r="E90" s="231">
        <v>16241259</v>
      </c>
      <c r="F90" s="331">
        <v>46234</v>
      </c>
      <c r="G90" s="332">
        <v>16241259</v>
      </c>
      <c r="H90" s="333" t="s">
        <v>169</v>
      </c>
      <c r="I90" s="333" t="s">
        <v>265</v>
      </c>
      <c r="J90" s="333" t="s">
        <v>235</v>
      </c>
      <c r="K90" s="333" t="s">
        <v>173</v>
      </c>
    </row>
    <row r="91" spans="2:11" ht="13.2" customHeight="1">
      <c r="B91" s="242">
        <v>46204</v>
      </c>
      <c r="C91" s="243" t="s">
        <v>169</v>
      </c>
      <c r="D91" s="243" t="s">
        <v>266</v>
      </c>
      <c r="E91" s="244">
        <v>9347458</v>
      </c>
      <c r="F91" s="334">
        <v>46204</v>
      </c>
      <c r="G91" s="335">
        <v>9347458</v>
      </c>
      <c r="H91" s="51" t="s">
        <v>169</v>
      </c>
      <c r="I91" s="51" t="s">
        <v>266</v>
      </c>
      <c r="J91" s="51" t="s">
        <v>267</v>
      </c>
      <c r="K91" s="51" t="s">
        <v>173</v>
      </c>
    </row>
    <row r="92" spans="2:11" ht="13.2" customHeight="1">
      <c r="B92" s="242">
        <v>46205</v>
      </c>
      <c r="C92" s="243" t="s">
        <v>169</v>
      </c>
      <c r="D92" s="243" t="s">
        <v>268</v>
      </c>
      <c r="E92" s="244">
        <v>8888615</v>
      </c>
      <c r="F92" s="334">
        <v>46205</v>
      </c>
      <c r="G92" s="335">
        <v>8888615</v>
      </c>
      <c r="H92" s="51" t="s">
        <v>169</v>
      </c>
      <c r="I92" s="51" t="s">
        <v>268</v>
      </c>
      <c r="J92" s="51" t="s">
        <v>267</v>
      </c>
      <c r="K92" s="51" t="s">
        <v>173</v>
      </c>
    </row>
    <row r="93" spans="2:11" ht="13.2" customHeight="1">
      <c r="B93" s="242">
        <v>46207</v>
      </c>
      <c r="C93" s="243" t="s">
        <v>169</v>
      </c>
      <c r="D93" s="243" t="s">
        <v>269</v>
      </c>
      <c r="E93" s="244">
        <v>12027381</v>
      </c>
      <c r="F93" s="334">
        <v>46207</v>
      </c>
      <c r="G93" s="335">
        <v>12027381</v>
      </c>
      <c r="H93" s="51" t="s">
        <v>169</v>
      </c>
      <c r="I93" s="51" t="s">
        <v>269</v>
      </c>
      <c r="J93" s="51" t="s">
        <v>267</v>
      </c>
      <c r="K93" s="51" t="s">
        <v>173</v>
      </c>
    </row>
    <row r="94" spans="2:11" ht="13.2" customHeight="1">
      <c r="B94" s="242">
        <v>46209</v>
      </c>
      <c r="C94" s="243" t="s">
        <v>169</v>
      </c>
      <c r="D94" s="243" t="s">
        <v>270</v>
      </c>
      <c r="E94" s="244">
        <v>9025924</v>
      </c>
      <c r="F94" s="334">
        <v>46209</v>
      </c>
      <c r="G94" s="335">
        <v>9025924</v>
      </c>
      <c r="H94" s="51" t="s">
        <v>169</v>
      </c>
      <c r="I94" s="51" t="s">
        <v>270</v>
      </c>
      <c r="J94" s="51" t="s">
        <v>267</v>
      </c>
      <c r="K94" s="51" t="s">
        <v>173</v>
      </c>
    </row>
    <row r="95" spans="2:11" ht="13.2" customHeight="1">
      <c r="B95" s="242">
        <v>46210</v>
      </c>
      <c r="C95" s="243" t="s">
        <v>169</v>
      </c>
      <c r="D95" s="243" t="s">
        <v>271</v>
      </c>
      <c r="E95" s="244">
        <v>9025924</v>
      </c>
      <c r="F95" s="334">
        <v>46210</v>
      </c>
      <c r="G95" s="335">
        <v>9025924</v>
      </c>
      <c r="H95" s="51" t="s">
        <v>169</v>
      </c>
      <c r="I95" s="51" t="s">
        <v>271</v>
      </c>
      <c r="J95" s="51" t="s">
        <v>267</v>
      </c>
      <c r="K95" s="51" t="s">
        <v>173</v>
      </c>
    </row>
    <row r="96" spans="2:11" ht="13.2" customHeight="1">
      <c r="B96" s="242">
        <v>46212</v>
      </c>
      <c r="C96" s="243" t="s">
        <v>169</v>
      </c>
      <c r="D96" s="243" t="s">
        <v>272</v>
      </c>
      <c r="E96" s="244">
        <v>9025924</v>
      </c>
      <c r="F96" s="334">
        <v>46212</v>
      </c>
      <c r="G96" s="335">
        <v>9025924</v>
      </c>
      <c r="H96" s="51" t="s">
        <v>169</v>
      </c>
      <c r="I96" s="51" t="s">
        <v>272</v>
      </c>
      <c r="J96" s="51" t="s">
        <v>267</v>
      </c>
      <c r="K96" s="51" t="s">
        <v>173</v>
      </c>
    </row>
    <row r="97" spans="2:11" ht="13.2" customHeight="1">
      <c r="B97" s="242">
        <v>46214</v>
      </c>
      <c r="C97" s="243" t="s">
        <v>169</v>
      </c>
      <c r="D97" s="243" t="s">
        <v>273</v>
      </c>
      <c r="E97" s="244">
        <v>9025924</v>
      </c>
      <c r="F97" s="334">
        <v>46214</v>
      </c>
      <c r="G97" s="335">
        <v>9025924</v>
      </c>
      <c r="H97" s="51" t="s">
        <v>169</v>
      </c>
      <c r="I97" s="51" t="s">
        <v>273</v>
      </c>
      <c r="J97" s="51" t="s">
        <v>267</v>
      </c>
      <c r="K97" s="51" t="s">
        <v>173</v>
      </c>
    </row>
    <row r="98" spans="2:11" ht="13.2" customHeight="1">
      <c r="B98" s="242">
        <v>46217</v>
      </c>
      <c r="C98" s="243" t="s">
        <v>169</v>
      </c>
      <c r="D98" s="243" t="s">
        <v>274</v>
      </c>
      <c r="E98" s="244">
        <v>9025924</v>
      </c>
      <c r="F98" s="334">
        <v>46217</v>
      </c>
      <c r="G98" s="335">
        <v>9025924</v>
      </c>
      <c r="H98" s="51" t="s">
        <v>169</v>
      </c>
      <c r="I98" s="51" t="s">
        <v>274</v>
      </c>
      <c r="J98" s="51" t="s">
        <v>267</v>
      </c>
      <c r="K98" s="51" t="s">
        <v>173</v>
      </c>
    </row>
    <row r="99" spans="2:11" ht="13.2" customHeight="1">
      <c r="B99" s="242">
        <v>46218</v>
      </c>
      <c r="C99" s="243" t="s">
        <v>169</v>
      </c>
      <c r="D99" s="243" t="s">
        <v>275</v>
      </c>
      <c r="E99" s="244">
        <v>4156160</v>
      </c>
      <c r="F99" s="334">
        <v>46218</v>
      </c>
      <c r="G99" s="335">
        <v>4156160</v>
      </c>
      <c r="H99" s="51" t="s">
        <v>169</v>
      </c>
      <c r="I99" s="51" t="s">
        <v>275</v>
      </c>
      <c r="J99" s="51" t="s">
        <v>267</v>
      </c>
      <c r="K99" s="51" t="s">
        <v>173</v>
      </c>
    </row>
    <row r="100" spans="2:11" ht="13.2" customHeight="1">
      <c r="B100" s="242">
        <v>46220</v>
      </c>
      <c r="C100" s="243" t="s">
        <v>169</v>
      </c>
      <c r="D100" s="243" t="s">
        <v>276</v>
      </c>
      <c r="E100" s="244">
        <v>9025924</v>
      </c>
      <c r="F100" s="334">
        <v>46220</v>
      </c>
      <c r="G100" s="335">
        <v>9025924</v>
      </c>
      <c r="H100" s="51" t="s">
        <v>169</v>
      </c>
      <c r="I100" s="51" t="s">
        <v>276</v>
      </c>
      <c r="J100" s="51" t="s">
        <v>267</v>
      </c>
      <c r="K100" s="51" t="s">
        <v>173</v>
      </c>
    </row>
    <row r="101" spans="2:11" ht="13.2" customHeight="1">
      <c r="B101" s="242">
        <v>46222</v>
      </c>
      <c r="C101" s="243" t="s">
        <v>169</v>
      </c>
      <c r="D101" s="243" t="s">
        <v>277</v>
      </c>
      <c r="E101" s="244">
        <v>9025924</v>
      </c>
      <c r="F101" s="334">
        <v>46222</v>
      </c>
      <c r="G101" s="335">
        <v>9025924</v>
      </c>
      <c r="H101" s="51" t="s">
        <v>169</v>
      </c>
      <c r="I101" s="51" t="s">
        <v>277</v>
      </c>
      <c r="J101" s="51" t="s">
        <v>267</v>
      </c>
      <c r="K101" s="51" t="s">
        <v>173</v>
      </c>
    </row>
    <row r="102" spans="2:11" ht="13.2" customHeight="1">
      <c r="B102" s="242">
        <v>46224</v>
      </c>
      <c r="C102" s="243" t="s">
        <v>169</v>
      </c>
      <c r="D102" s="243" t="s">
        <v>278</v>
      </c>
      <c r="E102" s="244">
        <v>9025924</v>
      </c>
      <c r="F102" s="334">
        <v>46224</v>
      </c>
      <c r="G102" s="335">
        <v>9025924</v>
      </c>
      <c r="H102" s="51" t="s">
        <v>169</v>
      </c>
      <c r="I102" s="51" t="s">
        <v>278</v>
      </c>
      <c r="J102" s="51" t="s">
        <v>267</v>
      </c>
      <c r="K102" s="51" t="s">
        <v>173</v>
      </c>
    </row>
    <row r="103" spans="2:11" ht="13.2" customHeight="1">
      <c r="B103" s="242">
        <v>46225</v>
      </c>
      <c r="C103" s="243" t="s">
        <v>169</v>
      </c>
      <c r="D103" s="243" t="s">
        <v>279</v>
      </c>
      <c r="E103" s="244">
        <v>9025924</v>
      </c>
      <c r="F103" s="334">
        <v>46225</v>
      </c>
      <c r="G103" s="335">
        <v>9025924</v>
      </c>
      <c r="H103" s="51" t="s">
        <v>169</v>
      </c>
      <c r="I103" s="51" t="s">
        <v>279</v>
      </c>
      <c r="J103" s="51" t="s">
        <v>267</v>
      </c>
      <c r="K103" s="51" t="s">
        <v>173</v>
      </c>
    </row>
    <row r="104" spans="2:11" ht="13.2" customHeight="1">
      <c r="B104" s="242">
        <v>46227</v>
      </c>
      <c r="C104" s="243" t="s">
        <v>169</v>
      </c>
      <c r="D104" s="243" t="s">
        <v>280</v>
      </c>
      <c r="E104" s="244">
        <v>9025924</v>
      </c>
      <c r="F104" s="334">
        <v>46227</v>
      </c>
      <c r="G104" s="335">
        <v>9025924</v>
      </c>
      <c r="H104" s="51" t="s">
        <v>169</v>
      </c>
      <c r="I104" s="51" t="s">
        <v>280</v>
      </c>
      <c r="J104" s="51" t="s">
        <v>267</v>
      </c>
      <c r="K104" s="51" t="s">
        <v>173</v>
      </c>
    </row>
    <row r="105" spans="2:11" ht="13.2" customHeight="1">
      <c r="B105" s="242">
        <v>46229</v>
      </c>
      <c r="C105" s="243" t="s">
        <v>169</v>
      </c>
      <c r="D105" s="243" t="s">
        <v>281</v>
      </c>
      <c r="E105" s="244">
        <v>9025924</v>
      </c>
      <c r="F105" s="334">
        <v>46229</v>
      </c>
      <c r="G105" s="335">
        <v>9025924</v>
      </c>
      <c r="H105" s="51" t="s">
        <v>169</v>
      </c>
      <c r="I105" s="51" t="s">
        <v>281</v>
      </c>
      <c r="J105" s="51" t="s">
        <v>267</v>
      </c>
      <c r="K105" s="51" t="s">
        <v>173</v>
      </c>
    </row>
    <row r="106" spans="2:11" ht="13.2" customHeight="1">
      <c r="B106" s="242">
        <v>46232</v>
      </c>
      <c r="C106" s="243" t="s">
        <v>169</v>
      </c>
      <c r="D106" s="243" t="s">
        <v>282</v>
      </c>
      <c r="E106" s="244">
        <v>1162438</v>
      </c>
      <c r="F106" s="334">
        <v>46232</v>
      </c>
      <c r="G106" s="335">
        <v>1162438</v>
      </c>
      <c r="H106" s="51" t="s">
        <v>169</v>
      </c>
      <c r="I106" s="51" t="s">
        <v>282</v>
      </c>
      <c r="J106" s="51" t="s">
        <v>267</v>
      </c>
      <c r="K106" s="51" t="s">
        <v>173</v>
      </c>
    </row>
    <row r="107" spans="2:11" ht="13.2" customHeight="1">
      <c r="B107" s="242">
        <v>46232</v>
      </c>
      <c r="C107" s="243" t="s">
        <v>169</v>
      </c>
      <c r="D107" s="243" t="s">
        <v>283</v>
      </c>
      <c r="E107" s="244">
        <v>2324876</v>
      </c>
      <c r="F107" s="334">
        <v>46232</v>
      </c>
      <c r="G107" s="335">
        <v>2324876</v>
      </c>
      <c r="H107" s="51" t="s">
        <v>169</v>
      </c>
      <c r="I107" s="51" t="s">
        <v>283</v>
      </c>
      <c r="J107" s="51" t="s">
        <v>267</v>
      </c>
      <c r="K107" s="51" t="s">
        <v>173</v>
      </c>
    </row>
    <row r="108" spans="2:11" ht="13.2" customHeight="1">
      <c r="B108" s="242">
        <v>46232</v>
      </c>
      <c r="C108" s="243" t="s">
        <v>169</v>
      </c>
      <c r="D108" s="243" t="s">
        <v>284</v>
      </c>
      <c r="E108" s="244">
        <v>4649753</v>
      </c>
      <c r="F108" s="334">
        <v>46232</v>
      </c>
      <c r="G108" s="335">
        <v>4649753</v>
      </c>
      <c r="H108" s="51" t="s">
        <v>169</v>
      </c>
      <c r="I108" s="51" t="s">
        <v>284</v>
      </c>
      <c r="J108" s="51" t="s">
        <v>267</v>
      </c>
      <c r="K108" s="51" t="s">
        <v>173</v>
      </c>
    </row>
    <row r="109" spans="2:11" ht="13.2" customHeight="1">
      <c r="B109" s="242">
        <v>46232</v>
      </c>
      <c r="C109" s="243" t="s">
        <v>169</v>
      </c>
      <c r="D109" s="243" t="s">
        <v>285</v>
      </c>
      <c r="E109" s="244">
        <v>1162444</v>
      </c>
      <c r="F109" s="334">
        <v>46232</v>
      </c>
      <c r="G109" s="335">
        <v>1162444</v>
      </c>
      <c r="H109" s="51" t="s">
        <v>169</v>
      </c>
      <c r="I109" s="51" t="s">
        <v>285</v>
      </c>
      <c r="J109" s="51" t="s">
        <v>267</v>
      </c>
      <c r="K109" s="51" t="s">
        <v>173</v>
      </c>
    </row>
    <row r="110" spans="2:11" ht="13.2" customHeight="1">
      <c r="B110" s="242">
        <v>46233</v>
      </c>
      <c r="C110" s="243" t="s">
        <v>169</v>
      </c>
      <c r="D110" s="243" t="s">
        <v>286</v>
      </c>
      <c r="E110" s="244">
        <v>1130397</v>
      </c>
      <c r="F110" s="334">
        <v>46233</v>
      </c>
      <c r="G110" s="335">
        <v>1130397</v>
      </c>
      <c r="H110" s="51" t="s">
        <v>169</v>
      </c>
      <c r="I110" s="51" t="s">
        <v>286</v>
      </c>
      <c r="J110" s="51" t="s">
        <v>267</v>
      </c>
      <c r="K110" s="51" t="s">
        <v>173</v>
      </c>
    </row>
    <row r="111" spans="2:11" ht="13.2" customHeight="1">
      <c r="B111" s="242">
        <v>46233</v>
      </c>
      <c r="C111" s="243" t="s">
        <v>169</v>
      </c>
      <c r="D111" s="243" t="s">
        <v>287</v>
      </c>
      <c r="E111" s="244">
        <v>2260795</v>
      </c>
      <c r="F111" s="334">
        <v>46233</v>
      </c>
      <c r="G111" s="335">
        <v>2260795</v>
      </c>
      <c r="H111" s="51" t="s">
        <v>169</v>
      </c>
      <c r="I111" s="51" t="s">
        <v>287</v>
      </c>
      <c r="J111" s="51" t="s">
        <v>267</v>
      </c>
      <c r="K111" s="51" t="s">
        <v>173</v>
      </c>
    </row>
    <row r="112" spans="2:11" ht="13.2" customHeight="1">
      <c r="B112" s="242">
        <v>46234</v>
      </c>
      <c r="C112" s="243" t="s">
        <v>169</v>
      </c>
      <c r="D112" s="243" t="s">
        <v>288</v>
      </c>
      <c r="E112" s="244">
        <v>6120332</v>
      </c>
      <c r="F112" s="334">
        <v>46234</v>
      </c>
      <c r="G112" s="335">
        <v>6120332</v>
      </c>
      <c r="H112" s="51" t="s">
        <v>169</v>
      </c>
      <c r="I112" s="51" t="s">
        <v>288</v>
      </c>
      <c r="J112" s="51" t="s">
        <v>267</v>
      </c>
      <c r="K112" s="51" t="s">
        <v>173</v>
      </c>
    </row>
    <row r="113" spans="2:11" ht="13.2" customHeight="1">
      <c r="B113" s="248">
        <v>46204</v>
      </c>
      <c r="C113" s="249" t="s">
        <v>289</v>
      </c>
      <c r="D113" s="249" t="s">
        <v>290</v>
      </c>
      <c r="E113" s="250">
        <v>15224</v>
      </c>
      <c r="F113" s="336"/>
      <c r="G113" s="337"/>
      <c r="H113" s="9"/>
      <c r="I113" s="9"/>
      <c r="J113" s="9"/>
      <c r="K113" s="9" t="s">
        <v>291</v>
      </c>
    </row>
    <row r="114" spans="2:11" ht="13.2" customHeight="1">
      <c r="B114" s="248">
        <v>46208</v>
      </c>
      <c r="C114" s="249" t="s">
        <v>169</v>
      </c>
      <c r="D114" s="249" t="s">
        <v>292</v>
      </c>
      <c r="E114" s="250">
        <v>4255695</v>
      </c>
      <c r="F114" s="336"/>
      <c r="G114" s="337"/>
      <c r="H114" s="9"/>
      <c r="I114" s="9"/>
      <c r="J114" s="9"/>
      <c r="K114" s="9" t="s">
        <v>291</v>
      </c>
    </row>
    <row r="115" spans="2:11" ht="13.2" customHeight="1">
      <c r="B115" s="248">
        <v>46210</v>
      </c>
      <c r="C115" s="249" t="s">
        <v>169</v>
      </c>
      <c r="D115" s="249" t="s">
        <v>293</v>
      </c>
      <c r="E115" s="250">
        <v>5978921</v>
      </c>
      <c r="F115" s="336"/>
      <c r="G115" s="337"/>
      <c r="H115" s="9"/>
      <c r="I115" s="9"/>
      <c r="J115" s="9"/>
      <c r="K115" s="9" t="s">
        <v>291</v>
      </c>
    </row>
    <row r="116" spans="2:11" ht="13.2" customHeight="1">
      <c r="B116" s="248">
        <v>46212</v>
      </c>
      <c r="C116" s="249" t="s">
        <v>169</v>
      </c>
      <c r="D116" s="249" t="s">
        <v>294</v>
      </c>
      <c r="E116" s="250">
        <v>2484540</v>
      </c>
      <c r="F116" s="336"/>
      <c r="G116" s="337"/>
      <c r="H116" s="9"/>
      <c r="I116" s="9"/>
      <c r="J116" s="9"/>
      <c r="K116" s="9" t="s">
        <v>291</v>
      </c>
    </row>
    <row r="117" spans="2:11" ht="13.2" customHeight="1">
      <c r="B117" s="248">
        <v>46214</v>
      </c>
      <c r="C117" s="249" t="s">
        <v>169</v>
      </c>
      <c r="D117" s="249" t="s">
        <v>295</v>
      </c>
      <c r="E117" s="250">
        <v>4661418</v>
      </c>
      <c r="F117" s="336"/>
      <c r="G117" s="337"/>
      <c r="H117" s="9"/>
      <c r="I117" s="9"/>
      <c r="J117" s="9"/>
      <c r="K117" s="9" t="s">
        <v>291</v>
      </c>
    </row>
    <row r="118" spans="2:11" ht="13.2" customHeight="1">
      <c r="B118" s="248">
        <v>46215</v>
      </c>
      <c r="C118" s="249" t="s">
        <v>169</v>
      </c>
      <c r="D118" s="249" t="s">
        <v>296</v>
      </c>
      <c r="E118" s="250">
        <v>2098560</v>
      </c>
      <c r="F118" s="336"/>
      <c r="G118" s="337"/>
      <c r="H118" s="9"/>
      <c r="I118" s="9"/>
      <c r="J118" s="9"/>
      <c r="K118" s="9" t="s">
        <v>291</v>
      </c>
    </row>
    <row r="119" spans="2:11" ht="13.2" customHeight="1">
      <c r="B119" s="248">
        <v>46218</v>
      </c>
      <c r="C119" s="249" t="s">
        <v>169</v>
      </c>
      <c r="D119" s="249" t="s">
        <v>297</v>
      </c>
      <c r="E119" s="250">
        <v>4364019</v>
      </c>
      <c r="F119" s="336"/>
      <c r="G119" s="337"/>
      <c r="H119" s="9"/>
      <c r="I119" s="9"/>
      <c r="J119" s="9"/>
      <c r="K119" s="9" t="s">
        <v>291</v>
      </c>
    </row>
    <row r="120" spans="2:11" ht="13.2" customHeight="1">
      <c r="B120" s="248">
        <v>46219</v>
      </c>
      <c r="C120" s="249" t="s">
        <v>169</v>
      </c>
      <c r="D120" s="249" t="s">
        <v>298</v>
      </c>
      <c r="E120" s="250">
        <v>1589213</v>
      </c>
      <c r="F120" s="336"/>
      <c r="G120" s="337"/>
      <c r="H120" s="9"/>
      <c r="I120" s="9"/>
      <c r="J120" s="9"/>
      <c r="K120" s="9" t="s">
        <v>291</v>
      </c>
    </row>
    <row r="121" spans="2:11" ht="13.2" customHeight="1">
      <c r="B121" s="248">
        <v>46222</v>
      </c>
      <c r="C121" s="249" t="s">
        <v>169</v>
      </c>
      <c r="D121" s="249" t="s">
        <v>299</v>
      </c>
      <c r="E121" s="250">
        <v>3992240</v>
      </c>
      <c r="F121" s="336"/>
      <c r="G121" s="337"/>
      <c r="H121" s="9"/>
      <c r="I121" s="9"/>
      <c r="J121" s="9"/>
      <c r="K121" s="9" t="s">
        <v>291</v>
      </c>
    </row>
    <row r="122" spans="2:11" ht="13.2" customHeight="1">
      <c r="B122" s="248">
        <v>46224</v>
      </c>
      <c r="C122" s="249" t="s">
        <v>169</v>
      </c>
      <c r="D122" s="249" t="s">
        <v>300</v>
      </c>
      <c r="E122" s="250">
        <v>4329897</v>
      </c>
      <c r="F122" s="336"/>
      <c r="G122" s="337"/>
      <c r="H122" s="9"/>
      <c r="I122" s="9"/>
      <c r="J122" s="9"/>
      <c r="K122" s="9" t="s">
        <v>291</v>
      </c>
    </row>
    <row r="123" spans="2:11" ht="13.2" customHeight="1">
      <c r="B123" s="248">
        <v>46226</v>
      </c>
      <c r="C123" s="249" t="s">
        <v>169</v>
      </c>
      <c r="D123" s="249" t="s">
        <v>301</v>
      </c>
      <c r="E123" s="250">
        <v>3750387</v>
      </c>
      <c r="F123" s="336"/>
      <c r="G123" s="337"/>
      <c r="H123" s="9"/>
      <c r="I123" s="9"/>
      <c r="J123" s="9"/>
      <c r="K123" s="9" t="s">
        <v>291</v>
      </c>
    </row>
    <row r="124" spans="2:11" ht="13.2" customHeight="1">
      <c r="B124" s="248">
        <v>46227</v>
      </c>
      <c r="C124" s="249" t="s">
        <v>169</v>
      </c>
      <c r="D124" s="249" t="s">
        <v>302</v>
      </c>
      <c r="E124" s="250">
        <v>1867786</v>
      </c>
      <c r="F124" s="336"/>
      <c r="G124" s="337"/>
      <c r="H124" s="9"/>
      <c r="I124" s="9"/>
      <c r="J124" s="9"/>
      <c r="K124" s="9" t="s">
        <v>291</v>
      </c>
    </row>
    <row r="125" spans="2:11" ht="13.2" customHeight="1">
      <c r="B125" s="248">
        <v>46228</v>
      </c>
      <c r="C125" s="249" t="s">
        <v>169</v>
      </c>
      <c r="D125" s="249" t="s">
        <v>303</v>
      </c>
      <c r="E125" s="250">
        <v>1860783</v>
      </c>
      <c r="F125" s="336"/>
      <c r="G125" s="337"/>
      <c r="H125" s="9"/>
      <c r="I125" s="9"/>
      <c r="J125" s="9"/>
      <c r="K125" s="9" t="s">
        <v>291</v>
      </c>
    </row>
    <row r="126" spans="2:11" ht="13.2" customHeight="1">
      <c r="B126" s="248">
        <v>46230</v>
      </c>
      <c r="C126" s="249" t="s">
        <v>169</v>
      </c>
      <c r="D126" s="249" t="s">
        <v>304</v>
      </c>
      <c r="E126" s="250">
        <v>2062871</v>
      </c>
      <c r="F126" s="336"/>
      <c r="G126" s="337"/>
      <c r="H126" s="9"/>
      <c r="I126" s="9"/>
      <c r="J126" s="9"/>
      <c r="K126" s="9" t="s">
        <v>291</v>
      </c>
    </row>
    <row r="127" spans="2:11" ht="13.2" customHeight="1">
      <c r="B127" s="248">
        <v>46230</v>
      </c>
      <c r="C127" s="249" t="s">
        <v>169</v>
      </c>
      <c r="D127" s="249" t="s">
        <v>305</v>
      </c>
      <c r="E127" s="250">
        <v>638116</v>
      </c>
      <c r="F127" s="336"/>
      <c r="G127" s="337"/>
      <c r="H127" s="9"/>
      <c r="I127" s="9"/>
      <c r="J127" s="9"/>
      <c r="K127" s="9" t="s">
        <v>291</v>
      </c>
    </row>
    <row r="128" spans="2:11" ht="13.2" customHeight="1">
      <c r="B128" s="248">
        <v>46233</v>
      </c>
      <c r="C128" s="249" t="s">
        <v>169</v>
      </c>
      <c r="D128" s="249" t="s">
        <v>306</v>
      </c>
      <c r="E128" s="250">
        <v>4403337</v>
      </c>
      <c r="F128" s="336"/>
      <c r="G128" s="337"/>
      <c r="H128" s="9"/>
      <c r="I128" s="9"/>
      <c r="J128" s="9"/>
      <c r="K128" s="9" t="s">
        <v>291</v>
      </c>
    </row>
    <row r="129" spans="2:11" ht="13.2" customHeight="1">
      <c r="B129" s="248">
        <v>46234</v>
      </c>
      <c r="C129" s="249" t="s">
        <v>169</v>
      </c>
      <c r="D129" s="249" t="s">
        <v>307</v>
      </c>
      <c r="E129" s="250">
        <v>250468</v>
      </c>
      <c r="F129" s="336"/>
      <c r="G129" s="337"/>
      <c r="H129" s="9"/>
      <c r="I129" s="9"/>
      <c r="J129" s="9"/>
      <c r="K129" s="9" t="s">
        <v>291</v>
      </c>
    </row>
    <row r="130" spans="2:11" ht="13.2" customHeight="1">
      <c r="B130" s="248">
        <v>46234</v>
      </c>
      <c r="C130" s="249" t="s">
        <v>169</v>
      </c>
      <c r="D130" s="249" t="s">
        <v>308</v>
      </c>
      <c r="E130" s="250">
        <v>1753281</v>
      </c>
      <c r="F130" s="336"/>
      <c r="G130" s="337"/>
      <c r="H130" s="9"/>
      <c r="I130" s="9"/>
      <c r="J130" s="9"/>
      <c r="K130" s="9" t="s">
        <v>291</v>
      </c>
    </row>
    <row r="131" spans="2:11" ht="13.8" customHeight="1">
      <c r="B131" s="251"/>
      <c r="C131" s="252" t="s">
        <v>135</v>
      </c>
      <c r="D131" s="54"/>
      <c r="E131" s="253">
        <f>SUM(E24:E130) /1.1</f>
        <v>798099147.27272725</v>
      </c>
    </row>
    <row r="132" spans="2:11" ht="13.2" customHeight="1">
      <c r="B132" s="160"/>
      <c r="E132" s="160"/>
    </row>
    <row r="133" spans="2:11" ht="13.2" customHeight="1">
      <c r="B133" s="160"/>
      <c r="E133" s="160"/>
    </row>
    <row r="134" spans="2:11" ht="13.2" customHeight="1">
      <c r="B134" s="160"/>
      <c r="E134" s="160"/>
    </row>
    <row r="135" spans="2:11" ht="13.2" customHeight="1">
      <c r="B135" s="160"/>
      <c r="E135" s="160"/>
    </row>
    <row r="136" spans="2:11" ht="13.2" customHeight="1">
      <c r="B136" s="160"/>
      <c r="E136" s="160"/>
    </row>
    <row r="137" spans="2:11" ht="13.2" customHeight="1">
      <c r="B137" s="160"/>
      <c r="E137" s="160"/>
    </row>
    <row r="138" spans="2:11" ht="13.2" customHeight="1">
      <c r="B138" s="160"/>
      <c r="E138" s="160"/>
    </row>
    <row r="139" spans="2:11" ht="13.2" customHeight="1">
      <c r="B139" s="160"/>
      <c r="E139" s="160"/>
    </row>
    <row r="140" spans="2:11" ht="13.2" customHeight="1">
      <c r="B140" s="160"/>
      <c r="E140" s="160"/>
    </row>
    <row r="141" spans="2:11" ht="13.2" customHeight="1">
      <c r="B141" s="160"/>
      <c r="E141" s="160"/>
    </row>
    <row r="142" spans="2:11" ht="13.2" customHeight="1">
      <c r="B142" s="160"/>
      <c r="E142" s="160"/>
    </row>
    <row r="143" spans="2:11" ht="13.2" customHeight="1">
      <c r="B143" s="160"/>
      <c r="E143" s="160"/>
    </row>
    <row r="144" spans="2:11" ht="13.2" customHeight="1">
      <c r="B144" s="160"/>
      <c r="E144" s="160"/>
    </row>
    <row r="145" spans="2:5" ht="13.2" customHeight="1">
      <c r="B145" s="160"/>
      <c r="E145" s="160"/>
    </row>
    <row r="146" spans="2:5" ht="13.2" customHeight="1">
      <c r="B146" s="160"/>
      <c r="E146" s="160"/>
    </row>
    <row r="147" spans="2:5" ht="13.2" customHeight="1">
      <c r="B147" s="160"/>
      <c r="E147" s="160"/>
    </row>
    <row r="148" spans="2:5" ht="13.2" customHeight="1">
      <c r="B148" s="160"/>
      <c r="E148" s="160"/>
    </row>
    <row r="149" spans="2:5" ht="13.2" customHeight="1">
      <c r="B149" s="160"/>
      <c r="E149" s="160"/>
    </row>
    <row r="150" spans="2:5" ht="13.2" customHeight="1">
      <c r="B150" s="160"/>
      <c r="E150" s="160"/>
    </row>
    <row r="151" spans="2:5" ht="13.2" customHeight="1">
      <c r="B151" s="160"/>
      <c r="E151" s="160"/>
    </row>
    <row r="152" spans="2:5" ht="13.2" customHeight="1">
      <c r="B152" s="160"/>
      <c r="E152" s="160"/>
    </row>
    <row r="153" spans="2:5" ht="13.2" customHeight="1">
      <c r="B153" s="160"/>
      <c r="E153" s="160"/>
    </row>
    <row r="154" spans="2:5" ht="13.2" customHeight="1">
      <c r="B154" s="160"/>
      <c r="E154" s="160"/>
    </row>
    <row r="155" spans="2:5" ht="13.2" customHeight="1">
      <c r="B155" s="160"/>
      <c r="E155" s="160"/>
    </row>
    <row r="156" spans="2:5" ht="13.2" customHeight="1">
      <c r="B156" s="160"/>
      <c r="E156" s="160"/>
    </row>
    <row r="157" spans="2:5" ht="13.2" customHeight="1">
      <c r="B157" s="160"/>
      <c r="E157" s="160"/>
    </row>
    <row r="158" spans="2:5" ht="13.2" customHeight="1">
      <c r="B158" s="160"/>
      <c r="E158" s="160"/>
    </row>
    <row r="159" spans="2:5" ht="13.2" customHeight="1">
      <c r="B159" s="160"/>
      <c r="E159" s="160"/>
    </row>
    <row r="160" spans="2:5" ht="13.2" customHeight="1">
      <c r="B160" s="160"/>
      <c r="E160" s="160"/>
    </row>
    <row r="161" spans="2:5" ht="13.2" customHeight="1">
      <c r="B161" s="160"/>
      <c r="E161" s="160"/>
    </row>
    <row r="162" spans="2:5" ht="13.2" customHeight="1">
      <c r="B162" s="160"/>
      <c r="E162" s="160"/>
    </row>
    <row r="163" spans="2:5" ht="13.2" customHeight="1">
      <c r="B163" s="160"/>
      <c r="E163" s="160"/>
    </row>
    <row r="164" spans="2:5" ht="13.2" customHeight="1">
      <c r="B164" s="160"/>
      <c r="E164" s="160"/>
    </row>
    <row r="165" spans="2:5" ht="13.2" customHeight="1">
      <c r="B165" s="160"/>
      <c r="E165" s="160"/>
    </row>
    <row r="166" spans="2:5" ht="13.2" customHeight="1">
      <c r="B166" s="160"/>
      <c r="E166" s="160"/>
    </row>
    <row r="167" spans="2:5" ht="13.2" customHeight="1">
      <c r="B167" s="160"/>
      <c r="E167" s="160"/>
    </row>
    <row r="168" spans="2:5" ht="13.2" customHeight="1">
      <c r="B168" s="160"/>
      <c r="E168" s="160"/>
    </row>
    <row r="169" spans="2:5" ht="13.2" customHeight="1">
      <c r="B169" s="160"/>
      <c r="E169" s="160"/>
    </row>
    <row r="170" spans="2:5" ht="13.2" customHeight="1">
      <c r="B170" s="160"/>
      <c r="E170" s="160"/>
    </row>
    <row r="171" spans="2:5" ht="13.2" customHeight="1">
      <c r="B171" s="160"/>
      <c r="E171" s="160"/>
    </row>
    <row r="172" spans="2:5" ht="13.2" customHeight="1">
      <c r="B172" s="160"/>
      <c r="E172" s="160"/>
    </row>
    <row r="173" spans="2:5" ht="13.2" customHeight="1">
      <c r="B173" s="160"/>
      <c r="E173" s="160"/>
    </row>
    <row r="174" spans="2:5" ht="13.2" customHeight="1">
      <c r="B174" s="160"/>
      <c r="E174" s="160"/>
    </row>
    <row r="175" spans="2:5" ht="13.2" customHeight="1">
      <c r="B175" s="160"/>
      <c r="E175" s="160"/>
    </row>
    <row r="176" spans="2:5" ht="13.2" customHeight="1">
      <c r="B176" s="160"/>
      <c r="E176" s="160"/>
    </row>
    <row r="177" spans="2:5" ht="13.2" customHeight="1">
      <c r="B177" s="160"/>
      <c r="E177" s="160"/>
    </row>
    <row r="178" spans="2:5" ht="13.2" customHeight="1">
      <c r="B178" s="160"/>
      <c r="E178" s="160"/>
    </row>
    <row r="179" spans="2:5" ht="13.2" customHeight="1">
      <c r="B179" s="160"/>
      <c r="E179" s="160"/>
    </row>
    <row r="180" spans="2:5" ht="13.2" customHeight="1">
      <c r="B180" s="160"/>
      <c r="E180" s="160"/>
    </row>
    <row r="181" spans="2:5" ht="13.2" customHeight="1">
      <c r="B181" s="160"/>
      <c r="E181" s="160"/>
    </row>
    <row r="182" spans="2:5" ht="13.2" customHeight="1">
      <c r="B182" s="160"/>
      <c r="E182" s="160"/>
    </row>
    <row r="183" spans="2:5" ht="13.2" customHeight="1">
      <c r="B183" s="160"/>
      <c r="E183" s="160"/>
    </row>
    <row r="184" spans="2:5" ht="13.2" customHeight="1">
      <c r="B184" s="160"/>
      <c r="E184" s="160"/>
    </row>
    <row r="185" spans="2:5" ht="13.2" customHeight="1">
      <c r="B185" s="160"/>
      <c r="E185" s="160"/>
    </row>
    <row r="186" spans="2:5" ht="13.2" customHeight="1">
      <c r="B186" s="160"/>
      <c r="E186" s="160"/>
    </row>
    <row r="187" spans="2:5" ht="13.2" customHeight="1">
      <c r="B187" s="160"/>
      <c r="E187" s="160"/>
    </row>
    <row r="188" spans="2:5" ht="13.2" customHeight="1">
      <c r="B188" s="160"/>
      <c r="E188" s="160"/>
    </row>
    <row r="189" spans="2:5" ht="13.2" customHeight="1">
      <c r="B189" s="160"/>
      <c r="E189" s="160"/>
    </row>
    <row r="190" spans="2:5" ht="13.2" customHeight="1">
      <c r="B190" s="160"/>
      <c r="E190" s="160"/>
    </row>
    <row r="191" spans="2:5" ht="13.2" customHeight="1">
      <c r="B191" s="160"/>
      <c r="E191" s="160"/>
    </row>
    <row r="192" spans="2:5" ht="13.2" customHeight="1">
      <c r="B192" s="160"/>
      <c r="E192" s="160"/>
    </row>
    <row r="193" spans="2:5" ht="13.2" customHeight="1">
      <c r="B193" s="160"/>
      <c r="E193" s="160"/>
    </row>
    <row r="194" spans="2:5" ht="13.2" customHeight="1">
      <c r="B194" s="160"/>
      <c r="E194" s="160"/>
    </row>
    <row r="195" spans="2:5" ht="13.2" customHeight="1">
      <c r="B195" s="160"/>
      <c r="E195" s="160"/>
    </row>
    <row r="196" spans="2:5" ht="13.2" customHeight="1">
      <c r="B196" s="160"/>
      <c r="E196" s="160"/>
    </row>
    <row r="197" spans="2:5" ht="13.2" customHeight="1">
      <c r="B197" s="160"/>
      <c r="E197" s="160"/>
    </row>
    <row r="198" spans="2:5" ht="13.2" customHeight="1">
      <c r="B198" s="160"/>
      <c r="E198" s="160"/>
    </row>
    <row r="199" spans="2:5" ht="13.2" customHeight="1">
      <c r="B199" s="160"/>
      <c r="E199" s="160"/>
    </row>
    <row r="200" spans="2:5" ht="13.2" customHeight="1">
      <c r="B200" s="160"/>
      <c r="E200" s="160"/>
    </row>
    <row r="201" spans="2:5" ht="13.2" customHeight="1">
      <c r="B201" s="160"/>
      <c r="E201" s="160"/>
    </row>
    <row r="202" spans="2:5" ht="13.2" customHeight="1">
      <c r="B202" s="160"/>
      <c r="E202" s="160"/>
    </row>
    <row r="203" spans="2:5" ht="13.2" customHeight="1">
      <c r="B203" s="160"/>
      <c r="E203" s="160"/>
    </row>
    <row r="204" spans="2:5" ht="13.2" customHeight="1">
      <c r="B204" s="160"/>
      <c r="E204" s="160"/>
    </row>
    <row r="205" spans="2:5" ht="13.2" customHeight="1">
      <c r="B205" s="160"/>
      <c r="E205" s="160"/>
    </row>
    <row r="206" spans="2:5" ht="13.2" customHeight="1">
      <c r="B206" s="160"/>
      <c r="E206" s="160"/>
    </row>
    <row r="207" spans="2:5" ht="13.2" customHeight="1">
      <c r="B207" s="160"/>
      <c r="E207" s="160"/>
    </row>
    <row r="208" spans="2:5" ht="13.2" customHeight="1">
      <c r="B208" s="160"/>
      <c r="E208" s="160"/>
    </row>
    <row r="209" spans="2:5" ht="13.2" customHeight="1">
      <c r="B209" s="160"/>
      <c r="E209" s="160"/>
    </row>
    <row r="210" spans="2:5" ht="13.2" customHeight="1">
      <c r="B210" s="160"/>
      <c r="E210" s="160"/>
    </row>
    <row r="211" spans="2:5" ht="13.2" customHeight="1">
      <c r="B211" s="160"/>
      <c r="E211" s="160"/>
    </row>
    <row r="212" spans="2:5" ht="13.2" customHeight="1">
      <c r="B212" s="160"/>
      <c r="E212" s="160"/>
    </row>
    <row r="213" spans="2:5" ht="13.2" customHeight="1">
      <c r="B213" s="160"/>
      <c r="E213" s="160"/>
    </row>
    <row r="214" spans="2:5" ht="13.2" customHeight="1">
      <c r="B214" s="160"/>
      <c r="E214" s="160"/>
    </row>
    <row r="215" spans="2:5" ht="13.2" customHeight="1">
      <c r="B215" s="160"/>
      <c r="E215" s="160"/>
    </row>
    <row r="216" spans="2:5" ht="13.2" customHeight="1">
      <c r="B216" s="160"/>
      <c r="E216" s="160"/>
    </row>
    <row r="217" spans="2:5" ht="13.2" customHeight="1">
      <c r="B217" s="160"/>
      <c r="E217" s="160"/>
    </row>
    <row r="218" spans="2:5" ht="13.2" customHeight="1">
      <c r="B218" s="160"/>
      <c r="E218" s="160"/>
    </row>
    <row r="219" spans="2:5" ht="13.2" customHeight="1">
      <c r="B219" s="160"/>
      <c r="E219" s="160"/>
    </row>
    <row r="220" spans="2:5" ht="13.2" customHeight="1">
      <c r="B220" s="160"/>
      <c r="E220" s="160"/>
    </row>
    <row r="221" spans="2:5" ht="13.2" customHeight="1">
      <c r="B221" s="160"/>
      <c r="E221" s="160"/>
    </row>
    <row r="222" spans="2:5" ht="13.2" customHeight="1">
      <c r="B222" s="160"/>
      <c r="E222" s="160"/>
    </row>
    <row r="223" spans="2:5" ht="13.2" customHeight="1">
      <c r="B223" s="160"/>
      <c r="E223" s="160"/>
    </row>
    <row r="224" spans="2:5" ht="13.2" customHeight="1">
      <c r="B224" s="160"/>
      <c r="E224" s="160"/>
    </row>
    <row r="225" spans="2:5" ht="13.2" customHeight="1">
      <c r="B225" s="160"/>
      <c r="E225" s="160"/>
    </row>
    <row r="226" spans="2:5" ht="13.2" customHeight="1">
      <c r="B226" s="160"/>
      <c r="E226" s="160"/>
    </row>
    <row r="227" spans="2:5" ht="13.2" customHeight="1">
      <c r="B227" s="160"/>
      <c r="E227" s="160"/>
    </row>
    <row r="228" spans="2:5" ht="13.2" customHeight="1">
      <c r="B228" s="160"/>
      <c r="E228" s="160"/>
    </row>
    <row r="229" spans="2:5" ht="13.2" customHeight="1">
      <c r="B229" s="160"/>
      <c r="E229" s="160"/>
    </row>
    <row r="230" spans="2:5" ht="13.2" customHeight="1">
      <c r="B230" s="160"/>
      <c r="E230" s="160"/>
    </row>
    <row r="231" spans="2:5" ht="13.2" customHeight="1">
      <c r="B231" s="160"/>
      <c r="E231" s="160"/>
    </row>
    <row r="232" spans="2:5" ht="13.2" customHeight="1">
      <c r="B232" s="160"/>
      <c r="E232" s="160"/>
    </row>
    <row r="233" spans="2:5" ht="13.2" customHeight="1">
      <c r="B233" s="160"/>
      <c r="E233" s="160"/>
    </row>
    <row r="234" spans="2:5" ht="13.2" customHeight="1">
      <c r="B234" s="160"/>
      <c r="E234" s="160"/>
    </row>
    <row r="235" spans="2:5" ht="13.2" customHeight="1">
      <c r="B235" s="160"/>
      <c r="E235" s="160"/>
    </row>
    <row r="236" spans="2:5" ht="13.2" customHeight="1">
      <c r="B236" s="160"/>
      <c r="E236" s="160"/>
    </row>
    <row r="237" spans="2:5" ht="13.2" customHeight="1">
      <c r="B237" s="160"/>
      <c r="E237" s="160"/>
    </row>
    <row r="238" spans="2:5" ht="13.2" customHeight="1">
      <c r="B238" s="160"/>
      <c r="E238" s="160"/>
    </row>
    <row r="239" spans="2:5" ht="13.2" customHeight="1">
      <c r="B239" s="160"/>
      <c r="E239" s="160"/>
    </row>
    <row r="240" spans="2:5" ht="13.2" customHeight="1">
      <c r="B240" s="160"/>
      <c r="E240" s="160"/>
    </row>
    <row r="241" spans="2:5" ht="13.2" customHeight="1">
      <c r="B241" s="160"/>
      <c r="E241" s="160"/>
    </row>
    <row r="242" spans="2:5" ht="13.2" customHeight="1">
      <c r="B242" s="160"/>
      <c r="E242" s="160"/>
    </row>
    <row r="243" spans="2:5" ht="13.2" customHeight="1">
      <c r="B243" s="160"/>
      <c r="E243" s="160"/>
    </row>
    <row r="244" spans="2:5" ht="13.2" customHeight="1">
      <c r="B244" s="160"/>
      <c r="E244" s="160"/>
    </row>
    <row r="245" spans="2:5" ht="13.2" customHeight="1">
      <c r="B245" s="160"/>
      <c r="E245" s="160"/>
    </row>
    <row r="246" spans="2:5" ht="13.2" customHeight="1">
      <c r="B246" s="160"/>
      <c r="E246" s="160"/>
    </row>
    <row r="247" spans="2:5" ht="13.2" customHeight="1">
      <c r="B247" s="160"/>
      <c r="E247" s="160"/>
    </row>
    <row r="248" spans="2:5" ht="13.2" customHeight="1">
      <c r="B248" s="160"/>
      <c r="E248" s="160"/>
    </row>
    <row r="249" spans="2:5" ht="13.2" customHeight="1">
      <c r="B249" s="160"/>
      <c r="E249" s="160"/>
    </row>
    <row r="250" spans="2:5" ht="13.2" customHeight="1">
      <c r="B250" s="160"/>
      <c r="E250" s="160"/>
    </row>
    <row r="251" spans="2:5" ht="13.2" customHeight="1">
      <c r="B251" s="160"/>
      <c r="E251" s="160"/>
    </row>
    <row r="252" spans="2:5" ht="13.2" customHeight="1">
      <c r="B252" s="160"/>
      <c r="E252" s="160"/>
    </row>
    <row r="253" spans="2:5" ht="13.2" customHeight="1">
      <c r="B253" s="160"/>
      <c r="E253" s="160"/>
    </row>
    <row r="254" spans="2:5" ht="13.2" customHeight="1">
      <c r="B254" s="160"/>
      <c r="E254" s="160"/>
    </row>
    <row r="255" spans="2:5" ht="13.2" customHeight="1">
      <c r="B255" s="160"/>
      <c r="E255" s="160"/>
    </row>
    <row r="256" spans="2:5" ht="13.2" customHeight="1">
      <c r="B256" s="160"/>
      <c r="E256" s="160"/>
    </row>
    <row r="257" spans="2:5" ht="13.2" customHeight="1">
      <c r="B257" s="160"/>
      <c r="E257" s="160"/>
    </row>
    <row r="258" spans="2:5" ht="13.2" customHeight="1">
      <c r="B258" s="160"/>
      <c r="E258" s="160"/>
    </row>
    <row r="259" spans="2:5" ht="13.2" customHeight="1">
      <c r="B259" s="160"/>
      <c r="E259" s="160"/>
    </row>
    <row r="260" spans="2:5" ht="13.2" customHeight="1">
      <c r="B260" s="160"/>
      <c r="E260" s="160"/>
    </row>
    <row r="261" spans="2:5" ht="13.2" customHeight="1">
      <c r="B261" s="160"/>
      <c r="E261" s="160"/>
    </row>
    <row r="262" spans="2:5" ht="13.2" customHeight="1">
      <c r="B262" s="160"/>
      <c r="E262" s="160"/>
    </row>
    <row r="263" spans="2:5" ht="13.2" customHeight="1">
      <c r="B263" s="160"/>
      <c r="E263" s="160"/>
    </row>
    <row r="264" spans="2:5" ht="13.2" customHeight="1">
      <c r="B264" s="160"/>
      <c r="E264" s="160"/>
    </row>
    <row r="265" spans="2:5" ht="13.2" customHeight="1">
      <c r="B265" s="160"/>
      <c r="E265" s="160"/>
    </row>
    <row r="266" spans="2:5" ht="13.2" customHeight="1">
      <c r="B266" s="160"/>
      <c r="E266" s="160"/>
    </row>
    <row r="267" spans="2:5" ht="13.2" customHeight="1">
      <c r="B267" s="160"/>
      <c r="E267" s="160"/>
    </row>
    <row r="268" spans="2:5" ht="13.2" customHeight="1">
      <c r="B268" s="160"/>
      <c r="E268" s="160"/>
    </row>
    <row r="269" spans="2:5" ht="13.2" customHeight="1">
      <c r="B269" s="160"/>
      <c r="E269" s="160"/>
    </row>
    <row r="270" spans="2:5" ht="13.2" customHeight="1">
      <c r="B270" s="160"/>
      <c r="E270" s="160"/>
    </row>
    <row r="271" spans="2:5" ht="13.2" customHeight="1">
      <c r="B271" s="160"/>
      <c r="E271" s="160"/>
    </row>
    <row r="272" spans="2:5" ht="13.2" customHeight="1">
      <c r="B272" s="160"/>
      <c r="E272" s="160"/>
    </row>
    <row r="273" spans="2:5" ht="13.2" customHeight="1">
      <c r="B273" s="160"/>
      <c r="E273" s="160"/>
    </row>
    <row r="274" spans="2:5" ht="13.2" customHeight="1">
      <c r="B274" s="160"/>
      <c r="E274" s="160"/>
    </row>
    <row r="275" spans="2:5" ht="13.2" customHeight="1">
      <c r="B275" s="160"/>
      <c r="E275" s="160"/>
    </row>
    <row r="276" spans="2:5" ht="13.2" customHeight="1">
      <c r="B276" s="160"/>
      <c r="E276" s="160"/>
    </row>
    <row r="277" spans="2:5" ht="13.2" customHeight="1">
      <c r="B277" s="160"/>
      <c r="E277" s="160"/>
    </row>
    <row r="278" spans="2:5" ht="13.2" customHeight="1">
      <c r="B278" s="160"/>
      <c r="E278" s="160"/>
    </row>
    <row r="279" spans="2:5" ht="13.2" customHeight="1">
      <c r="B279" s="160"/>
      <c r="E279" s="160"/>
    </row>
    <row r="280" spans="2:5" ht="13.2" customHeight="1">
      <c r="B280" s="160"/>
      <c r="E280" s="160"/>
    </row>
    <row r="281" spans="2:5" ht="13.2" customHeight="1">
      <c r="B281" s="160"/>
      <c r="E281" s="160"/>
    </row>
    <row r="282" spans="2:5" ht="13.2" customHeight="1">
      <c r="B282" s="160"/>
      <c r="E282" s="160"/>
    </row>
    <row r="283" spans="2:5" ht="13.2" customHeight="1">
      <c r="B283" s="160"/>
      <c r="E283" s="160"/>
    </row>
    <row r="284" spans="2:5" ht="13.2" customHeight="1">
      <c r="B284" s="160"/>
      <c r="E284" s="160"/>
    </row>
    <row r="285" spans="2:5" ht="13.2" customHeight="1">
      <c r="B285" s="160"/>
      <c r="E285" s="160"/>
    </row>
    <row r="286" spans="2:5" ht="13.2" customHeight="1">
      <c r="B286" s="160"/>
      <c r="E286" s="160"/>
    </row>
    <row r="287" spans="2:5" ht="13.2" customHeight="1">
      <c r="B287" s="160"/>
      <c r="E287" s="160"/>
    </row>
    <row r="288" spans="2:5" ht="13.2" customHeight="1">
      <c r="B288" s="160"/>
      <c r="E288" s="160"/>
    </row>
    <row r="289" spans="2:5" ht="13.2" customHeight="1">
      <c r="B289" s="160"/>
      <c r="E289" s="160"/>
    </row>
    <row r="290" spans="2:5" ht="13.2" customHeight="1">
      <c r="B290" s="160"/>
      <c r="E290" s="160"/>
    </row>
    <row r="291" spans="2:5" ht="13.2" customHeight="1">
      <c r="B291" s="160"/>
      <c r="E291" s="160"/>
    </row>
    <row r="292" spans="2:5" ht="13.2" customHeight="1">
      <c r="B292" s="160"/>
      <c r="E292" s="160"/>
    </row>
    <row r="293" spans="2:5" ht="13.2" customHeight="1">
      <c r="B293" s="160"/>
      <c r="E293" s="160"/>
    </row>
    <row r="294" spans="2:5" ht="13.2" customHeight="1">
      <c r="B294" s="160"/>
      <c r="E294" s="160"/>
    </row>
    <row r="295" spans="2:5" ht="13.2" customHeight="1">
      <c r="B295" s="160"/>
      <c r="E295" s="160"/>
    </row>
    <row r="296" spans="2:5" ht="13.2" customHeight="1">
      <c r="B296" s="160"/>
      <c r="E296" s="160"/>
    </row>
    <row r="297" spans="2:5" ht="13.2" customHeight="1">
      <c r="B297" s="160"/>
      <c r="E297" s="160"/>
    </row>
    <row r="298" spans="2:5" ht="13.2" customHeight="1">
      <c r="B298" s="160"/>
      <c r="E298" s="160"/>
    </row>
    <row r="299" spans="2:5" ht="13.2" customHeight="1">
      <c r="B299" s="160"/>
      <c r="E299" s="160"/>
    </row>
    <row r="300" spans="2:5" ht="13.2" customHeight="1">
      <c r="B300" s="160"/>
      <c r="E300" s="160"/>
    </row>
    <row r="301" spans="2:5" ht="13.2" customHeight="1">
      <c r="B301" s="160"/>
      <c r="E301" s="160"/>
    </row>
    <row r="302" spans="2:5" ht="13.2" customHeight="1">
      <c r="B302" s="160"/>
      <c r="E302" s="160"/>
    </row>
    <row r="303" spans="2:5" ht="13.2" customHeight="1">
      <c r="B303" s="160"/>
      <c r="E303" s="160"/>
    </row>
    <row r="304" spans="2:5" ht="13.2" customHeight="1">
      <c r="B304" s="160"/>
      <c r="E304" s="160"/>
    </row>
    <row r="305" spans="2:5" ht="13.2" customHeight="1">
      <c r="B305" s="160"/>
      <c r="E305" s="160"/>
    </row>
    <row r="306" spans="2:5" ht="13.2" customHeight="1">
      <c r="B306" s="160"/>
      <c r="E306" s="160"/>
    </row>
    <row r="307" spans="2:5" ht="13.2" customHeight="1">
      <c r="B307" s="160"/>
      <c r="E307" s="160"/>
    </row>
    <row r="308" spans="2:5" ht="13.2" customHeight="1">
      <c r="B308" s="160"/>
      <c r="E308" s="160"/>
    </row>
    <row r="309" spans="2:5" ht="13.2" customHeight="1">
      <c r="B309" s="160"/>
      <c r="E309" s="160"/>
    </row>
    <row r="310" spans="2:5" ht="13.2" customHeight="1">
      <c r="B310" s="160"/>
      <c r="E310" s="160"/>
    </row>
    <row r="311" spans="2:5" ht="13.2" customHeight="1">
      <c r="B311" s="160"/>
      <c r="E311" s="160"/>
    </row>
    <row r="312" spans="2:5" ht="13.2" customHeight="1">
      <c r="B312" s="160"/>
      <c r="E312" s="160"/>
    </row>
    <row r="313" spans="2:5" ht="13.2" customHeight="1">
      <c r="B313" s="160"/>
      <c r="E313" s="160"/>
    </row>
    <row r="314" spans="2:5" ht="13.2" customHeight="1">
      <c r="B314" s="160"/>
      <c r="E314" s="160"/>
    </row>
    <row r="315" spans="2:5" ht="13.2" customHeight="1">
      <c r="B315" s="160"/>
      <c r="E315" s="160"/>
    </row>
    <row r="316" spans="2:5" ht="13.2" customHeight="1">
      <c r="B316" s="160"/>
      <c r="E316" s="160"/>
    </row>
    <row r="317" spans="2:5" ht="13.2" customHeight="1">
      <c r="B317" s="160"/>
      <c r="E317" s="160"/>
    </row>
    <row r="318" spans="2:5" ht="13.2" customHeight="1">
      <c r="B318" s="160"/>
      <c r="E318" s="160"/>
    </row>
    <row r="319" spans="2:5" ht="13.2" customHeight="1">
      <c r="B319" s="160"/>
      <c r="E319" s="160"/>
    </row>
    <row r="320" spans="2:5" ht="13.2" customHeight="1">
      <c r="B320" s="160"/>
      <c r="E320" s="160"/>
    </row>
    <row r="321" spans="2:5" ht="13.2" customHeight="1">
      <c r="B321" s="160"/>
      <c r="E321" s="160"/>
    </row>
    <row r="322" spans="2:5" ht="13.2" customHeight="1">
      <c r="B322" s="160"/>
      <c r="E322" s="160"/>
    </row>
    <row r="323" spans="2:5" ht="13.2" customHeight="1">
      <c r="B323" s="160"/>
      <c r="E323" s="160"/>
    </row>
    <row r="324" spans="2:5" ht="13.2" customHeight="1">
      <c r="B324" s="160"/>
      <c r="E324" s="160"/>
    </row>
    <row r="325" spans="2:5" ht="13.2" customHeight="1">
      <c r="B325" s="160"/>
      <c r="E325" s="160"/>
    </row>
    <row r="326" spans="2:5" ht="13.2" customHeight="1">
      <c r="B326" s="160"/>
      <c r="E326" s="160"/>
    </row>
    <row r="327" spans="2:5" ht="13.2" customHeight="1">
      <c r="B327" s="160"/>
      <c r="E327" s="160"/>
    </row>
    <row r="328" spans="2:5" ht="13.2" customHeight="1">
      <c r="B328" s="160"/>
      <c r="E328" s="160"/>
    </row>
    <row r="329" spans="2:5" ht="13.2" customHeight="1">
      <c r="B329" s="160"/>
      <c r="E329" s="160"/>
    </row>
    <row r="330" spans="2:5" ht="13.2" customHeight="1">
      <c r="B330" s="160"/>
      <c r="E330" s="160"/>
    </row>
    <row r="331" spans="2:5" ht="13.2" customHeight="1">
      <c r="B331" s="160"/>
      <c r="E331" s="160"/>
    </row>
    <row r="332" spans="2:5" ht="13.2" customHeight="1">
      <c r="B332" s="160"/>
      <c r="E332" s="160"/>
    </row>
    <row r="333" spans="2:5" ht="13.2" customHeight="1">
      <c r="B333" s="160"/>
      <c r="E333" s="160"/>
    </row>
    <row r="334" spans="2:5" ht="13.2" customHeight="1">
      <c r="B334" s="160"/>
      <c r="E334" s="160"/>
    </row>
    <row r="335" spans="2:5" ht="13.2" customHeight="1">
      <c r="B335" s="160"/>
      <c r="E335" s="160"/>
    </row>
    <row r="336" spans="2:5" ht="13.2" customHeight="1">
      <c r="B336" s="160"/>
      <c r="E336" s="160"/>
    </row>
    <row r="337" spans="2:5" ht="13.2" customHeight="1">
      <c r="B337" s="160"/>
      <c r="E337" s="160"/>
    </row>
    <row r="338" spans="2:5" ht="13.2" customHeight="1">
      <c r="B338" s="160"/>
      <c r="E338" s="160"/>
    </row>
    <row r="339" spans="2:5" ht="13.2" customHeight="1">
      <c r="B339" s="160"/>
      <c r="E339" s="160"/>
    </row>
    <row r="340" spans="2:5" ht="13.2" customHeight="1">
      <c r="B340" s="160"/>
      <c r="E340" s="160"/>
    </row>
    <row r="341" spans="2:5" ht="13.2" customHeight="1">
      <c r="B341" s="160"/>
      <c r="E341" s="160"/>
    </row>
    <row r="342" spans="2:5" ht="13.2" customHeight="1">
      <c r="B342" s="160"/>
      <c r="E342" s="160"/>
    </row>
    <row r="343" spans="2:5" ht="13.2" customHeight="1">
      <c r="B343" s="160"/>
      <c r="E343" s="160"/>
    </row>
    <row r="344" spans="2:5" ht="13.2" customHeight="1">
      <c r="B344" s="160"/>
      <c r="E344" s="160"/>
    </row>
    <row r="345" spans="2:5" ht="13.2" customHeight="1">
      <c r="B345" s="160"/>
      <c r="E345" s="160"/>
    </row>
    <row r="346" spans="2:5" ht="13.2" customHeight="1">
      <c r="B346" s="160"/>
      <c r="E346" s="160"/>
    </row>
    <row r="347" spans="2:5" ht="13.2" customHeight="1">
      <c r="B347" s="160"/>
      <c r="E347" s="160"/>
    </row>
    <row r="348" spans="2:5" ht="13.2" customHeight="1">
      <c r="B348" s="160"/>
      <c r="E348" s="160"/>
    </row>
    <row r="349" spans="2:5" ht="13.2" customHeight="1">
      <c r="B349" s="160"/>
      <c r="E349" s="160"/>
    </row>
    <row r="350" spans="2:5" ht="13.2" customHeight="1">
      <c r="B350" s="160"/>
      <c r="E350" s="160"/>
    </row>
    <row r="351" spans="2:5" ht="13.2" customHeight="1">
      <c r="B351" s="160"/>
      <c r="E351" s="160"/>
    </row>
    <row r="352" spans="2:5" ht="13.2" customHeight="1">
      <c r="B352" s="160"/>
      <c r="E352" s="160"/>
    </row>
    <row r="353" spans="2:5" ht="13.2" customHeight="1">
      <c r="B353" s="160"/>
      <c r="E353" s="160"/>
    </row>
    <row r="354" spans="2:5" ht="13.2" customHeight="1">
      <c r="B354" s="160"/>
      <c r="E354" s="160"/>
    </row>
    <row r="355" spans="2:5" ht="13.2" customHeight="1">
      <c r="B355" s="160"/>
      <c r="E355" s="160"/>
    </row>
    <row r="356" spans="2:5" ht="13.2" customHeight="1">
      <c r="B356" s="160"/>
      <c r="E356" s="160"/>
    </row>
    <row r="357" spans="2:5" ht="13.2" customHeight="1">
      <c r="B357" s="160"/>
      <c r="E357" s="160"/>
    </row>
    <row r="358" spans="2:5" ht="13.2" customHeight="1">
      <c r="B358" s="160"/>
      <c r="E358" s="160"/>
    </row>
    <row r="359" spans="2:5" ht="13.2" customHeight="1">
      <c r="B359" s="160"/>
      <c r="E359" s="160"/>
    </row>
    <row r="360" spans="2:5" ht="13.2" customHeight="1">
      <c r="B360" s="160"/>
      <c r="E360" s="160"/>
    </row>
    <row r="361" spans="2:5" ht="13.2" customHeight="1">
      <c r="B361" s="160"/>
      <c r="E361" s="160"/>
    </row>
    <row r="362" spans="2:5" ht="13.2" customHeight="1">
      <c r="B362" s="160"/>
      <c r="E362" s="160"/>
    </row>
    <row r="363" spans="2:5" ht="13.2" customHeight="1">
      <c r="B363" s="160"/>
      <c r="E363" s="160"/>
    </row>
    <row r="364" spans="2:5" ht="13.2" customHeight="1">
      <c r="B364" s="160"/>
      <c r="E364" s="160"/>
    </row>
    <row r="365" spans="2:5" ht="13.2" customHeight="1">
      <c r="B365" s="160"/>
      <c r="E365" s="160"/>
    </row>
    <row r="366" spans="2:5" ht="13.2" customHeight="1">
      <c r="B366" s="160"/>
      <c r="E366" s="160"/>
    </row>
    <row r="367" spans="2:5" ht="13.2" customHeight="1">
      <c r="B367" s="160"/>
      <c r="E367" s="160"/>
    </row>
    <row r="368" spans="2:5" ht="13.2" customHeight="1">
      <c r="B368" s="160"/>
      <c r="E368" s="160"/>
    </row>
    <row r="369" spans="2:5" ht="13.2" customHeight="1">
      <c r="B369" s="160"/>
      <c r="E369" s="160"/>
    </row>
    <row r="370" spans="2:5" ht="13.2" customHeight="1">
      <c r="B370" s="160"/>
      <c r="E370" s="160"/>
    </row>
    <row r="371" spans="2:5" ht="13.2" customHeight="1">
      <c r="B371" s="160"/>
      <c r="E371" s="160"/>
    </row>
    <row r="372" spans="2:5" ht="13.2" customHeight="1">
      <c r="B372" s="160"/>
      <c r="E372" s="160"/>
    </row>
    <row r="373" spans="2:5" ht="13.2" customHeight="1">
      <c r="B373" s="160"/>
      <c r="E373" s="160"/>
    </row>
    <row r="374" spans="2:5" ht="13.2" customHeight="1">
      <c r="B374" s="160"/>
      <c r="E374" s="160"/>
    </row>
    <row r="375" spans="2:5" ht="13.2" customHeight="1">
      <c r="B375" s="160"/>
      <c r="E375" s="160"/>
    </row>
    <row r="376" spans="2:5" ht="13.2" customHeight="1">
      <c r="B376" s="160"/>
      <c r="E376" s="160"/>
    </row>
    <row r="377" spans="2:5" ht="13.2" customHeight="1">
      <c r="B377" s="160"/>
      <c r="E377" s="160"/>
    </row>
    <row r="378" spans="2:5" ht="13.2" customHeight="1">
      <c r="B378" s="160"/>
      <c r="E378" s="160"/>
    </row>
    <row r="379" spans="2:5" ht="13.2" customHeight="1">
      <c r="B379" s="160"/>
      <c r="E379" s="160"/>
    </row>
    <row r="380" spans="2:5" ht="13.2" customHeight="1">
      <c r="B380" s="160"/>
      <c r="E380" s="160"/>
    </row>
    <row r="381" spans="2:5" ht="13.2" customHeight="1">
      <c r="B381" s="160"/>
      <c r="E381" s="160"/>
    </row>
    <row r="382" spans="2:5" ht="13.2" customHeight="1">
      <c r="B382" s="160"/>
      <c r="E382" s="160"/>
    </row>
    <row r="383" spans="2:5" ht="13.2" customHeight="1">
      <c r="B383" s="160"/>
      <c r="E383" s="160"/>
    </row>
    <row r="384" spans="2:5" ht="13.2" customHeight="1">
      <c r="B384" s="160"/>
      <c r="E384" s="160"/>
    </row>
    <row r="385" spans="2:5" ht="13.2" customHeight="1">
      <c r="B385" s="160"/>
      <c r="E385" s="160"/>
    </row>
    <row r="386" spans="2:5" ht="13.2" customHeight="1">
      <c r="B386" s="160"/>
      <c r="E386" s="160"/>
    </row>
    <row r="387" spans="2:5" ht="13.2" customHeight="1">
      <c r="B387" s="160"/>
      <c r="E387" s="160"/>
    </row>
    <row r="388" spans="2:5" ht="13.2" customHeight="1">
      <c r="B388" s="160"/>
      <c r="E388" s="160"/>
    </row>
    <row r="389" spans="2:5" ht="13.2" customHeight="1">
      <c r="B389" s="160"/>
      <c r="E389" s="160"/>
    </row>
    <row r="390" spans="2:5" ht="13.2" customHeight="1">
      <c r="B390" s="160"/>
      <c r="E390" s="160"/>
    </row>
    <row r="391" spans="2:5" ht="13.2" customHeight="1">
      <c r="B391" s="160"/>
      <c r="E391" s="160"/>
    </row>
    <row r="392" spans="2:5" ht="13.2" customHeight="1">
      <c r="B392" s="160"/>
      <c r="E392" s="160"/>
    </row>
    <row r="393" spans="2:5" ht="13.2" customHeight="1">
      <c r="B393" s="160"/>
      <c r="E393" s="160"/>
    </row>
    <row r="394" spans="2:5" ht="13.2" customHeight="1">
      <c r="B394" s="160"/>
      <c r="E394" s="160"/>
    </row>
    <row r="395" spans="2:5" ht="13.2" customHeight="1">
      <c r="B395" s="160"/>
      <c r="E395" s="160"/>
    </row>
    <row r="396" spans="2:5" ht="13.2" customHeight="1">
      <c r="B396" s="160"/>
      <c r="E396" s="160"/>
    </row>
    <row r="397" spans="2:5" ht="13.2" customHeight="1">
      <c r="B397" s="160"/>
      <c r="E397" s="160"/>
    </row>
    <row r="398" spans="2:5" ht="13.2" customHeight="1">
      <c r="B398" s="160"/>
      <c r="E398" s="160"/>
    </row>
    <row r="399" spans="2:5" ht="13.2" customHeight="1">
      <c r="B399" s="160"/>
      <c r="E399" s="160"/>
    </row>
    <row r="400" spans="2:5" ht="13.2" customHeight="1">
      <c r="B400" s="160"/>
      <c r="E400" s="160"/>
    </row>
    <row r="401" spans="2:5" ht="13.2" customHeight="1">
      <c r="B401" s="160"/>
      <c r="E401" s="160"/>
    </row>
    <row r="402" spans="2:5" ht="13.2" customHeight="1">
      <c r="B402" s="160"/>
      <c r="E402" s="160"/>
    </row>
    <row r="403" spans="2:5" ht="13.2" customHeight="1">
      <c r="B403" s="160"/>
      <c r="E403" s="160"/>
    </row>
    <row r="404" spans="2:5" ht="13.2" customHeight="1">
      <c r="B404" s="160"/>
      <c r="E404" s="160"/>
    </row>
    <row r="405" spans="2:5" ht="13.2" customHeight="1">
      <c r="B405" s="160"/>
      <c r="E405" s="160"/>
    </row>
    <row r="406" spans="2:5" ht="13.2" customHeight="1">
      <c r="B406" s="160"/>
      <c r="E406" s="160"/>
    </row>
    <row r="407" spans="2:5" ht="13.2" customHeight="1">
      <c r="B407" s="160"/>
      <c r="E407" s="160"/>
    </row>
    <row r="408" spans="2:5" ht="13.2" customHeight="1">
      <c r="B408" s="160"/>
      <c r="E408" s="160"/>
    </row>
    <row r="409" spans="2:5" ht="13.2" customHeight="1">
      <c r="B409" s="160"/>
      <c r="E409" s="160"/>
    </row>
    <row r="410" spans="2:5" ht="13.2" customHeight="1">
      <c r="B410" s="160"/>
      <c r="E410" s="160"/>
    </row>
    <row r="411" spans="2:5" ht="13.2" customHeight="1">
      <c r="B411" s="160"/>
      <c r="E411" s="160"/>
    </row>
    <row r="412" spans="2:5" ht="13.2" customHeight="1">
      <c r="B412" s="160"/>
      <c r="E412" s="160"/>
    </row>
    <row r="413" spans="2:5" ht="13.2" customHeight="1">
      <c r="B413" s="160"/>
      <c r="E413" s="160"/>
    </row>
    <row r="414" spans="2:5" ht="13.2" customHeight="1">
      <c r="B414" s="160"/>
      <c r="E414" s="160"/>
    </row>
    <row r="415" spans="2:5" ht="13.2" customHeight="1">
      <c r="B415" s="160"/>
      <c r="E415" s="160"/>
    </row>
    <row r="416" spans="2:5" ht="13.2" customHeight="1">
      <c r="B416" s="160"/>
      <c r="E416" s="160"/>
    </row>
    <row r="417" spans="2:5" ht="13.2" customHeight="1">
      <c r="B417" s="160"/>
      <c r="E417" s="160"/>
    </row>
    <row r="418" spans="2:5" ht="13.2" customHeight="1">
      <c r="B418" s="160"/>
      <c r="E418" s="160"/>
    </row>
    <row r="419" spans="2:5" ht="13.2" customHeight="1">
      <c r="B419" s="160"/>
      <c r="E419" s="160"/>
    </row>
    <row r="420" spans="2:5" ht="13.2" customHeight="1">
      <c r="B420" s="160"/>
      <c r="E420" s="160"/>
    </row>
    <row r="421" spans="2:5" ht="13.2" customHeight="1">
      <c r="B421" s="160"/>
      <c r="E421" s="160"/>
    </row>
    <row r="422" spans="2:5" ht="13.2" customHeight="1">
      <c r="B422" s="160"/>
      <c r="E422" s="160"/>
    </row>
    <row r="423" spans="2:5" ht="13.2" customHeight="1">
      <c r="B423" s="160"/>
      <c r="E423" s="160"/>
    </row>
    <row r="424" spans="2:5" ht="13.2" customHeight="1">
      <c r="B424" s="160"/>
      <c r="E424" s="160"/>
    </row>
    <row r="425" spans="2:5" ht="13.2" customHeight="1">
      <c r="B425" s="160"/>
      <c r="E425" s="160"/>
    </row>
    <row r="426" spans="2:5" ht="13.2" customHeight="1">
      <c r="B426" s="160"/>
      <c r="E426" s="160"/>
    </row>
    <row r="427" spans="2:5" ht="13.2" customHeight="1">
      <c r="B427" s="160"/>
      <c r="E427" s="160"/>
    </row>
    <row r="428" spans="2:5" ht="13.2" customHeight="1">
      <c r="B428" s="160"/>
      <c r="E428" s="160"/>
    </row>
    <row r="429" spans="2:5" ht="13.2" customHeight="1">
      <c r="B429" s="160"/>
      <c r="E429" s="160"/>
    </row>
    <row r="430" spans="2:5" ht="13.2" customHeight="1">
      <c r="B430" s="160"/>
      <c r="E430" s="160"/>
    </row>
    <row r="431" spans="2:5" ht="13.2" customHeight="1">
      <c r="B431" s="160"/>
      <c r="E431" s="160"/>
    </row>
    <row r="432" spans="2:5" ht="13.2" customHeight="1">
      <c r="B432" s="160"/>
      <c r="E432" s="160"/>
    </row>
    <row r="433" spans="2:5" ht="13.2" customHeight="1">
      <c r="B433" s="160"/>
      <c r="E433" s="160"/>
    </row>
    <row r="434" spans="2:5" ht="13.2" customHeight="1">
      <c r="B434" s="160"/>
      <c r="E434" s="160"/>
    </row>
    <row r="435" spans="2:5" ht="13.2" customHeight="1">
      <c r="B435" s="160"/>
      <c r="E435" s="160"/>
    </row>
    <row r="436" spans="2:5" ht="13.2" customHeight="1">
      <c r="B436" s="160"/>
      <c r="E436" s="160"/>
    </row>
    <row r="437" spans="2:5" ht="13.2" customHeight="1">
      <c r="B437" s="160"/>
      <c r="E437" s="160"/>
    </row>
    <row r="438" spans="2:5" ht="13.2" customHeight="1">
      <c r="B438" s="160"/>
      <c r="E438" s="160"/>
    </row>
    <row r="439" spans="2:5" ht="13.2" customHeight="1">
      <c r="B439" s="160"/>
      <c r="E439" s="160"/>
    </row>
    <row r="440" spans="2:5" ht="13.2" customHeight="1">
      <c r="B440" s="160"/>
      <c r="E440" s="160"/>
    </row>
    <row r="441" spans="2:5" ht="13.2" customHeight="1">
      <c r="B441" s="160"/>
      <c r="E441" s="160"/>
    </row>
    <row r="442" spans="2:5" ht="13.2" customHeight="1">
      <c r="B442" s="160"/>
      <c r="E442" s="160"/>
    </row>
    <row r="443" spans="2:5" ht="13.2" customHeight="1">
      <c r="B443" s="160"/>
      <c r="E443" s="160"/>
    </row>
    <row r="444" spans="2:5" ht="13.2" customHeight="1">
      <c r="B444" s="160"/>
      <c r="E444" s="160"/>
    </row>
    <row r="445" spans="2:5" ht="13.2" customHeight="1">
      <c r="B445" s="160"/>
      <c r="E445" s="160"/>
    </row>
    <row r="446" spans="2:5" ht="13.2" customHeight="1">
      <c r="B446" s="160"/>
      <c r="E446" s="160"/>
    </row>
    <row r="447" spans="2:5" ht="13.2" customHeight="1">
      <c r="B447" s="160"/>
      <c r="E447" s="160"/>
    </row>
    <row r="448" spans="2:5" ht="13.2" customHeight="1">
      <c r="B448" s="160"/>
      <c r="E448" s="160"/>
    </row>
    <row r="449" spans="2:5" ht="13.2" customHeight="1">
      <c r="B449" s="160"/>
      <c r="E449" s="160"/>
    </row>
    <row r="450" spans="2:5" ht="13.2" customHeight="1">
      <c r="B450" s="160"/>
      <c r="E450" s="160"/>
    </row>
    <row r="451" spans="2:5" ht="13.2" customHeight="1">
      <c r="B451" s="160"/>
      <c r="E451" s="160"/>
    </row>
    <row r="452" spans="2:5" ht="13.2" customHeight="1">
      <c r="B452" s="160"/>
      <c r="E452" s="160"/>
    </row>
    <row r="453" spans="2:5" ht="13.2" customHeight="1">
      <c r="B453" s="160"/>
      <c r="E453" s="160"/>
    </row>
    <row r="454" spans="2:5" ht="13.2" customHeight="1">
      <c r="B454" s="160"/>
      <c r="E454" s="160"/>
    </row>
    <row r="455" spans="2:5" ht="13.2" customHeight="1">
      <c r="B455" s="160"/>
      <c r="E455" s="160"/>
    </row>
    <row r="456" spans="2:5" ht="13.2" customHeight="1">
      <c r="B456" s="160"/>
      <c r="E456" s="160"/>
    </row>
    <row r="457" spans="2:5" ht="13.2" customHeight="1">
      <c r="B457" s="160"/>
      <c r="E457" s="160"/>
    </row>
    <row r="458" spans="2:5" ht="13.2" customHeight="1">
      <c r="B458" s="160"/>
      <c r="E458" s="160"/>
    </row>
    <row r="459" spans="2:5" ht="13.2" customHeight="1">
      <c r="B459" s="160"/>
      <c r="E459" s="160"/>
    </row>
    <row r="460" spans="2:5" ht="13.2" customHeight="1">
      <c r="B460" s="160"/>
      <c r="E460" s="160"/>
    </row>
    <row r="461" spans="2:5" ht="13.2" customHeight="1">
      <c r="B461" s="160"/>
      <c r="E461" s="160"/>
    </row>
    <row r="462" spans="2:5" ht="13.2" customHeight="1">
      <c r="B462" s="160"/>
      <c r="E462" s="160"/>
    </row>
    <row r="463" spans="2:5" ht="13.2" customHeight="1">
      <c r="B463" s="160"/>
      <c r="E463" s="160"/>
    </row>
    <row r="464" spans="2:5" ht="13.2" customHeight="1">
      <c r="B464" s="160"/>
      <c r="E464" s="160"/>
    </row>
    <row r="465" spans="2:5" ht="13.2" customHeight="1">
      <c r="B465" s="160"/>
      <c r="E465" s="160"/>
    </row>
    <row r="466" spans="2:5" ht="13.2" customHeight="1">
      <c r="B466" s="160"/>
      <c r="E466" s="160"/>
    </row>
    <row r="467" spans="2:5" ht="13.2" customHeight="1">
      <c r="B467" s="160"/>
      <c r="E467" s="160"/>
    </row>
    <row r="468" spans="2:5" ht="13.2" customHeight="1">
      <c r="B468" s="160"/>
      <c r="E468" s="160"/>
    </row>
    <row r="469" spans="2:5" ht="13.2" customHeight="1">
      <c r="B469" s="160"/>
      <c r="E469" s="160"/>
    </row>
    <row r="470" spans="2:5" ht="13.2" customHeight="1">
      <c r="B470" s="160"/>
      <c r="E470" s="160"/>
    </row>
    <row r="471" spans="2:5" ht="13.2" customHeight="1">
      <c r="B471" s="160"/>
      <c r="E471" s="160"/>
    </row>
    <row r="472" spans="2:5" ht="13.2" customHeight="1">
      <c r="B472" s="160"/>
      <c r="E472" s="160"/>
    </row>
    <row r="473" spans="2:5" ht="13.2" customHeight="1">
      <c r="B473" s="160"/>
      <c r="E473" s="160"/>
    </row>
    <row r="474" spans="2:5" ht="13.2" customHeight="1">
      <c r="B474" s="160"/>
      <c r="E474" s="160"/>
    </row>
    <row r="475" spans="2:5" ht="13.2" customHeight="1">
      <c r="B475" s="160"/>
      <c r="E475" s="160"/>
    </row>
    <row r="476" spans="2:5" ht="13.2" customHeight="1">
      <c r="B476" s="160"/>
      <c r="E476" s="160"/>
    </row>
    <row r="477" spans="2:5" ht="13.2" customHeight="1">
      <c r="B477" s="160"/>
      <c r="E477" s="160"/>
    </row>
    <row r="478" spans="2:5" ht="13.2" customHeight="1">
      <c r="B478" s="160"/>
      <c r="E478" s="160"/>
    </row>
    <row r="479" spans="2:5" ht="13.2" customHeight="1">
      <c r="B479" s="160"/>
      <c r="E479" s="160"/>
    </row>
    <row r="480" spans="2:5" ht="13.2" customHeight="1">
      <c r="B480" s="160"/>
      <c r="E480" s="160"/>
    </row>
    <row r="481" spans="2:5" ht="13.2" customHeight="1">
      <c r="B481" s="160"/>
      <c r="E481" s="160"/>
    </row>
    <row r="482" spans="2:5" ht="13.2" customHeight="1">
      <c r="B482" s="160"/>
      <c r="E482" s="160"/>
    </row>
    <row r="483" spans="2:5" ht="13.2" customHeight="1">
      <c r="B483" s="160"/>
      <c r="E483" s="160"/>
    </row>
    <row r="484" spans="2:5" ht="13.2" customHeight="1">
      <c r="B484" s="160"/>
      <c r="E484" s="160"/>
    </row>
    <row r="485" spans="2:5" ht="13.2" customHeight="1">
      <c r="B485" s="160"/>
      <c r="E485" s="160"/>
    </row>
    <row r="486" spans="2:5" ht="13.2" customHeight="1">
      <c r="B486" s="160"/>
      <c r="E486" s="160"/>
    </row>
    <row r="487" spans="2:5" ht="13.2" customHeight="1">
      <c r="B487" s="160"/>
      <c r="E487" s="160"/>
    </row>
    <row r="488" spans="2:5" ht="13.2" customHeight="1">
      <c r="B488" s="160"/>
      <c r="E488" s="160"/>
    </row>
    <row r="489" spans="2:5" ht="13.2" customHeight="1">
      <c r="B489" s="160"/>
      <c r="E489" s="160"/>
    </row>
    <row r="490" spans="2:5" ht="13.2" customHeight="1">
      <c r="B490" s="160"/>
      <c r="E490" s="160"/>
    </row>
    <row r="491" spans="2:5" ht="13.2" customHeight="1">
      <c r="B491" s="160"/>
      <c r="E491" s="160"/>
    </row>
    <row r="492" spans="2:5" ht="13.2" customHeight="1">
      <c r="B492" s="160"/>
      <c r="E492" s="160"/>
    </row>
    <row r="493" spans="2:5" ht="13.2" customHeight="1">
      <c r="B493" s="160"/>
      <c r="E493" s="160"/>
    </row>
    <row r="494" spans="2:5" ht="13.2" customHeight="1">
      <c r="B494" s="160"/>
      <c r="E494" s="160"/>
    </row>
    <row r="495" spans="2:5" ht="13.2" customHeight="1">
      <c r="B495" s="160"/>
      <c r="E495" s="160"/>
    </row>
    <row r="496" spans="2:5" ht="13.2" customHeight="1">
      <c r="B496" s="160"/>
      <c r="E496" s="160"/>
    </row>
    <row r="497" spans="2:5" ht="13.2" customHeight="1">
      <c r="B497" s="160"/>
      <c r="E497" s="160"/>
    </row>
    <row r="498" spans="2:5" ht="13.2" customHeight="1">
      <c r="B498" s="160"/>
      <c r="E498" s="160"/>
    </row>
    <row r="499" spans="2:5" ht="13.2" customHeight="1">
      <c r="B499" s="160"/>
      <c r="E499" s="160"/>
    </row>
    <row r="500" spans="2:5" ht="13.2" customHeight="1">
      <c r="B500" s="160"/>
      <c r="E500" s="160"/>
    </row>
    <row r="501" spans="2:5" ht="13.2" customHeight="1">
      <c r="B501" s="160"/>
      <c r="E501" s="160"/>
    </row>
    <row r="502" spans="2:5" ht="13.2" customHeight="1">
      <c r="B502" s="160"/>
      <c r="E502" s="160"/>
    </row>
    <row r="503" spans="2:5" ht="13.2" customHeight="1">
      <c r="B503" s="160"/>
      <c r="E503" s="160"/>
    </row>
    <row r="504" spans="2:5" ht="13.2" customHeight="1">
      <c r="B504" s="160"/>
      <c r="E504" s="160"/>
    </row>
    <row r="505" spans="2:5" ht="13.2" customHeight="1">
      <c r="B505" s="160"/>
      <c r="E505" s="160"/>
    </row>
    <row r="506" spans="2:5" ht="13.2" customHeight="1">
      <c r="B506" s="160"/>
      <c r="E506" s="160"/>
    </row>
    <row r="507" spans="2:5" ht="13.2" customHeight="1">
      <c r="B507" s="160"/>
      <c r="E507" s="160"/>
    </row>
    <row r="508" spans="2:5" ht="13.2" customHeight="1">
      <c r="B508" s="160"/>
      <c r="E508" s="160"/>
    </row>
    <row r="509" spans="2:5" ht="13.2" customHeight="1">
      <c r="B509" s="160"/>
      <c r="E509" s="160"/>
    </row>
    <row r="510" spans="2:5" ht="13.2" customHeight="1">
      <c r="B510" s="160"/>
      <c r="E510" s="160"/>
    </row>
    <row r="511" spans="2:5" ht="13.2" customHeight="1">
      <c r="B511" s="160"/>
      <c r="E511" s="160"/>
    </row>
    <row r="512" spans="2:5" ht="13.2" customHeight="1">
      <c r="B512" s="160"/>
      <c r="E512" s="160"/>
    </row>
    <row r="513" spans="2:5" ht="13.2" customHeight="1">
      <c r="B513" s="160"/>
      <c r="E513" s="160"/>
    </row>
    <row r="514" spans="2:5" ht="13.2" customHeight="1">
      <c r="B514" s="160"/>
      <c r="E514" s="160"/>
    </row>
    <row r="515" spans="2:5" ht="13.2" customHeight="1">
      <c r="B515" s="160"/>
      <c r="E515" s="160"/>
    </row>
    <row r="516" spans="2:5" ht="13.2" customHeight="1">
      <c r="B516" s="160"/>
      <c r="E516" s="160"/>
    </row>
    <row r="517" spans="2:5" ht="13.2" customHeight="1">
      <c r="B517" s="160"/>
      <c r="E517" s="160"/>
    </row>
    <row r="518" spans="2:5" ht="13.2" customHeight="1">
      <c r="B518" s="160"/>
      <c r="E518" s="160"/>
    </row>
    <row r="519" spans="2:5" ht="13.2" customHeight="1">
      <c r="B519" s="160"/>
      <c r="E519" s="160"/>
    </row>
    <row r="520" spans="2:5" ht="13.2" customHeight="1">
      <c r="B520" s="160"/>
      <c r="E520" s="160"/>
    </row>
    <row r="521" spans="2:5" ht="13.2" customHeight="1">
      <c r="B521" s="160"/>
      <c r="E521" s="160"/>
    </row>
    <row r="522" spans="2:5" ht="13.2" customHeight="1">
      <c r="B522" s="160"/>
      <c r="E522" s="160"/>
    </row>
    <row r="523" spans="2:5" ht="13.2" customHeight="1">
      <c r="B523" s="160"/>
      <c r="E523" s="160"/>
    </row>
    <row r="524" spans="2:5" ht="13.2" customHeight="1">
      <c r="B524" s="160"/>
      <c r="E524" s="160"/>
    </row>
    <row r="525" spans="2:5" ht="13.2" customHeight="1">
      <c r="B525" s="160"/>
      <c r="E525" s="160"/>
    </row>
    <row r="526" spans="2:5" ht="13.2" customHeight="1">
      <c r="B526" s="160"/>
      <c r="E526" s="160"/>
    </row>
    <row r="527" spans="2:5" ht="13.2" customHeight="1">
      <c r="B527" s="160"/>
      <c r="E527" s="160"/>
    </row>
    <row r="528" spans="2:5" ht="13.2" customHeight="1">
      <c r="B528" s="160"/>
      <c r="E528" s="160"/>
    </row>
    <row r="529" spans="2:5" ht="13.2" customHeight="1">
      <c r="B529" s="160"/>
      <c r="E529" s="160"/>
    </row>
    <row r="530" spans="2:5" ht="13.2" customHeight="1">
      <c r="B530" s="160"/>
      <c r="E530" s="160"/>
    </row>
    <row r="531" spans="2:5" ht="13.2" customHeight="1">
      <c r="B531" s="160"/>
      <c r="E531" s="160"/>
    </row>
    <row r="532" spans="2:5" ht="13.2" customHeight="1">
      <c r="B532" s="160"/>
      <c r="E532" s="160"/>
    </row>
    <row r="533" spans="2:5" ht="13.2" customHeight="1">
      <c r="B533" s="160"/>
      <c r="E533" s="160"/>
    </row>
    <row r="534" spans="2:5" ht="13.2" customHeight="1">
      <c r="B534" s="160"/>
      <c r="E534" s="160"/>
    </row>
    <row r="535" spans="2:5" ht="13.2" customHeight="1">
      <c r="B535" s="160"/>
      <c r="E535" s="160"/>
    </row>
    <row r="536" spans="2:5" ht="13.2" customHeight="1">
      <c r="B536" s="160"/>
      <c r="E536" s="160"/>
    </row>
    <row r="537" spans="2:5" ht="13.2" customHeight="1">
      <c r="B537" s="160"/>
      <c r="E537" s="160"/>
    </row>
    <row r="538" spans="2:5" ht="13.2" customHeight="1">
      <c r="B538" s="160"/>
      <c r="E538" s="160"/>
    </row>
    <row r="539" spans="2:5" ht="13.2" customHeight="1">
      <c r="B539" s="160"/>
      <c r="E539" s="160"/>
    </row>
    <row r="540" spans="2:5" ht="13.2" customHeight="1">
      <c r="B540" s="160"/>
      <c r="E540" s="160"/>
    </row>
    <row r="541" spans="2:5" ht="13.2" customHeight="1">
      <c r="B541" s="160"/>
      <c r="E541" s="160"/>
    </row>
    <row r="542" spans="2:5" ht="13.2" customHeight="1">
      <c r="B542" s="160"/>
      <c r="E542" s="160"/>
    </row>
    <row r="543" spans="2:5" ht="13.2" customHeight="1">
      <c r="B543" s="160"/>
      <c r="E543" s="160"/>
    </row>
    <row r="544" spans="2:5" ht="13.2" customHeight="1">
      <c r="B544" s="160"/>
      <c r="E544" s="160"/>
    </row>
    <row r="545" spans="2:5" ht="13.2" customHeight="1">
      <c r="B545" s="160"/>
      <c r="E545" s="160"/>
    </row>
    <row r="546" spans="2:5" ht="13.2" customHeight="1">
      <c r="B546" s="160"/>
      <c r="E546" s="160"/>
    </row>
    <row r="547" spans="2:5" ht="13.2" customHeight="1">
      <c r="B547" s="160"/>
      <c r="E547" s="160"/>
    </row>
    <row r="548" spans="2:5" ht="13.2" customHeight="1">
      <c r="B548" s="160"/>
      <c r="E548" s="160"/>
    </row>
    <row r="549" spans="2:5" ht="13.2" customHeight="1">
      <c r="B549" s="160"/>
      <c r="E549" s="160"/>
    </row>
    <row r="550" spans="2:5" ht="13.2" customHeight="1">
      <c r="B550" s="160"/>
      <c r="E550" s="160"/>
    </row>
    <row r="551" spans="2:5" ht="13.2" customHeight="1">
      <c r="B551" s="160"/>
      <c r="E551" s="160"/>
    </row>
    <row r="552" spans="2:5" ht="13.2" customHeight="1">
      <c r="B552" s="160"/>
      <c r="E552" s="160"/>
    </row>
    <row r="553" spans="2:5" ht="13.2" customHeight="1">
      <c r="B553" s="160"/>
      <c r="E553" s="160"/>
    </row>
    <row r="554" spans="2:5" ht="13.2" customHeight="1">
      <c r="B554" s="160"/>
      <c r="E554" s="160"/>
    </row>
    <row r="555" spans="2:5" ht="13.2" customHeight="1">
      <c r="B555" s="160"/>
      <c r="E555" s="160"/>
    </row>
    <row r="556" spans="2:5" ht="13.2" customHeight="1">
      <c r="B556" s="160"/>
      <c r="E556" s="160"/>
    </row>
    <row r="557" spans="2:5" ht="13.2" customHeight="1">
      <c r="B557" s="160"/>
      <c r="E557" s="160"/>
    </row>
    <row r="558" spans="2:5" ht="13.2" customHeight="1">
      <c r="B558" s="160"/>
      <c r="E558" s="160"/>
    </row>
    <row r="559" spans="2:5" ht="13.2" customHeight="1">
      <c r="B559" s="160"/>
      <c r="E559" s="160"/>
    </row>
    <row r="560" spans="2:5" ht="13.2" customHeight="1">
      <c r="B560" s="160"/>
      <c r="E560" s="160"/>
    </row>
    <row r="561" spans="2:5" ht="13.2" customHeight="1">
      <c r="B561" s="160"/>
      <c r="E561" s="160"/>
    </row>
    <row r="562" spans="2:5" ht="13.2" customHeight="1">
      <c r="B562" s="160"/>
      <c r="E562" s="160"/>
    </row>
    <row r="563" spans="2:5" ht="13.2" customHeight="1">
      <c r="B563" s="160"/>
      <c r="E563" s="160"/>
    </row>
    <row r="564" spans="2:5" ht="13.2" customHeight="1">
      <c r="B564" s="160"/>
      <c r="E564" s="160"/>
    </row>
    <row r="565" spans="2:5" ht="13.2" customHeight="1">
      <c r="B565" s="160"/>
      <c r="E565" s="160"/>
    </row>
    <row r="566" spans="2:5" ht="13.2" customHeight="1">
      <c r="B566" s="160"/>
      <c r="E566" s="160"/>
    </row>
    <row r="567" spans="2:5" ht="13.2" customHeight="1">
      <c r="B567" s="160"/>
      <c r="E567" s="160"/>
    </row>
    <row r="568" spans="2:5" ht="13.2" customHeight="1">
      <c r="B568" s="160"/>
      <c r="E568" s="160"/>
    </row>
    <row r="569" spans="2:5" ht="13.2" customHeight="1">
      <c r="B569" s="160"/>
      <c r="E569" s="160"/>
    </row>
    <row r="570" spans="2:5" ht="13.2" customHeight="1">
      <c r="B570" s="160"/>
      <c r="E570" s="160"/>
    </row>
    <row r="571" spans="2:5" ht="13.2" customHeight="1">
      <c r="B571" s="160"/>
      <c r="E571" s="160"/>
    </row>
    <row r="572" spans="2:5" ht="13.2" customHeight="1">
      <c r="B572" s="160"/>
      <c r="E572" s="160"/>
    </row>
    <row r="573" spans="2:5" ht="13.2" customHeight="1">
      <c r="B573" s="160"/>
      <c r="E573" s="160"/>
    </row>
    <row r="574" spans="2:5" ht="13.2" customHeight="1">
      <c r="B574" s="160"/>
      <c r="E574" s="160"/>
    </row>
    <row r="575" spans="2:5" ht="13.2" customHeight="1">
      <c r="B575" s="160"/>
      <c r="E575" s="160"/>
    </row>
    <row r="576" spans="2:5" ht="13.2" customHeight="1">
      <c r="B576" s="160"/>
      <c r="E576" s="160"/>
    </row>
    <row r="577" spans="2:5" ht="13.2" customHeight="1">
      <c r="B577" s="160"/>
      <c r="E577" s="160"/>
    </row>
    <row r="578" spans="2:5" ht="13.2" customHeight="1">
      <c r="B578" s="160"/>
      <c r="E578" s="160"/>
    </row>
    <row r="579" spans="2:5" ht="13.2" customHeight="1">
      <c r="B579" s="160"/>
      <c r="E579" s="160"/>
    </row>
    <row r="580" spans="2:5" ht="13.2" customHeight="1">
      <c r="B580" s="160"/>
      <c r="E580" s="160"/>
    </row>
    <row r="581" spans="2:5" ht="13.2" customHeight="1">
      <c r="B581" s="160"/>
      <c r="E581" s="160"/>
    </row>
    <row r="582" spans="2:5" ht="13.2" customHeight="1">
      <c r="B582" s="160"/>
      <c r="E582" s="160"/>
    </row>
    <row r="583" spans="2:5" ht="13.2" customHeight="1">
      <c r="B583" s="160"/>
      <c r="E583" s="160"/>
    </row>
    <row r="584" spans="2:5" ht="13.2" customHeight="1">
      <c r="B584" s="160"/>
      <c r="E584" s="160"/>
    </row>
    <row r="585" spans="2:5" ht="13.2" customHeight="1">
      <c r="B585" s="160"/>
      <c r="E585" s="160"/>
    </row>
    <row r="586" spans="2:5" ht="13.2" customHeight="1">
      <c r="B586" s="160"/>
      <c r="E586" s="160"/>
    </row>
    <row r="587" spans="2:5" ht="13.2" customHeight="1">
      <c r="B587" s="160"/>
      <c r="E587" s="160"/>
    </row>
    <row r="588" spans="2:5" ht="13.2" customHeight="1">
      <c r="B588" s="160"/>
      <c r="E588" s="160"/>
    </row>
    <row r="589" spans="2:5" ht="13.2" customHeight="1">
      <c r="B589" s="160"/>
      <c r="E589" s="160"/>
    </row>
    <row r="590" spans="2:5" ht="13.2" customHeight="1">
      <c r="B590" s="160"/>
      <c r="E590" s="160"/>
    </row>
    <row r="591" spans="2:5" ht="13.2" customHeight="1">
      <c r="B591" s="160"/>
      <c r="E591" s="160"/>
    </row>
    <row r="592" spans="2:5" ht="13.2" customHeight="1">
      <c r="B592" s="160"/>
      <c r="E592" s="160"/>
    </row>
    <row r="593" spans="2:5" ht="13.2" customHeight="1">
      <c r="B593" s="160"/>
      <c r="E593" s="160"/>
    </row>
    <row r="594" spans="2:5" ht="13.2" customHeight="1">
      <c r="B594" s="160"/>
      <c r="E594" s="160"/>
    </row>
    <row r="595" spans="2:5" ht="13.2" customHeight="1">
      <c r="B595" s="160"/>
      <c r="E595" s="160"/>
    </row>
    <row r="596" spans="2:5" ht="13.2" customHeight="1">
      <c r="B596" s="160"/>
      <c r="E596" s="160"/>
    </row>
    <row r="597" spans="2:5" ht="13.2" customHeight="1">
      <c r="B597" s="160"/>
      <c r="E597" s="160"/>
    </row>
    <row r="598" spans="2:5" ht="13.2" customHeight="1">
      <c r="B598" s="160"/>
      <c r="E598" s="160"/>
    </row>
    <row r="599" spans="2:5" ht="13.2" customHeight="1">
      <c r="B599" s="160"/>
      <c r="E599" s="160"/>
    </row>
    <row r="600" spans="2:5" ht="13.2" customHeight="1">
      <c r="B600" s="160"/>
      <c r="E600" s="160"/>
    </row>
    <row r="601" spans="2:5" ht="13.2" customHeight="1">
      <c r="B601" s="160"/>
      <c r="E601" s="160"/>
    </row>
    <row r="602" spans="2:5" ht="13.2" customHeight="1">
      <c r="B602" s="160"/>
      <c r="E602" s="160"/>
    </row>
    <row r="603" spans="2:5" ht="13.2" customHeight="1">
      <c r="B603" s="160"/>
      <c r="E603" s="160"/>
    </row>
    <row r="604" spans="2:5" ht="13.2" customHeight="1">
      <c r="B604" s="160"/>
      <c r="E604" s="160"/>
    </row>
    <row r="605" spans="2:5" ht="13.2" customHeight="1">
      <c r="B605" s="160"/>
      <c r="E605" s="160"/>
    </row>
    <row r="606" spans="2:5" ht="13.2" customHeight="1">
      <c r="B606" s="160"/>
      <c r="E606" s="160"/>
    </row>
    <row r="607" spans="2:5" ht="13.2" customHeight="1">
      <c r="B607" s="160"/>
      <c r="E607" s="160"/>
    </row>
    <row r="608" spans="2:5" ht="13.2" customHeight="1">
      <c r="B608" s="160"/>
      <c r="E608" s="160"/>
    </row>
    <row r="609" spans="2:5" ht="13.2" customHeight="1">
      <c r="B609" s="160"/>
      <c r="E609" s="160"/>
    </row>
    <row r="610" spans="2:5" ht="13.2" customHeight="1">
      <c r="B610" s="160"/>
      <c r="E610" s="160"/>
    </row>
    <row r="611" spans="2:5" ht="13.2" customHeight="1">
      <c r="B611" s="160"/>
      <c r="E611" s="160"/>
    </row>
    <row r="612" spans="2:5" ht="13.2" customHeight="1">
      <c r="B612" s="160"/>
      <c r="E612" s="160"/>
    </row>
    <row r="613" spans="2:5" ht="13.2" customHeight="1">
      <c r="B613" s="160"/>
      <c r="E613" s="160"/>
    </row>
    <row r="614" spans="2:5" ht="13.2" customHeight="1">
      <c r="B614" s="160"/>
      <c r="E614" s="160"/>
    </row>
    <row r="615" spans="2:5" ht="13.2" customHeight="1">
      <c r="B615" s="160"/>
      <c r="E615" s="160"/>
    </row>
    <row r="616" spans="2:5" ht="13.2" customHeight="1">
      <c r="B616" s="160"/>
      <c r="E616" s="160"/>
    </row>
    <row r="617" spans="2:5" ht="13.2" customHeight="1">
      <c r="B617" s="160"/>
      <c r="E617" s="160"/>
    </row>
    <row r="618" spans="2:5" ht="13.2" customHeight="1">
      <c r="B618" s="160"/>
      <c r="E618" s="160"/>
    </row>
    <row r="619" spans="2:5" ht="13.2" customHeight="1">
      <c r="B619" s="160"/>
      <c r="E619" s="160"/>
    </row>
    <row r="620" spans="2:5" ht="13.2" customHeight="1">
      <c r="B620" s="160"/>
      <c r="E620" s="160"/>
    </row>
    <row r="621" spans="2:5" ht="13.2" customHeight="1">
      <c r="B621" s="160"/>
      <c r="E621" s="160"/>
    </row>
    <row r="622" spans="2:5" ht="13.2" customHeight="1">
      <c r="B622" s="160"/>
      <c r="E622" s="160"/>
    </row>
    <row r="623" spans="2:5" ht="13.2" customHeight="1">
      <c r="B623" s="160"/>
      <c r="E623" s="160"/>
    </row>
    <row r="624" spans="2:5" ht="13.2" customHeight="1">
      <c r="B624" s="160"/>
      <c r="E624" s="160"/>
    </row>
    <row r="625" spans="2:5" ht="13.2" customHeight="1">
      <c r="B625" s="160"/>
      <c r="E625" s="160"/>
    </row>
    <row r="626" spans="2:5" ht="13.2" customHeight="1">
      <c r="B626" s="160"/>
      <c r="E626" s="160"/>
    </row>
    <row r="627" spans="2:5" ht="13.2" customHeight="1">
      <c r="B627" s="160"/>
      <c r="E627" s="160"/>
    </row>
    <row r="628" spans="2:5" ht="13.2" customHeight="1">
      <c r="B628" s="160"/>
      <c r="E628" s="160"/>
    </row>
    <row r="629" spans="2:5" ht="13.2" customHeight="1">
      <c r="B629" s="160"/>
      <c r="E629" s="160"/>
    </row>
    <row r="630" spans="2:5" ht="13.2" customHeight="1">
      <c r="B630" s="160"/>
      <c r="E630" s="160"/>
    </row>
    <row r="631" spans="2:5" ht="13.2" customHeight="1">
      <c r="B631" s="160"/>
      <c r="E631" s="160"/>
    </row>
    <row r="632" spans="2:5" ht="13.2" customHeight="1">
      <c r="B632" s="160"/>
      <c r="E632" s="160"/>
    </row>
    <row r="633" spans="2:5" ht="13.2" customHeight="1">
      <c r="B633" s="160"/>
      <c r="E633" s="160"/>
    </row>
    <row r="634" spans="2:5" ht="13.2" customHeight="1">
      <c r="B634" s="160"/>
      <c r="E634" s="160"/>
    </row>
    <row r="635" spans="2:5" ht="13.2" customHeight="1">
      <c r="B635" s="160"/>
      <c r="E635" s="160"/>
    </row>
    <row r="636" spans="2:5" ht="13.2" customHeight="1">
      <c r="B636" s="160"/>
      <c r="E636" s="160"/>
    </row>
    <row r="637" spans="2:5" ht="13.2" customHeight="1">
      <c r="B637" s="160"/>
      <c r="E637" s="160"/>
    </row>
    <row r="638" spans="2:5" ht="13.2" customHeight="1">
      <c r="B638" s="160"/>
      <c r="E638" s="160"/>
    </row>
    <row r="639" spans="2:5" ht="13.2" customHeight="1">
      <c r="B639" s="160"/>
      <c r="E639" s="160"/>
    </row>
    <row r="640" spans="2:5" ht="13.2" customHeight="1">
      <c r="B640" s="160"/>
      <c r="E640" s="160"/>
    </row>
    <row r="641" spans="2:5" ht="13.2" customHeight="1">
      <c r="B641" s="160"/>
      <c r="E641" s="160"/>
    </row>
    <row r="642" spans="2:5" ht="13.2" customHeight="1">
      <c r="B642" s="160"/>
      <c r="E642" s="160"/>
    </row>
    <row r="643" spans="2:5" ht="13.2" customHeight="1">
      <c r="B643" s="160"/>
      <c r="E643" s="160"/>
    </row>
    <row r="644" spans="2:5" ht="13.2" customHeight="1">
      <c r="B644" s="160"/>
      <c r="E644" s="160"/>
    </row>
    <row r="645" spans="2:5" ht="13.2" customHeight="1">
      <c r="B645" s="160"/>
      <c r="E645" s="160"/>
    </row>
    <row r="646" spans="2:5" ht="13.2" customHeight="1">
      <c r="B646" s="160"/>
      <c r="E646" s="160"/>
    </row>
    <row r="647" spans="2:5" ht="13.2" customHeight="1">
      <c r="B647" s="160"/>
      <c r="E647" s="160"/>
    </row>
    <row r="648" spans="2:5" ht="13.2" customHeight="1">
      <c r="B648" s="160"/>
      <c r="E648" s="160"/>
    </row>
    <row r="649" spans="2:5" ht="13.2" customHeight="1">
      <c r="B649" s="160"/>
      <c r="E649" s="160"/>
    </row>
    <row r="650" spans="2:5" ht="13.2" customHeight="1">
      <c r="B650" s="160"/>
      <c r="E650" s="160"/>
    </row>
    <row r="651" spans="2:5" ht="13.2" customHeight="1">
      <c r="B651" s="160"/>
      <c r="E651" s="160"/>
    </row>
    <row r="652" spans="2:5" ht="13.2" customHeight="1">
      <c r="B652" s="160"/>
      <c r="E652" s="160"/>
    </row>
    <row r="653" spans="2:5" ht="13.2" customHeight="1">
      <c r="B653" s="160"/>
      <c r="E653" s="160"/>
    </row>
    <row r="654" spans="2:5" ht="13.2" customHeight="1">
      <c r="B654" s="160"/>
      <c r="E654" s="160"/>
    </row>
    <row r="655" spans="2:5" ht="13.2" customHeight="1">
      <c r="B655" s="160"/>
      <c r="E655" s="160"/>
    </row>
    <row r="656" spans="2:5" ht="13.2" customHeight="1">
      <c r="B656" s="160"/>
      <c r="E656" s="160"/>
    </row>
    <row r="657" spans="2:5" ht="13.2" customHeight="1">
      <c r="B657" s="160"/>
      <c r="E657" s="160"/>
    </row>
    <row r="658" spans="2:5" ht="13.2" customHeight="1">
      <c r="B658" s="160"/>
      <c r="E658" s="160"/>
    </row>
    <row r="659" spans="2:5" ht="13.2" customHeight="1">
      <c r="B659" s="160"/>
      <c r="E659" s="160"/>
    </row>
    <row r="660" spans="2:5" ht="13.2" customHeight="1">
      <c r="B660" s="160"/>
      <c r="E660" s="160"/>
    </row>
    <row r="661" spans="2:5" ht="13.2" customHeight="1">
      <c r="B661" s="160"/>
      <c r="E661" s="160"/>
    </row>
    <row r="662" spans="2:5" ht="13.2" customHeight="1">
      <c r="B662" s="160"/>
      <c r="E662" s="160"/>
    </row>
    <row r="663" spans="2:5" ht="13.2" customHeight="1">
      <c r="B663" s="160"/>
      <c r="E663" s="160"/>
    </row>
    <row r="664" spans="2:5" ht="13.2" customHeight="1">
      <c r="B664" s="160"/>
      <c r="E664" s="160"/>
    </row>
    <row r="665" spans="2:5" ht="13.2" customHeight="1">
      <c r="B665" s="160"/>
      <c r="E665" s="160"/>
    </row>
    <row r="666" spans="2:5" ht="13.2" customHeight="1">
      <c r="B666" s="160"/>
      <c r="E666" s="160"/>
    </row>
    <row r="667" spans="2:5" ht="13.2" customHeight="1">
      <c r="B667" s="160"/>
      <c r="E667" s="160"/>
    </row>
    <row r="668" spans="2:5" ht="13.2" customHeight="1">
      <c r="B668" s="160"/>
      <c r="E668" s="160"/>
    </row>
    <row r="669" spans="2:5" ht="13.2" customHeight="1">
      <c r="B669" s="160"/>
      <c r="E669" s="160"/>
    </row>
    <row r="670" spans="2:5" ht="13.2" customHeight="1">
      <c r="B670" s="160"/>
      <c r="E670" s="160"/>
    </row>
    <row r="671" spans="2:5" ht="13.2" customHeight="1">
      <c r="B671" s="160"/>
      <c r="E671" s="160"/>
    </row>
    <row r="672" spans="2:5" ht="13.2" customHeight="1">
      <c r="B672" s="160"/>
      <c r="E672" s="160"/>
    </row>
    <row r="673" spans="2:5" ht="13.2" customHeight="1">
      <c r="B673" s="160"/>
      <c r="E673" s="160"/>
    </row>
    <row r="674" spans="2:5" ht="13.2" customHeight="1">
      <c r="B674" s="160"/>
      <c r="E674" s="160"/>
    </row>
    <row r="675" spans="2:5" ht="13.2" customHeight="1">
      <c r="B675" s="160"/>
      <c r="E675" s="160"/>
    </row>
    <row r="676" spans="2:5" ht="13.2" customHeight="1">
      <c r="B676" s="160"/>
      <c r="E676" s="160"/>
    </row>
    <row r="677" spans="2:5" ht="13.2" customHeight="1">
      <c r="B677" s="160"/>
      <c r="E677" s="160"/>
    </row>
    <row r="678" spans="2:5" ht="13.2" customHeight="1">
      <c r="B678" s="160"/>
      <c r="E678" s="160"/>
    </row>
    <row r="679" spans="2:5" ht="13.2" customHeight="1">
      <c r="B679" s="160"/>
      <c r="E679" s="160"/>
    </row>
    <row r="680" spans="2:5" ht="13.2" customHeight="1">
      <c r="B680" s="160"/>
      <c r="E680" s="160"/>
    </row>
    <row r="681" spans="2:5" ht="13.2" customHeight="1">
      <c r="B681" s="160"/>
      <c r="E681" s="160"/>
    </row>
    <row r="682" spans="2:5" ht="13.2" customHeight="1">
      <c r="B682" s="160"/>
      <c r="E682" s="160"/>
    </row>
    <row r="683" spans="2:5" ht="13.2" customHeight="1">
      <c r="B683" s="160"/>
      <c r="E683" s="160"/>
    </row>
    <row r="684" spans="2:5" ht="13.2" customHeight="1">
      <c r="B684" s="160"/>
      <c r="E684" s="160"/>
    </row>
    <row r="685" spans="2:5" ht="13.2" customHeight="1">
      <c r="B685" s="160"/>
      <c r="E685" s="160"/>
    </row>
    <row r="686" spans="2:5" ht="13.2" customHeight="1">
      <c r="B686" s="160"/>
      <c r="E686" s="160"/>
    </row>
    <row r="687" spans="2:5" ht="13.2" customHeight="1">
      <c r="B687" s="160"/>
      <c r="E687" s="160"/>
    </row>
    <row r="688" spans="2:5" ht="13.2" customHeight="1">
      <c r="B688" s="160"/>
      <c r="E688" s="160"/>
    </row>
    <row r="689" spans="2:5" ht="13.2" customHeight="1">
      <c r="B689" s="160"/>
      <c r="E689" s="160"/>
    </row>
    <row r="690" spans="2:5" ht="13.2" customHeight="1">
      <c r="B690" s="160"/>
      <c r="E690" s="160"/>
    </row>
    <row r="691" spans="2:5" ht="13.2" customHeight="1">
      <c r="B691" s="160"/>
      <c r="E691" s="160"/>
    </row>
    <row r="692" spans="2:5" ht="13.2" customHeight="1">
      <c r="B692" s="160"/>
      <c r="E692" s="160"/>
    </row>
    <row r="693" spans="2:5" ht="13.2" customHeight="1">
      <c r="B693" s="160"/>
      <c r="E693" s="160"/>
    </row>
    <row r="694" spans="2:5" ht="13.2" customHeight="1">
      <c r="B694" s="160"/>
      <c r="E694" s="160"/>
    </row>
    <row r="695" spans="2:5" ht="13.2" customHeight="1">
      <c r="B695" s="160"/>
      <c r="E695" s="160"/>
    </row>
    <row r="696" spans="2:5" ht="13.2" customHeight="1">
      <c r="B696" s="160"/>
      <c r="E696" s="160"/>
    </row>
    <row r="697" spans="2:5" ht="13.2" customHeight="1">
      <c r="B697" s="160"/>
      <c r="E697" s="160"/>
    </row>
    <row r="698" spans="2:5" ht="13.2" customHeight="1">
      <c r="B698" s="160"/>
      <c r="E698" s="160"/>
    </row>
    <row r="699" spans="2:5" ht="13.2" customHeight="1">
      <c r="B699" s="160"/>
      <c r="E699" s="160"/>
    </row>
    <row r="700" spans="2:5" ht="13.2" customHeight="1">
      <c r="B700" s="160"/>
      <c r="E700" s="160"/>
    </row>
    <row r="701" spans="2:5" ht="13.2" customHeight="1">
      <c r="B701" s="160"/>
      <c r="E701" s="160"/>
    </row>
    <row r="702" spans="2:5" ht="13.2" customHeight="1">
      <c r="B702" s="160"/>
      <c r="E702" s="160"/>
    </row>
    <row r="703" spans="2:5" ht="13.2" customHeight="1">
      <c r="B703" s="160"/>
      <c r="E703" s="160"/>
    </row>
    <row r="704" spans="2:5" ht="13.2" customHeight="1">
      <c r="B704" s="160"/>
      <c r="E704" s="160"/>
    </row>
    <row r="705" spans="2:5" ht="13.2" customHeight="1">
      <c r="B705" s="160"/>
      <c r="E705" s="160"/>
    </row>
    <row r="706" spans="2:5" ht="13.2" customHeight="1">
      <c r="B706" s="160"/>
      <c r="E706" s="160"/>
    </row>
    <row r="707" spans="2:5" ht="13.2" customHeight="1">
      <c r="B707" s="160"/>
      <c r="E707" s="160"/>
    </row>
    <row r="708" spans="2:5" ht="13.2" customHeight="1">
      <c r="B708" s="160"/>
      <c r="E708" s="160"/>
    </row>
    <row r="709" spans="2:5" ht="13.2" customHeight="1">
      <c r="B709" s="160"/>
      <c r="E709" s="160"/>
    </row>
    <row r="710" spans="2:5" ht="13.2" customHeight="1">
      <c r="B710" s="160"/>
      <c r="E710" s="160"/>
    </row>
    <row r="711" spans="2:5" ht="13.2" customHeight="1">
      <c r="B711" s="160"/>
      <c r="E711" s="160"/>
    </row>
    <row r="712" spans="2:5" ht="13.2" customHeight="1">
      <c r="B712" s="160"/>
      <c r="E712" s="160"/>
    </row>
    <row r="713" spans="2:5" ht="13.2" customHeight="1">
      <c r="B713" s="160"/>
      <c r="E713" s="160"/>
    </row>
    <row r="714" spans="2:5" ht="13.2" customHeight="1">
      <c r="B714" s="160"/>
      <c r="E714" s="160"/>
    </row>
    <row r="715" spans="2:5" ht="13.2" customHeight="1">
      <c r="B715" s="160"/>
      <c r="E715" s="160"/>
    </row>
    <row r="716" spans="2:5" ht="13.2" customHeight="1">
      <c r="B716" s="160"/>
      <c r="E716" s="160"/>
    </row>
    <row r="717" spans="2:5" ht="13.2" customHeight="1">
      <c r="B717" s="160"/>
      <c r="E717" s="160"/>
    </row>
    <row r="718" spans="2:5" ht="13.2" customHeight="1">
      <c r="B718" s="160"/>
      <c r="E718" s="160"/>
    </row>
    <row r="719" spans="2:5" ht="13.2" customHeight="1">
      <c r="B719" s="160"/>
      <c r="E719" s="160"/>
    </row>
    <row r="720" spans="2:5" ht="13.2" customHeight="1">
      <c r="B720" s="160"/>
      <c r="E720" s="160"/>
    </row>
    <row r="721" spans="2:5" ht="13.2" customHeight="1">
      <c r="B721" s="160"/>
      <c r="E721" s="160"/>
    </row>
    <row r="722" spans="2:5" ht="13.2" customHeight="1">
      <c r="B722" s="160"/>
      <c r="E722" s="160"/>
    </row>
    <row r="723" spans="2:5" ht="13.2" customHeight="1">
      <c r="B723" s="160"/>
      <c r="E723" s="160"/>
    </row>
    <row r="724" spans="2:5" ht="13.2" customHeight="1">
      <c r="B724" s="160"/>
      <c r="E724" s="160"/>
    </row>
    <row r="725" spans="2:5" ht="13.2" customHeight="1">
      <c r="B725" s="160"/>
      <c r="E725" s="160"/>
    </row>
    <row r="726" spans="2:5" ht="13.2" customHeight="1">
      <c r="B726" s="160"/>
      <c r="E726" s="160"/>
    </row>
    <row r="727" spans="2:5" ht="13.2" customHeight="1">
      <c r="B727" s="160"/>
      <c r="E727" s="160"/>
    </row>
    <row r="728" spans="2:5" ht="13.2" customHeight="1">
      <c r="B728" s="160"/>
      <c r="E728" s="160"/>
    </row>
    <row r="729" spans="2:5" ht="13.2" customHeight="1">
      <c r="B729" s="160"/>
      <c r="E729" s="160"/>
    </row>
    <row r="730" spans="2:5" ht="13.2" customHeight="1">
      <c r="B730" s="160"/>
      <c r="E730" s="160"/>
    </row>
    <row r="731" spans="2:5" ht="13.2" customHeight="1">
      <c r="B731" s="160"/>
      <c r="E731" s="160"/>
    </row>
    <row r="732" spans="2:5" ht="13.2" customHeight="1">
      <c r="B732" s="160"/>
      <c r="E732" s="160"/>
    </row>
    <row r="733" spans="2:5" ht="13.2" customHeight="1">
      <c r="B733" s="160"/>
      <c r="E733" s="160"/>
    </row>
    <row r="734" spans="2:5" ht="13.2" customHeight="1">
      <c r="B734" s="160"/>
      <c r="E734" s="160"/>
    </row>
    <row r="735" spans="2:5" ht="13.2" customHeight="1">
      <c r="B735" s="160"/>
      <c r="E735" s="160"/>
    </row>
    <row r="736" spans="2:5" ht="13.2" customHeight="1">
      <c r="B736" s="160"/>
      <c r="E736" s="160"/>
    </row>
    <row r="737" spans="2:5" ht="13.2" customHeight="1">
      <c r="B737" s="160"/>
      <c r="E737" s="160"/>
    </row>
    <row r="738" spans="2:5" ht="13.2" customHeight="1">
      <c r="B738" s="160"/>
      <c r="E738" s="160"/>
    </row>
    <row r="739" spans="2:5" ht="13.2" customHeight="1">
      <c r="B739" s="160"/>
      <c r="E739" s="160"/>
    </row>
    <row r="740" spans="2:5" ht="13.2" customHeight="1">
      <c r="B740" s="160"/>
      <c r="E740" s="160"/>
    </row>
    <row r="741" spans="2:5" ht="13.2" customHeight="1">
      <c r="B741" s="160"/>
      <c r="E741" s="160"/>
    </row>
    <row r="742" spans="2:5" ht="13.2" customHeight="1">
      <c r="B742" s="160"/>
      <c r="E742" s="160"/>
    </row>
    <row r="743" spans="2:5" ht="13.2" customHeight="1">
      <c r="B743" s="160"/>
      <c r="E743" s="160"/>
    </row>
    <row r="744" spans="2:5" ht="13.2" customHeight="1">
      <c r="B744" s="160"/>
      <c r="E744" s="160"/>
    </row>
    <row r="745" spans="2:5" ht="13.2" customHeight="1">
      <c r="B745" s="160"/>
      <c r="E745" s="160"/>
    </row>
    <row r="746" spans="2:5" ht="13.2" customHeight="1">
      <c r="B746" s="160"/>
      <c r="E746" s="160"/>
    </row>
    <row r="747" spans="2:5" ht="13.2" customHeight="1">
      <c r="B747" s="160"/>
      <c r="E747" s="160"/>
    </row>
    <row r="748" spans="2:5" ht="13.2" customHeight="1">
      <c r="B748" s="160"/>
      <c r="E748" s="160"/>
    </row>
    <row r="749" spans="2:5" ht="13.2" customHeight="1">
      <c r="B749" s="160"/>
      <c r="E749" s="160"/>
    </row>
    <row r="750" spans="2:5" ht="13.2" customHeight="1">
      <c r="B750" s="160"/>
      <c r="E750" s="160"/>
    </row>
    <row r="751" spans="2:5" ht="13.2" customHeight="1">
      <c r="B751" s="160"/>
      <c r="E751" s="160"/>
    </row>
    <row r="752" spans="2:5" ht="13.2" customHeight="1">
      <c r="B752" s="160"/>
      <c r="E752" s="160"/>
    </row>
    <row r="753" spans="2:5" ht="13.2" customHeight="1">
      <c r="B753" s="160"/>
      <c r="E753" s="160"/>
    </row>
    <row r="754" spans="2:5" ht="13.2" customHeight="1">
      <c r="B754" s="160"/>
      <c r="E754" s="160"/>
    </row>
    <row r="755" spans="2:5" ht="13.2" customHeight="1">
      <c r="B755" s="160"/>
      <c r="E755" s="160"/>
    </row>
    <row r="756" spans="2:5" ht="13.2" customHeight="1">
      <c r="B756" s="160"/>
      <c r="E756" s="160"/>
    </row>
    <row r="757" spans="2:5" ht="13.2" customHeight="1">
      <c r="B757" s="160"/>
      <c r="E757" s="160"/>
    </row>
    <row r="758" spans="2:5" ht="13.2" customHeight="1">
      <c r="B758" s="160"/>
      <c r="E758" s="160"/>
    </row>
    <row r="759" spans="2:5" ht="13.2" customHeight="1">
      <c r="B759" s="160"/>
      <c r="E759" s="160"/>
    </row>
    <row r="760" spans="2:5" ht="13.2" customHeight="1">
      <c r="B760" s="160"/>
      <c r="E760" s="160"/>
    </row>
    <row r="761" spans="2:5" ht="13.2" customHeight="1">
      <c r="B761" s="160"/>
      <c r="E761" s="160"/>
    </row>
    <row r="762" spans="2:5" ht="13.2" customHeight="1">
      <c r="B762" s="160"/>
      <c r="E762" s="160"/>
    </row>
    <row r="763" spans="2:5" ht="13.2" customHeight="1">
      <c r="B763" s="160"/>
      <c r="E763" s="160"/>
    </row>
    <row r="764" spans="2:5" ht="13.2" customHeight="1">
      <c r="B764" s="160"/>
      <c r="E764" s="160"/>
    </row>
    <row r="765" spans="2:5" ht="13.2" customHeight="1">
      <c r="B765" s="160"/>
      <c r="E765" s="160"/>
    </row>
    <row r="766" spans="2:5" ht="13.2" customHeight="1">
      <c r="B766" s="160"/>
      <c r="E766" s="160"/>
    </row>
    <row r="767" spans="2:5" ht="13.2" customHeight="1">
      <c r="B767" s="160"/>
      <c r="E767" s="160"/>
    </row>
    <row r="768" spans="2:5" ht="13.2" customHeight="1">
      <c r="B768" s="160"/>
      <c r="E768" s="160"/>
    </row>
    <row r="769" spans="2:5" ht="13.2" customHeight="1">
      <c r="B769" s="160"/>
      <c r="E769" s="160"/>
    </row>
    <row r="770" spans="2:5" ht="13.2" customHeight="1">
      <c r="B770" s="160"/>
      <c r="E770" s="160"/>
    </row>
    <row r="771" spans="2:5" ht="13.2" customHeight="1">
      <c r="B771" s="160"/>
      <c r="E771" s="160"/>
    </row>
    <row r="772" spans="2:5" ht="13.2" customHeight="1">
      <c r="B772" s="160"/>
      <c r="E772" s="160"/>
    </row>
    <row r="773" spans="2:5" ht="13.2" customHeight="1">
      <c r="B773" s="160"/>
      <c r="E773" s="160"/>
    </row>
    <row r="774" spans="2:5" ht="13.2" customHeight="1">
      <c r="B774" s="160"/>
      <c r="E774" s="160"/>
    </row>
    <row r="775" spans="2:5" ht="13.2" customHeight="1">
      <c r="B775" s="160"/>
      <c r="E775" s="160"/>
    </row>
    <row r="776" spans="2:5" ht="13.2" customHeight="1">
      <c r="B776" s="160"/>
      <c r="E776" s="160"/>
    </row>
    <row r="777" spans="2:5" ht="13.2" customHeight="1">
      <c r="B777" s="160"/>
      <c r="E777" s="160"/>
    </row>
    <row r="778" spans="2:5" ht="13.2" customHeight="1">
      <c r="B778" s="160"/>
      <c r="E778" s="160"/>
    </row>
    <row r="779" spans="2:5" ht="13.2" customHeight="1">
      <c r="B779" s="160"/>
      <c r="E779" s="160"/>
    </row>
    <row r="780" spans="2:5" ht="13.2" customHeight="1">
      <c r="B780" s="160"/>
      <c r="E780" s="160"/>
    </row>
    <row r="781" spans="2:5" ht="13.2" customHeight="1">
      <c r="B781" s="160"/>
      <c r="E781" s="160"/>
    </row>
    <row r="782" spans="2:5" ht="13.2" customHeight="1">
      <c r="B782" s="160"/>
      <c r="E782" s="160"/>
    </row>
    <row r="783" spans="2:5" ht="13.2" customHeight="1">
      <c r="B783" s="160"/>
      <c r="E783" s="160"/>
    </row>
    <row r="784" spans="2:5" ht="13.2" customHeight="1">
      <c r="B784" s="160"/>
      <c r="E784" s="160"/>
    </row>
    <row r="785" spans="2:5" ht="13.2" customHeight="1">
      <c r="B785" s="160"/>
      <c r="E785" s="160"/>
    </row>
    <row r="786" spans="2:5" ht="13.2" customHeight="1">
      <c r="B786" s="160"/>
      <c r="E786" s="160"/>
    </row>
    <row r="787" spans="2:5" ht="13.2" customHeight="1">
      <c r="B787" s="160"/>
      <c r="E787" s="160"/>
    </row>
    <row r="788" spans="2:5" ht="13.2" customHeight="1">
      <c r="B788" s="160"/>
      <c r="E788" s="160"/>
    </row>
    <row r="789" spans="2:5" ht="13.2" customHeight="1">
      <c r="B789" s="160"/>
      <c r="E789" s="160"/>
    </row>
    <row r="790" spans="2:5" ht="13.2" customHeight="1">
      <c r="B790" s="160"/>
      <c r="E790" s="160"/>
    </row>
    <row r="791" spans="2:5" ht="13.2" customHeight="1">
      <c r="B791" s="160"/>
      <c r="E791" s="160"/>
    </row>
    <row r="792" spans="2:5" ht="13.2" customHeight="1">
      <c r="B792" s="160"/>
      <c r="E792" s="160"/>
    </row>
    <row r="793" spans="2:5" ht="13.2" customHeight="1">
      <c r="B793" s="160"/>
      <c r="E793" s="160"/>
    </row>
    <row r="794" spans="2:5" ht="13.2" customHeight="1">
      <c r="B794" s="160"/>
      <c r="E794" s="160"/>
    </row>
    <row r="795" spans="2:5" ht="13.2" customHeight="1">
      <c r="B795" s="160"/>
      <c r="E795" s="160"/>
    </row>
    <row r="796" spans="2:5" ht="13.2" customHeight="1">
      <c r="B796" s="160"/>
      <c r="E796" s="160"/>
    </row>
    <row r="797" spans="2:5" ht="13.2" customHeight="1">
      <c r="B797" s="160"/>
      <c r="E797" s="160"/>
    </row>
    <row r="798" spans="2:5" ht="13.2" customHeight="1">
      <c r="B798" s="160"/>
      <c r="E798" s="160"/>
    </row>
    <row r="799" spans="2:5" ht="13.2" customHeight="1">
      <c r="B799" s="160"/>
      <c r="E799" s="160"/>
    </row>
    <row r="800" spans="2:5" ht="13.2" customHeight="1">
      <c r="B800" s="160"/>
      <c r="E800" s="160"/>
    </row>
    <row r="801" spans="2:5" ht="13.2" customHeight="1">
      <c r="B801" s="160"/>
      <c r="E801" s="160"/>
    </row>
    <row r="802" spans="2:5" ht="13.2" customHeight="1">
      <c r="B802" s="160"/>
      <c r="E802" s="160"/>
    </row>
    <row r="803" spans="2:5" ht="13.2" customHeight="1">
      <c r="B803" s="160"/>
      <c r="E803" s="160"/>
    </row>
    <row r="804" spans="2:5" ht="13.2" customHeight="1">
      <c r="B804" s="160"/>
      <c r="E804" s="160"/>
    </row>
    <row r="805" spans="2:5" ht="13.2" customHeight="1">
      <c r="B805" s="160"/>
      <c r="E805" s="160"/>
    </row>
    <row r="806" spans="2:5" ht="13.2" customHeight="1">
      <c r="B806" s="160"/>
      <c r="E806" s="160"/>
    </row>
    <row r="807" spans="2:5" ht="13.2" customHeight="1">
      <c r="B807" s="160"/>
      <c r="E807" s="160"/>
    </row>
    <row r="808" spans="2:5" ht="13.2" customHeight="1">
      <c r="B808" s="160"/>
      <c r="E808" s="160"/>
    </row>
    <row r="809" spans="2:5" ht="13.2" customHeight="1">
      <c r="B809" s="160"/>
      <c r="E809" s="160"/>
    </row>
    <row r="810" spans="2:5" ht="13.2" customHeight="1">
      <c r="B810" s="160"/>
      <c r="E810" s="160"/>
    </row>
    <row r="811" spans="2:5" ht="13.2" customHeight="1">
      <c r="B811" s="160"/>
      <c r="E811" s="160"/>
    </row>
    <row r="812" spans="2:5" ht="13.2" customHeight="1">
      <c r="B812" s="160"/>
      <c r="E812" s="160"/>
    </row>
    <row r="813" spans="2:5" ht="13.2" customHeight="1">
      <c r="B813" s="160"/>
      <c r="E813" s="160"/>
    </row>
    <row r="814" spans="2:5" ht="13.2" customHeight="1">
      <c r="B814" s="160"/>
      <c r="E814" s="160"/>
    </row>
    <row r="815" spans="2:5" ht="13.2" customHeight="1">
      <c r="B815" s="160"/>
      <c r="E815" s="160"/>
    </row>
    <row r="816" spans="2:5" ht="13.2" customHeight="1">
      <c r="B816" s="160"/>
      <c r="E816" s="160"/>
    </row>
    <row r="817" spans="2:5" ht="13.2" customHeight="1">
      <c r="B817" s="160"/>
      <c r="E817" s="160"/>
    </row>
    <row r="818" spans="2:5" ht="13.2" customHeight="1">
      <c r="B818" s="160"/>
      <c r="E818" s="160"/>
    </row>
    <row r="819" spans="2:5" ht="13.2" customHeight="1">
      <c r="B819" s="160"/>
      <c r="E819" s="160"/>
    </row>
    <row r="820" spans="2:5" ht="13.2" customHeight="1">
      <c r="B820" s="160"/>
      <c r="E820" s="160"/>
    </row>
    <row r="821" spans="2:5" ht="13.2" customHeight="1">
      <c r="B821" s="160"/>
      <c r="E821" s="160"/>
    </row>
    <row r="822" spans="2:5" ht="13.2" customHeight="1">
      <c r="B822" s="160"/>
      <c r="E822" s="160"/>
    </row>
    <row r="823" spans="2:5" ht="13.2" customHeight="1">
      <c r="B823" s="160"/>
      <c r="E823" s="160"/>
    </row>
    <row r="824" spans="2:5" ht="13.2" customHeight="1">
      <c r="B824" s="160"/>
      <c r="E824" s="160"/>
    </row>
    <row r="825" spans="2:5" ht="13.2" customHeight="1">
      <c r="B825" s="160"/>
      <c r="E825" s="160"/>
    </row>
    <row r="826" spans="2:5" ht="13.2" customHeight="1">
      <c r="B826" s="160"/>
      <c r="E826" s="160"/>
    </row>
    <row r="827" spans="2:5" ht="13.2" customHeight="1">
      <c r="B827" s="160"/>
      <c r="E827" s="160"/>
    </row>
    <row r="828" spans="2:5" ht="13.2" customHeight="1">
      <c r="B828" s="160"/>
      <c r="E828" s="160"/>
    </row>
    <row r="829" spans="2:5" ht="13.2" customHeight="1">
      <c r="B829" s="160"/>
      <c r="E829" s="160"/>
    </row>
    <row r="830" spans="2:5" ht="13.2" customHeight="1">
      <c r="B830" s="160"/>
      <c r="E830" s="160"/>
    </row>
    <row r="831" spans="2:5" ht="13.2" customHeight="1">
      <c r="B831" s="160"/>
      <c r="E831" s="160"/>
    </row>
    <row r="832" spans="2:5" ht="13.2" customHeight="1">
      <c r="B832" s="160"/>
      <c r="E832" s="160"/>
    </row>
    <row r="833" spans="2:5" ht="13.2" customHeight="1">
      <c r="B833" s="160"/>
      <c r="E833" s="160"/>
    </row>
    <row r="834" spans="2:5" ht="13.2" customHeight="1">
      <c r="B834" s="160"/>
      <c r="E834" s="160"/>
    </row>
    <row r="835" spans="2:5" ht="13.2" customHeight="1">
      <c r="B835" s="160"/>
      <c r="E835" s="160"/>
    </row>
    <row r="836" spans="2:5" ht="13.2" customHeight="1">
      <c r="B836" s="160"/>
      <c r="E836" s="160"/>
    </row>
    <row r="837" spans="2:5" ht="13.2" customHeight="1">
      <c r="B837" s="160"/>
      <c r="E837" s="160"/>
    </row>
    <row r="838" spans="2:5" ht="13.2" customHeight="1">
      <c r="B838" s="160"/>
      <c r="E838" s="160"/>
    </row>
    <row r="839" spans="2:5" ht="13.2" customHeight="1">
      <c r="B839" s="160"/>
      <c r="E839" s="160"/>
    </row>
    <row r="840" spans="2:5" ht="13.2" customHeight="1">
      <c r="B840" s="160"/>
      <c r="E840" s="160"/>
    </row>
    <row r="841" spans="2:5" ht="13.2" customHeight="1">
      <c r="B841" s="160"/>
      <c r="E841" s="160"/>
    </row>
    <row r="842" spans="2:5" ht="13.2" customHeight="1">
      <c r="B842" s="160"/>
      <c r="E842" s="160"/>
    </row>
    <row r="843" spans="2:5" ht="13.2" customHeight="1">
      <c r="B843" s="160"/>
      <c r="E843" s="160"/>
    </row>
    <row r="844" spans="2:5" ht="13.2" customHeight="1">
      <c r="B844" s="160"/>
      <c r="E844" s="160"/>
    </row>
    <row r="845" spans="2:5" ht="13.2" customHeight="1">
      <c r="B845" s="160"/>
      <c r="E845" s="160"/>
    </row>
    <row r="846" spans="2:5" ht="13.2" customHeight="1">
      <c r="B846" s="160"/>
      <c r="E846" s="160"/>
    </row>
    <row r="847" spans="2:5" ht="13.2" customHeight="1">
      <c r="B847" s="160"/>
      <c r="E847" s="160"/>
    </row>
    <row r="848" spans="2:5" ht="13.2" customHeight="1">
      <c r="B848" s="160"/>
      <c r="E848" s="160"/>
    </row>
    <row r="849" spans="2:5" ht="13.2" customHeight="1">
      <c r="B849" s="160"/>
      <c r="E849" s="160"/>
    </row>
    <row r="850" spans="2:5" ht="13.2" customHeight="1">
      <c r="B850" s="160"/>
      <c r="E850" s="160"/>
    </row>
    <row r="851" spans="2:5" ht="13.2" customHeight="1">
      <c r="B851" s="160"/>
      <c r="E851" s="160"/>
    </row>
    <row r="852" spans="2:5" ht="13.2" customHeight="1">
      <c r="B852" s="160"/>
      <c r="E852" s="160"/>
    </row>
    <row r="853" spans="2:5" ht="13.2" customHeight="1">
      <c r="B853" s="160"/>
      <c r="E853" s="160"/>
    </row>
    <row r="854" spans="2:5" ht="13.2" customHeight="1">
      <c r="B854" s="160"/>
      <c r="E854" s="160"/>
    </row>
    <row r="855" spans="2:5" ht="13.2" customHeight="1">
      <c r="B855" s="160"/>
      <c r="E855" s="160"/>
    </row>
    <row r="856" spans="2:5" ht="13.2" customHeight="1">
      <c r="B856" s="160"/>
      <c r="E856" s="160"/>
    </row>
    <row r="857" spans="2:5" ht="13.2" customHeight="1">
      <c r="B857" s="160"/>
      <c r="E857" s="160"/>
    </row>
    <row r="858" spans="2:5" ht="13.2" customHeight="1">
      <c r="B858" s="160"/>
      <c r="E858" s="160"/>
    </row>
    <row r="859" spans="2:5" ht="13.2" customHeight="1">
      <c r="B859" s="160"/>
      <c r="E859" s="160"/>
    </row>
    <row r="860" spans="2:5" ht="13.2" customHeight="1">
      <c r="B860" s="160"/>
      <c r="E860" s="160"/>
    </row>
    <row r="861" spans="2:5" ht="13.2" customHeight="1">
      <c r="B861" s="160"/>
      <c r="E861" s="160"/>
    </row>
    <row r="862" spans="2:5" ht="13.2" customHeight="1">
      <c r="B862" s="160"/>
      <c r="E862" s="160"/>
    </row>
    <row r="863" spans="2:5" ht="13.2" customHeight="1">
      <c r="B863" s="160"/>
      <c r="E863" s="160"/>
    </row>
    <row r="864" spans="2:5" ht="13.2" customHeight="1">
      <c r="B864" s="160"/>
      <c r="E864" s="160"/>
    </row>
    <row r="865" spans="2:5" ht="13.2" customHeight="1">
      <c r="B865" s="160"/>
      <c r="E865" s="160"/>
    </row>
    <row r="866" spans="2:5" ht="13.2" customHeight="1">
      <c r="B866" s="160"/>
      <c r="E866" s="160"/>
    </row>
    <row r="867" spans="2:5" ht="13.2" customHeight="1">
      <c r="B867" s="160"/>
      <c r="E867" s="160"/>
    </row>
    <row r="868" spans="2:5" ht="13.2" customHeight="1">
      <c r="B868" s="160"/>
      <c r="E868" s="160"/>
    </row>
    <row r="869" spans="2:5" ht="13.2" customHeight="1">
      <c r="B869" s="160"/>
      <c r="E869" s="160"/>
    </row>
    <row r="870" spans="2:5" ht="13.2" customHeight="1">
      <c r="B870" s="160"/>
      <c r="E870" s="160"/>
    </row>
    <row r="871" spans="2:5" ht="13.2" customHeight="1">
      <c r="B871" s="160"/>
      <c r="E871" s="160"/>
    </row>
    <row r="872" spans="2:5" ht="13.2" customHeight="1">
      <c r="B872" s="160"/>
      <c r="E872" s="160"/>
    </row>
    <row r="873" spans="2:5" ht="13.2" customHeight="1">
      <c r="B873" s="160"/>
      <c r="E873" s="160"/>
    </row>
    <row r="874" spans="2:5" ht="13.2" customHeight="1">
      <c r="B874" s="160"/>
      <c r="E874" s="160"/>
    </row>
    <row r="875" spans="2:5" ht="13.2" customHeight="1">
      <c r="B875" s="160"/>
      <c r="E875" s="160"/>
    </row>
    <row r="876" spans="2:5" ht="13.2" customHeight="1">
      <c r="B876" s="160"/>
      <c r="E876" s="160"/>
    </row>
    <row r="877" spans="2:5" ht="13.2" customHeight="1">
      <c r="B877" s="160"/>
      <c r="E877" s="160"/>
    </row>
    <row r="878" spans="2:5" ht="13.2" customHeight="1">
      <c r="B878" s="160"/>
      <c r="E878" s="160"/>
    </row>
    <row r="879" spans="2:5" ht="13.2" customHeight="1">
      <c r="B879" s="160"/>
      <c r="E879" s="160"/>
    </row>
    <row r="880" spans="2:5" ht="13.2" customHeight="1">
      <c r="B880" s="160"/>
      <c r="E880" s="160"/>
    </row>
    <row r="881" spans="2:5" ht="13.2" customHeight="1">
      <c r="B881" s="160"/>
      <c r="E881" s="160"/>
    </row>
    <row r="882" spans="2:5" ht="13.2" customHeight="1">
      <c r="B882" s="160"/>
      <c r="E882" s="160"/>
    </row>
    <row r="883" spans="2:5" ht="13.2" customHeight="1">
      <c r="B883" s="160"/>
      <c r="E883" s="160"/>
    </row>
    <row r="884" spans="2:5" ht="13.2" customHeight="1">
      <c r="B884" s="160"/>
      <c r="E884" s="160"/>
    </row>
    <row r="885" spans="2:5" ht="13.2" customHeight="1">
      <c r="B885" s="160"/>
      <c r="E885" s="160"/>
    </row>
    <row r="886" spans="2:5" ht="13.2" customHeight="1">
      <c r="B886" s="160"/>
      <c r="E886" s="160"/>
    </row>
    <row r="887" spans="2:5" ht="13.2" customHeight="1">
      <c r="B887" s="160"/>
      <c r="E887" s="160"/>
    </row>
    <row r="888" spans="2:5" ht="13.2" customHeight="1">
      <c r="B888" s="160"/>
      <c r="E888" s="160"/>
    </row>
    <row r="889" spans="2:5" ht="13.2" customHeight="1">
      <c r="B889" s="160"/>
      <c r="E889" s="160"/>
    </row>
    <row r="890" spans="2:5" ht="13.2" customHeight="1">
      <c r="B890" s="160"/>
      <c r="E890" s="160"/>
    </row>
    <row r="891" spans="2:5" ht="13.2" customHeight="1">
      <c r="B891" s="160"/>
      <c r="E891" s="160"/>
    </row>
    <row r="892" spans="2:5" ht="13.2" customHeight="1">
      <c r="B892" s="160"/>
      <c r="E892" s="160"/>
    </row>
    <row r="893" spans="2:5" ht="13.2" customHeight="1">
      <c r="B893" s="160"/>
      <c r="E893" s="160"/>
    </row>
    <row r="894" spans="2:5" ht="13.2" customHeight="1">
      <c r="B894" s="160"/>
      <c r="E894" s="160"/>
    </row>
    <row r="895" spans="2:5" ht="13.2" customHeight="1">
      <c r="B895" s="160"/>
      <c r="E895" s="160"/>
    </row>
    <row r="896" spans="2:5" ht="13.2" customHeight="1">
      <c r="B896" s="160"/>
      <c r="E896" s="160"/>
    </row>
    <row r="897" spans="2:5" ht="13.2" customHeight="1">
      <c r="B897" s="160"/>
      <c r="E897" s="160"/>
    </row>
    <row r="898" spans="2:5" ht="13.2" customHeight="1">
      <c r="B898" s="160"/>
      <c r="E898" s="160"/>
    </row>
    <row r="899" spans="2:5" ht="13.2" customHeight="1">
      <c r="B899" s="160"/>
      <c r="E899" s="160"/>
    </row>
    <row r="900" spans="2:5" ht="13.2" customHeight="1">
      <c r="B900" s="160"/>
      <c r="E900" s="160"/>
    </row>
    <row r="901" spans="2:5" ht="13.2" customHeight="1">
      <c r="B901" s="160"/>
      <c r="E901" s="160"/>
    </row>
    <row r="902" spans="2:5" ht="13.2" customHeight="1">
      <c r="B902" s="160"/>
      <c r="E902" s="160"/>
    </row>
    <row r="903" spans="2:5" ht="13.2" customHeight="1">
      <c r="B903" s="160"/>
      <c r="E903" s="160"/>
    </row>
    <row r="904" spans="2:5" ht="13.2" customHeight="1">
      <c r="B904" s="160"/>
      <c r="E904" s="160"/>
    </row>
    <row r="905" spans="2:5" ht="13.2" customHeight="1">
      <c r="B905" s="160"/>
      <c r="E905" s="160"/>
    </row>
    <row r="906" spans="2:5" ht="13.2" customHeight="1">
      <c r="B906" s="160"/>
      <c r="E906" s="160"/>
    </row>
    <row r="907" spans="2:5" ht="13.2" customHeight="1">
      <c r="B907" s="160"/>
      <c r="E907" s="160"/>
    </row>
    <row r="908" spans="2:5" ht="13.2" customHeight="1">
      <c r="B908" s="160"/>
      <c r="E908" s="160"/>
    </row>
    <row r="909" spans="2:5" ht="13.2" customHeight="1">
      <c r="B909" s="160"/>
      <c r="E909" s="160"/>
    </row>
    <row r="910" spans="2:5" ht="13.2" customHeight="1">
      <c r="B910" s="160"/>
      <c r="E910" s="160"/>
    </row>
    <row r="911" spans="2:5" ht="13.2" customHeight="1">
      <c r="B911" s="160"/>
      <c r="E911" s="160"/>
    </row>
    <row r="912" spans="2:5" ht="13.2" customHeight="1">
      <c r="B912" s="160"/>
      <c r="E912" s="160"/>
    </row>
    <row r="913" spans="2:5" ht="13.2" customHeight="1">
      <c r="B913" s="160"/>
      <c r="E913" s="160"/>
    </row>
    <row r="914" spans="2:5" ht="13.2" customHeight="1">
      <c r="B914" s="160"/>
      <c r="E914" s="160"/>
    </row>
    <row r="915" spans="2:5" ht="13.2" customHeight="1">
      <c r="B915" s="160"/>
      <c r="E915" s="160"/>
    </row>
    <row r="916" spans="2:5" ht="13.2" customHeight="1">
      <c r="B916" s="160"/>
      <c r="E916" s="160"/>
    </row>
    <row r="917" spans="2:5" ht="13.2" customHeight="1">
      <c r="B917" s="160"/>
      <c r="E917" s="160"/>
    </row>
    <row r="918" spans="2:5" ht="13.2" customHeight="1">
      <c r="B918" s="160"/>
      <c r="E918" s="160"/>
    </row>
    <row r="919" spans="2:5" ht="13.2" customHeight="1">
      <c r="B919" s="160"/>
      <c r="E919" s="160"/>
    </row>
    <row r="920" spans="2:5" ht="13.2" customHeight="1">
      <c r="B920" s="160"/>
      <c r="E920" s="160"/>
    </row>
    <row r="921" spans="2:5" ht="13.2" customHeight="1">
      <c r="B921" s="160"/>
      <c r="E921" s="160"/>
    </row>
    <row r="922" spans="2:5" ht="13.2" customHeight="1">
      <c r="B922" s="160"/>
      <c r="E922" s="160"/>
    </row>
    <row r="923" spans="2:5" ht="13.2" customHeight="1">
      <c r="B923" s="160"/>
      <c r="E923" s="160"/>
    </row>
    <row r="924" spans="2:5" ht="13.2" customHeight="1">
      <c r="B924" s="160"/>
      <c r="E924" s="160"/>
    </row>
    <row r="925" spans="2:5" ht="13.2" customHeight="1">
      <c r="B925" s="160"/>
      <c r="E925" s="160"/>
    </row>
    <row r="926" spans="2:5" ht="13.2" customHeight="1">
      <c r="B926" s="160"/>
      <c r="E926" s="160"/>
    </row>
    <row r="927" spans="2:5" ht="13.2" customHeight="1">
      <c r="B927" s="160"/>
      <c r="E927" s="160"/>
    </row>
    <row r="928" spans="2:5" ht="13.2" customHeight="1">
      <c r="B928" s="160"/>
      <c r="E928" s="160"/>
    </row>
    <row r="929" spans="2:5" ht="13.2" customHeight="1">
      <c r="B929" s="160"/>
      <c r="E929" s="160"/>
    </row>
    <row r="930" spans="2:5" ht="13.2" customHeight="1">
      <c r="B930" s="160"/>
      <c r="E930" s="160"/>
    </row>
    <row r="931" spans="2:5" ht="13.2" customHeight="1">
      <c r="B931" s="160"/>
      <c r="E931" s="160"/>
    </row>
    <row r="932" spans="2:5" ht="13.2" customHeight="1">
      <c r="B932" s="160"/>
      <c r="E932" s="160"/>
    </row>
    <row r="933" spans="2:5" ht="13.2" customHeight="1">
      <c r="B933" s="160"/>
      <c r="E933" s="160"/>
    </row>
    <row r="934" spans="2:5" ht="13.2" customHeight="1">
      <c r="B934" s="160"/>
      <c r="E934" s="160"/>
    </row>
    <row r="935" spans="2:5" ht="13.2" customHeight="1">
      <c r="B935" s="160"/>
      <c r="E935" s="160"/>
    </row>
    <row r="936" spans="2:5" ht="13.2" customHeight="1">
      <c r="B936" s="160"/>
      <c r="E936" s="160"/>
    </row>
    <row r="937" spans="2:5" ht="13.2" customHeight="1">
      <c r="B937" s="160"/>
      <c r="E937" s="160"/>
    </row>
    <row r="938" spans="2:5" ht="13.2" customHeight="1">
      <c r="B938" s="160"/>
      <c r="E938" s="160"/>
    </row>
    <row r="939" spans="2:5" ht="13.2" customHeight="1">
      <c r="B939" s="160"/>
      <c r="E939" s="160"/>
    </row>
    <row r="940" spans="2:5" ht="13.2" customHeight="1">
      <c r="B940" s="160"/>
      <c r="E940" s="160"/>
    </row>
    <row r="941" spans="2:5" ht="13.2" customHeight="1">
      <c r="B941" s="160"/>
      <c r="E941" s="160"/>
    </row>
    <row r="942" spans="2:5" ht="13.2" customHeight="1">
      <c r="B942" s="160"/>
      <c r="E942" s="160"/>
    </row>
    <row r="943" spans="2:5" ht="13.2" customHeight="1">
      <c r="B943" s="160"/>
      <c r="E943" s="160"/>
    </row>
    <row r="944" spans="2:5" ht="13.2" customHeight="1">
      <c r="B944" s="160"/>
      <c r="E944" s="160"/>
    </row>
    <row r="945" spans="2:5" ht="13.2" customHeight="1">
      <c r="B945" s="160"/>
      <c r="E945" s="160"/>
    </row>
    <row r="946" spans="2:5" ht="13.2" customHeight="1">
      <c r="B946" s="160"/>
      <c r="E946" s="160"/>
    </row>
    <row r="947" spans="2:5" ht="13.2" customHeight="1">
      <c r="B947" s="160"/>
      <c r="E947" s="160"/>
    </row>
    <row r="948" spans="2:5" ht="13.2" customHeight="1">
      <c r="B948" s="160"/>
      <c r="E948" s="160"/>
    </row>
    <row r="949" spans="2:5" ht="13.2" customHeight="1">
      <c r="B949" s="160"/>
      <c r="E949" s="160"/>
    </row>
    <row r="950" spans="2:5" ht="13.2" customHeight="1">
      <c r="B950" s="160"/>
      <c r="E950" s="160"/>
    </row>
    <row r="951" spans="2:5" ht="13.2" customHeight="1">
      <c r="B951" s="160"/>
      <c r="E951" s="160"/>
    </row>
    <row r="952" spans="2:5" ht="13.2" customHeight="1">
      <c r="B952" s="160"/>
      <c r="E952" s="160"/>
    </row>
    <row r="953" spans="2:5" ht="13.2" customHeight="1">
      <c r="B953" s="160"/>
      <c r="E953" s="160"/>
    </row>
    <row r="954" spans="2:5" ht="13.2" customHeight="1">
      <c r="B954" s="160"/>
      <c r="E954" s="160"/>
    </row>
    <row r="955" spans="2:5" ht="13.2" customHeight="1">
      <c r="B955" s="160"/>
      <c r="E955" s="160"/>
    </row>
    <row r="956" spans="2:5" ht="13.2" customHeight="1">
      <c r="B956" s="160"/>
      <c r="E956" s="160"/>
    </row>
    <row r="957" spans="2:5" ht="13.2" customHeight="1">
      <c r="B957" s="160"/>
      <c r="E957" s="160"/>
    </row>
    <row r="958" spans="2:5" ht="13.2" customHeight="1">
      <c r="B958" s="160"/>
      <c r="E958" s="160"/>
    </row>
    <row r="959" spans="2:5" ht="13.2" customHeight="1">
      <c r="B959" s="160"/>
      <c r="E959" s="160"/>
    </row>
    <row r="960" spans="2:5" ht="13.2" customHeight="1">
      <c r="B960" s="160"/>
      <c r="E960" s="160"/>
    </row>
    <row r="961" spans="2:5" ht="13.2" customHeight="1">
      <c r="B961" s="160"/>
      <c r="E961" s="160"/>
    </row>
    <row r="962" spans="2:5" ht="13.2" customHeight="1">
      <c r="B962" s="160"/>
      <c r="E962" s="160"/>
    </row>
    <row r="963" spans="2:5" ht="13.2" customHeight="1">
      <c r="B963" s="160"/>
      <c r="E963" s="160"/>
    </row>
    <row r="964" spans="2:5" ht="13.2" customHeight="1">
      <c r="B964" s="160"/>
      <c r="E964" s="160"/>
    </row>
    <row r="965" spans="2:5" ht="13.2" customHeight="1">
      <c r="B965" s="160"/>
      <c r="E965" s="160"/>
    </row>
    <row r="966" spans="2:5" ht="13.2" customHeight="1">
      <c r="B966" s="160"/>
      <c r="E966" s="160"/>
    </row>
    <row r="967" spans="2:5" ht="13.2" customHeight="1">
      <c r="B967" s="160"/>
      <c r="E967" s="160"/>
    </row>
    <row r="968" spans="2:5" ht="13.2" customHeight="1">
      <c r="B968" s="160"/>
      <c r="E968" s="160"/>
    </row>
    <row r="969" spans="2:5" ht="13.2" customHeight="1">
      <c r="B969" s="160"/>
      <c r="E969" s="160"/>
    </row>
    <row r="970" spans="2:5" ht="13.2" customHeight="1">
      <c r="B970" s="160"/>
      <c r="E970" s="160"/>
    </row>
    <row r="971" spans="2:5" ht="13.2" customHeight="1">
      <c r="B971" s="160"/>
      <c r="E971" s="160"/>
    </row>
    <row r="972" spans="2:5" ht="13.2" customHeight="1">
      <c r="B972" s="160"/>
      <c r="E972" s="160"/>
    </row>
    <row r="973" spans="2:5" ht="13.2" customHeight="1">
      <c r="B973" s="160"/>
      <c r="E973" s="160"/>
    </row>
    <row r="974" spans="2:5" ht="13.2" customHeight="1">
      <c r="B974" s="160"/>
      <c r="E974" s="160"/>
    </row>
    <row r="975" spans="2:5" ht="13.2" customHeight="1">
      <c r="B975" s="160"/>
      <c r="E975" s="160"/>
    </row>
    <row r="976" spans="2:5" ht="13.2" customHeight="1">
      <c r="B976" s="160"/>
      <c r="E976" s="160"/>
    </row>
    <row r="977" spans="2:5" ht="13.2" customHeight="1">
      <c r="B977" s="160"/>
      <c r="E977" s="160"/>
    </row>
    <row r="978" spans="2:5" ht="13.2" customHeight="1">
      <c r="B978" s="160"/>
      <c r="E978" s="160"/>
    </row>
    <row r="979" spans="2:5" ht="13.2" customHeight="1">
      <c r="B979" s="160"/>
      <c r="E979" s="160"/>
    </row>
    <row r="980" spans="2:5" ht="13.2" customHeight="1">
      <c r="B980" s="160"/>
      <c r="E980" s="160"/>
    </row>
    <row r="981" spans="2:5" ht="13.2" customHeight="1">
      <c r="B981" s="160"/>
      <c r="E981" s="160"/>
    </row>
    <row r="982" spans="2:5" ht="13.2" customHeight="1">
      <c r="B982" s="160"/>
      <c r="E982" s="160"/>
    </row>
    <row r="983" spans="2:5" ht="13.2" customHeight="1">
      <c r="B983" s="160"/>
      <c r="E983" s="160"/>
    </row>
    <row r="984" spans="2:5" ht="13.2" customHeight="1">
      <c r="B984" s="160"/>
      <c r="E984" s="160"/>
    </row>
    <row r="985" spans="2:5" ht="13.2" customHeight="1">
      <c r="B985" s="160"/>
      <c r="E985" s="160"/>
    </row>
    <row r="986" spans="2:5" ht="13.2" customHeight="1">
      <c r="B986" s="160"/>
      <c r="E986" s="160"/>
    </row>
    <row r="987" spans="2:5" ht="13.2" customHeight="1">
      <c r="B987" s="160"/>
      <c r="E987" s="160"/>
    </row>
    <row r="988" spans="2:5" ht="13.2" customHeight="1">
      <c r="B988" s="160"/>
      <c r="E988" s="160"/>
    </row>
    <row r="989" spans="2:5" ht="13.2" customHeight="1">
      <c r="B989" s="160"/>
      <c r="E989" s="160"/>
    </row>
    <row r="990" spans="2:5" ht="13.2" customHeight="1">
      <c r="B990" s="160"/>
      <c r="E990" s="160"/>
    </row>
    <row r="991" spans="2:5" ht="13.2" customHeight="1">
      <c r="B991" s="160"/>
      <c r="E991" s="160"/>
    </row>
    <row r="992" spans="2:5" ht="13.2" customHeight="1">
      <c r="B992" s="160"/>
      <c r="E992" s="160"/>
    </row>
    <row r="993" spans="2:5" ht="13.2" customHeight="1">
      <c r="B993" s="160"/>
      <c r="E993" s="160"/>
    </row>
    <row r="994" spans="2:5" ht="13.2" customHeight="1">
      <c r="B994" s="160"/>
      <c r="E994" s="160"/>
    </row>
    <row r="995" spans="2:5" ht="13.2" customHeight="1">
      <c r="B995" s="160"/>
      <c r="E995" s="160"/>
    </row>
    <row r="996" spans="2:5" ht="13.2" customHeight="1">
      <c r="B996" s="160"/>
      <c r="E996" s="160"/>
    </row>
    <row r="997" spans="2:5" ht="13.2" customHeight="1">
      <c r="B997" s="160"/>
      <c r="E997" s="160"/>
    </row>
  </sheetData>
  <mergeCells count="3">
    <mergeCell ref="C2:C3"/>
    <mergeCell ref="A2:A3"/>
    <mergeCell ref="B2:B3"/>
  </mergeCells>
  <hyperlinks>
    <hyperlink ref="G23" r:id="rId1"/>
    <hyperlink ref="I23" r:id="rId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99"/>
  <sheetViews>
    <sheetView workbookViewId="0"/>
  </sheetViews>
  <sheetFormatPr defaultColWidth="12.6640625" defaultRowHeight="15.75" customHeight="1"/>
  <cols>
    <col min="1" max="1" width="4.33203125" style="323" customWidth="1"/>
  </cols>
  <sheetData>
    <row r="1" spans="1:9" ht="15.75" customHeight="1">
      <c r="A1" s="358"/>
      <c r="B1" s="359"/>
      <c r="C1" s="359"/>
      <c r="D1" s="360"/>
      <c r="E1" s="4"/>
      <c r="F1" s="4"/>
      <c r="G1" s="4"/>
    </row>
    <row r="2" spans="1:9" ht="26.4">
      <c r="A2" s="361" t="s">
        <v>0</v>
      </c>
      <c r="B2" s="363" t="s">
        <v>1</v>
      </c>
      <c r="C2" s="8" t="s">
        <v>2</v>
      </c>
      <c r="D2" s="17" t="s">
        <v>309</v>
      </c>
      <c r="E2" s="150" t="s">
        <v>4</v>
      </c>
      <c r="F2" s="150" t="s">
        <v>5</v>
      </c>
      <c r="G2" s="150" t="s">
        <v>6</v>
      </c>
      <c r="H2" s="232" t="s">
        <v>310</v>
      </c>
      <c r="I2" s="233" t="s">
        <v>311</v>
      </c>
    </row>
    <row r="3" spans="1:9" ht="13.2">
      <c r="A3" s="362"/>
      <c r="B3" s="362"/>
      <c r="C3" s="10">
        <f>+SUM(C4:C34)</f>
        <v>113000000</v>
      </c>
      <c r="D3" s="13">
        <f>SUM(D4:D34)</f>
        <v>272545755.45454544</v>
      </c>
      <c r="E3" s="17">
        <f>SUM(E4:E34)</f>
        <v>168</v>
      </c>
      <c r="F3" s="13">
        <f>SUM(F4:F36)</f>
        <v>520556882</v>
      </c>
      <c r="G3" s="21">
        <f t="shared" ref="G3:G34" si="0">IFERROR(D3/F3,0)</f>
        <v>0.52356575213723799</v>
      </c>
    </row>
    <row r="4" spans="1:9" ht="15.75" customHeight="1">
      <c r="A4" s="23">
        <v>1</v>
      </c>
      <c r="B4" s="25">
        <v>46204</v>
      </c>
      <c r="C4" s="234">
        <v>24000000</v>
      </c>
      <c r="D4" s="304">
        <f>'BQ Anh CT'!D8</f>
        <v>14851365.454545453</v>
      </c>
      <c r="E4" s="235">
        <v>4</v>
      </c>
      <c r="F4" s="236">
        <v>11840000</v>
      </c>
      <c r="G4" s="34">
        <f t="shared" si="0"/>
        <v>1.2543382985257985</v>
      </c>
    </row>
    <row r="5" spans="1:9" ht="15.75" customHeight="1">
      <c r="A5" s="35">
        <v>2</v>
      </c>
      <c r="B5" s="36">
        <v>46205</v>
      </c>
      <c r="C5" s="241"/>
      <c r="D5" s="305">
        <f>'BQ Anh CT'!E8</f>
        <v>12634923.636363635</v>
      </c>
      <c r="E5" s="237">
        <v>4</v>
      </c>
      <c r="F5" s="238">
        <f t="shared" ref="F5:F13" si="1">I5-H5</f>
        <v>8665000</v>
      </c>
      <c r="G5" s="39">
        <f t="shared" si="0"/>
        <v>1.4581562188532757</v>
      </c>
      <c r="H5" s="239">
        <v>3305000</v>
      </c>
      <c r="I5" s="239">
        <v>11970000</v>
      </c>
    </row>
    <row r="6" spans="1:9" ht="15.75" customHeight="1">
      <c r="A6" s="23">
        <v>3</v>
      </c>
      <c r="B6" s="25">
        <v>46206</v>
      </c>
      <c r="C6" s="234">
        <v>36000000</v>
      </c>
      <c r="D6" s="304">
        <f>'BQ Anh CT'!F8</f>
        <v>16736404.545454545</v>
      </c>
      <c r="E6" s="240">
        <v>5</v>
      </c>
      <c r="F6" s="238">
        <f t="shared" si="1"/>
        <v>13075000</v>
      </c>
      <c r="G6" s="34">
        <f t="shared" si="0"/>
        <v>1.2800309403789327</v>
      </c>
      <c r="H6" s="239">
        <v>3015000</v>
      </c>
      <c r="I6" s="239">
        <v>16090000</v>
      </c>
    </row>
    <row r="7" spans="1:9" ht="15.75" customHeight="1">
      <c r="A7" s="35">
        <v>4</v>
      </c>
      <c r="B7" s="36">
        <v>46207</v>
      </c>
      <c r="C7" s="241">
        <v>5000000</v>
      </c>
      <c r="D7" s="305">
        <f>'BQ Anh CT'!G8</f>
        <v>15952054.545454545</v>
      </c>
      <c r="E7" s="237">
        <v>4</v>
      </c>
      <c r="F7" s="238">
        <f t="shared" si="1"/>
        <v>9080000</v>
      </c>
      <c r="G7" s="39">
        <f t="shared" si="0"/>
        <v>1.7568342010412494</v>
      </c>
      <c r="H7" s="239">
        <v>9375000</v>
      </c>
      <c r="I7" s="239">
        <v>18455000</v>
      </c>
    </row>
    <row r="8" spans="1:9" ht="15.75" customHeight="1">
      <c r="A8" s="23">
        <v>5</v>
      </c>
      <c r="B8" s="25">
        <v>46208</v>
      </c>
      <c r="C8" s="234"/>
      <c r="D8" s="304">
        <f>'BQ Anh CT'!H8</f>
        <v>4189222.7272727271</v>
      </c>
      <c r="E8" s="240">
        <v>3</v>
      </c>
      <c r="F8" s="238">
        <f t="shared" si="1"/>
        <v>0</v>
      </c>
      <c r="G8" s="34">
        <f t="shared" si="0"/>
        <v>0</v>
      </c>
      <c r="H8" s="239">
        <v>8955000</v>
      </c>
      <c r="I8" s="239">
        <v>8955000</v>
      </c>
    </row>
    <row r="9" spans="1:9" ht="15.75" customHeight="1">
      <c r="A9" s="35">
        <v>6</v>
      </c>
      <c r="B9" s="36">
        <v>46209</v>
      </c>
      <c r="C9" s="241">
        <v>48000000</v>
      </c>
      <c r="D9" s="305">
        <f>'BQ Anh CT'!I8</f>
        <v>10286162.727272727</v>
      </c>
      <c r="E9" s="237">
        <v>7</v>
      </c>
      <c r="F9" s="238">
        <f t="shared" si="1"/>
        <v>19275000</v>
      </c>
      <c r="G9" s="39">
        <f t="shared" si="0"/>
        <v>0.53365305978068622</v>
      </c>
      <c r="H9" s="239">
        <v>2355000</v>
      </c>
      <c r="I9" s="239">
        <v>21630000</v>
      </c>
    </row>
    <row r="10" spans="1:9" ht="15.75" customHeight="1">
      <c r="A10" s="23">
        <v>7</v>
      </c>
      <c r="B10" s="25">
        <v>46210</v>
      </c>
      <c r="C10" s="234"/>
      <c r="D10" s="304">
        <f>'BQ Anh CT'!J8</f>
        <v>9216375.4545454532</v>
      </c>
      <c r="E10" s="240">
        <v>10</v>
      </c>
      <c r="F10" s="238">
        <f t="shared" si="1"/>
        <v>25890000</v>
      </c>
      <c r="G10" s="34">
        <f t="shared" si="0"/>
        <v>0.35598205695424695</v>
      </c>
      <c r="H10" s="239">
        <v>3375000</v>
      </c>
      <c r="I10" s="239">
        <v>29265000</v>
      </c>
    </row>
    <row r="11" spans="1:9" ht="15.75" customHeight="1">
      <c r="A11" s="35">
        <v>8</v>
      </c>
      <c r="B11" s="36">
        <v>46211</v>
      </c>
      <c r="C11" s="241"/>
      <c r="D11" s="305">
        <f>'BQ Anh CT'!K8</f>
        <v>13312892.727272727</v>
      </c>
      <c r="E11" s="237">
        <v>11</v>
      </c>
      <c r="F11" s="238">
        <f t="shared" si="1"/>
        <v>29365000</v>
      </c>
      <c r="G11" s="39">
        <f t="shared" si="0"/>
        <v>0.45335919384548701</v>
      </c>
      <c r="H11" s="239">
        <v>6740000</v>
      </c>
      <c r="I11" s="239">
        <v>36105000</v>
      </c>
    </row>
    <row r="12" spans="1:9" ht="15.75" customHeight="1">
      <c r="A12" s="23">
        <v>9</v>
      </c>
      <c r="B12" s="25">
        <v>46212</v>
      </c>
      <c r="C12" s="234"/>
      <c r="D12" s="304">
        <f>'BQ Anh CT'!L8</f>
        <v>7668873.6363636358</v>
      </c>
      <c r="E12" s="240">
        <v>8</v>
      </c>
      <c r="F12" s="238">
        <f t="shared" si="1"/>
        <v>25610000</v>
      </c>
      <c r="G12" s="34">
        <f t="shared" si="0"/>
        <v>0.29944840438749065</v>
      </c>
      <c r="H12" s="239">
        <v>0</v>
      </c>
      <c r="I12" s="239">
        <v>25610000</v>
      </c>
    </row>
    <row r="13" spans="1:9" ht="15.75" customHeight="1">
      <c r="A13" s="35">
        <v>10</v>
      </c>
      <c r="B13" s="36">
        <v>46213</v>
      </c>
      <c r="C13" s="241"/>
      <c r="D13" s="305">
        <f>'BQ Anh CT'!M8</f>
        <v>12260316.363636363</v>
      </c>
      <c r="E13" s="240">
        <v>5</v>
      </c>
      <c r="F13" s="245">
        <f t="shared" si="1"/>
        <v>11545000</v>
      </c>
      <c r="G13" s="39">
        <f t="shared" si="0"/>
        <v>1.061958974762786</v>
      </c>
      <c r="H13" s="246">
        <v>2910000</v>
      </c>
      <c r="I13" s="246">
        <v>14455000</v>
      </c>
    </row>
    <row r="14" spans="1:9" ht="15.75" customHeight="1">
      <c r="A14" s="23">
        <v>11</v>
      </c>
      <c r="B14" s="25">
        <v>46214</v>
      </c>
      <c r="C14" s="234"/>
      <c r="D14" s="304">
        <f>'BQ Anh CT'!N8</f>
        <v>3033847.2727272725</v>
      </c>
      <c r="E14" s="240">
        <v>6</v>
      </c>
      <c r="F14" s="247">
        <v>21170000</v>
      </c>
      <c r="G14" s="34">
        <f t="shared" si="0"/>
        <v>0.14330879890067419</v>
      </c>
      <c r="H14" s="246">
        <v>0</v>
      </c>
      <c r="I14" s="246">
        <v>21170000</v>
      </c>
    </row>
    <row r="15" spans="1:9" ht="15.75" customHeight="1">
      <c r="A15" s="35">
        <v>12</v>
      </c>
      <c r="B15" s="36">
        <v>46215</v>
      </c>
      <c r="C15" s="241"/>
      <c r="D15" s="305">
        <f>'BQ Anh CT'!O8</f>
        <v>15948178.18181818</v>
      </c>
      <c r="E15" s="237">
        <v>2</v>
      </c>
      <c r="F15" s="245">
        <v>5920000</v>
      </c>
      <c r="G15" s="39">
        <f t="shared" si="0"/>
        <v>2.6939490171990168</v>
      </c>
      <c r="H15" s="246">
        <v>0</v>
      </c>
      <c r="I15" s="246">
        <v>5920000</v>
      </c>
    </row>
    <row r="16" spans="1:9" ht="14.4" customHeight="1">
      <c r="A16" s="23">
        <v>13</v>
      </c>
      <c r="B16" s="25">
        <v>46216</v>
      </c>
      <c r="C16" s="234"/>
      <c r="D16" s="304">
        <f>'BQ Anh CT'!P8</f>
        <v>0</v>
      </c>
      <c r="E16" s="240">
        <v>5</v>
      </c>
      <c r="F16" s="247">
        <f>I16-H16</f>
        <v>11430000</v>
      </c>
      <c r="G16" s="34">
        <f t="shared" si="0"/>
        <v>0</v>
      </c>
      <c r="H16" s="246">
        <v>2910000</v>
      </c>
      <c r="I16" s="246">
        <v>14340000</v>
      </c>
    </row>
    <row r="17" spans="1:9" ht="14.4" customHeight="1">
      <c r="A17" s="35">
        <v>14</v>
      </c>
      <c r="B17" s="36">
        <v>46217</v>
      </c>
      <c r="C17" s="241"/>
      <c r="D17" s="305">
        <f>'BQ Anh CT'!Q8</f>
        <v>8809666.3636363633</v>
      </c>
      <c r="E17" s="237">
        <v>5</v>
      </c>
      <c r="F17" s="245">
        <v>15280000</v>
      </c>
      <c r="G17" s="34">
        <f t="shared" si="0"/>
        <v>0.57654884578772014</v>
      </c>
      <c r="H17" s="246">
        <v>0</v>
      </c>
      <c r="I17" s="246">
        <v>15280000</v>
      </c>
    </row>
    <row r="18" spans="1:9" ht="14.4" customHeight="1">
      <c r="A18" s="23">
        <v>15</v>
      </c>
      <c r="B18" s="25">
        <v>46218</v>
      </c>
      <c r="C18" s="234"/>
      <c r="D18" s="304">
        <f>'BQ Anh CT'!R8</f>
        <v>17293848.18181818</v>
      </c>
      <c r="E18" s="240">
        <v>4</v>
      </c>
      <c r="F18" s="247">
        <f>I18-H18</f>
        <v>2910000</v>
      </c>
      <c r="G18" s="34">
        <f t="shared" si="0"/>
        <v>5.9429031552639797</v>
      </c>
      <c r="H18" s="246">
        <v>9780000</v>
      </c>
      <c r="I18" s="246">
        <v>12690000</v>
      </c>
    </row>
    <row r="19" spans="1:9" ht="14.4" customHeight="1">
      <c r="A19" s="35">
        <v>16</v>
      </c>
      <c r="B19" s="36">
        <v>46219</v>
      </c>
      <c r="C19" s="241"/>
      <c r="D19" s="305">
        <f>'BQ Anh CT'!S8</f>
        <v>6047613.6363636358</v>
      </c>
      <c r="E19" s="237">
        <v>3</v>
      </c>
      <c r="F19" s="245">
        <f>I19-H19</f>
        <v>5245000</v>
      </c>
      <c r="G19" s="39">
        <f t="shared" si="0"/>
        <v>1.1530245255221423</v>
      </c>
      <c r="H19" s="246">
        <v>4030000</v>
      </c>
      <c r="I19" s="246">
        <v>9275000</v>
      </c>
    </row>
    <row r="20" spans="1:9" ht="14.4" customHeight="1">
      <c r="A20" s="23">
        <v>17</v>
      </c>
      <c r="B20" s="25">
        <v>46220</v>
      </c>
      <c r="C20" s="234"/>
      <c r="D20" s="45">
        <f>'BQ Anh CT'!T8</f>
        <v>8467755.4545454532</v>
      </c>
      <c r="E20" s="240">
        <v>5</v>
      </c>
      <c r="F20" s="247">
        <f>I20-H20</f>
        <v>6780000</v>
      </c>
      <c r="G20" s="34">
        <f t="shared" si="0"/>
        <v>1.2489314829713059</v>
      </c>
      <c r="H20" s="246">
        <v>9775000</v>
      </c>
      <c r="I20" s="246">
        <v>16555000</v>
      </c>
    </row>
    <row r="21" spans="1:9" ht="14.4" customHeight="1">
      <c r="A21" s="35">
        <v>18</v>
      </c>
      <c r="B21" s="36">
        <v>46221</v>
      </c>
      <c r="C21" s="241"/>
      <c r="D21" s="305">
        <f>'BQ Anh CT'!U8</f>
        <v>9121957.2727272715</v>
      </c>
      <c r="E21" s="237">
        <v>6</v>
      </c>
      <c r="F21" s="245">
        <f>I21-H21</f>
        <v>13420000</v>
      </c>
      <c r="G21" s="34">
        <f t="shared" si="0"/>
        <v>0.67972855981574298</v>
      </c>
      <c r="H21" s="246">
        <v>6730000</v>
      </c>
      <c r="I21" s="246">
        <v>20150000</v>
      </c>
    </row>
    <row r="22" spans="1:9" ht="14.4" customHeight="1">
      <c r="A22" s="23">
        <v>19</v>
      </c>
      <c r="B22" s="25">
        <v>46222</v>
      </c>
      <c r="C22" s="234"/>
      <c r="D22" s="304">
        <f>'BQ Anh CT'!V8</f>
        <v>7268959.9999999991</v>
      </c>
      <c r="E22" s="240">
        <v>4</v>
      </c>
      <c r="F22" s="247">
        <v>13815000</v>
      </c>
      <c r="G22" s="34">
        <f t="shared" si="0"/>
        <v>0.52616431415128473</v>
      </c>
      <c r="H22" s="246">
        <v>0</v>
      </c>
      <c r="I22" s="246">
        <v>13815000</v>
      </c>
    </row>
    <row r="23" spans="1:9" ht="14.4" customHeight="1">
      <c r="A23" s="35">
        <v>20</v>
      </c>
      <c r="B23" s="36">
        <v>46223</v>
      </c>
      <c r="C23" s="241"/>
      <c r="D23" s="305">
        <f>'BQ Anh CT'!W8</f>
        <v>8375782.7272727266</v>
      </c>
      <c r="E23" s="237">
        <v>9</v>
      </c>
      <c r="F23" s="245">
        <v>29905000</v>
      </c>
      <c r="G23" s="34">
        <f t="shared" si="0"/>
        <v>0.28007967655150401</v>
      </c>
      <c r="H23" s="246">
        <v>0</v>
      </c>
      <c r="I23" s="246">
        <v>29905000</v>
      </c>
    </row>
    <row r="24" spans="1:9" ht="14.4" customHeight="1">
      <c r="A24" s="23">
        <v>21</v>
      </c>
      <c r="B24" s="25">
        <v>46224</v>
      </c>
      <c r="C24" s="234"/>
      <c r="D24" s="304">
        <f>'BQ Anh CT'!X8</f>
        <v>7268959.9999999991</v>
      </c>
      <c r="E24" s="237">
        <v>3</v>
      </c>
      <c r="F24" s="247">
        <v>9840000</v>
      </c>
      <c r="G24" s="34">
        <f t="shared" si="0"/>
        <v>0.73871544715447146</v>
      </c>
    </row>
    <row r="25" spans="1:9" ht="14.4" customHeight="1">
      <c r="A25" s="35">
        <v>22</v>
      </c>
      <c r="B25" s="36">
        <v>46225</v>
      </c>
      <c r="C25" s="241"/>
      <c r="D25" s="305">
        <f>'BQ Anh CT'!Y8</f>
        <v>0</v>
      </c>
      <c r="E25" s="254">
        <v>12</v>
      </c>
      <c r="F25" s="245">
        <f>I25-H25</f>
        <v>35810000</v>
      </c>
      <c r="G25" s="34">
        <f t="shared" si="0"/>
        <v>0</v>
      </c>
      <c r="H25" s="246">
        <v>3015000</v>
      </c>
      <c r="I25" s="246">
        <v>38825000</v>
      </c>
    </row>
    <row r="26" spans="1:9" ht="14.4" customHeight="1">
      <c r="A26" s="23">
        <v>23</v>
      </c>
      <c r="B26" s="25">
        <v>46226</v>
      </c>
      <c r="C26" s="234"/>
      <c r="D26" s="304">
        <f>'BQ Anh CT'!Z8</f>
        <v>18322650</v>
      </c>
      <c r="E26" s="255">
        <v>4</v>
      </c>
      <c r="F26" s="247">
        <v>13200000</v>
      </c>
      <c r="G26" s="39">
        <f t="shared" si="0"/>
        <v>1.3880795454545454</v>
      </c>
    </row>
    <row r="27" spans="1:9" ht="14.4" customHeight="1">
      <c r="A27" s="35">
        <v>24</v>
      </c>
      <c r="B27" s="36">
        <v>46227</v>
      </c>
      <c r="C27" s="241"/>
      <c r="D27" s="305">
        <f>'BQ Anh CT'!AA8</f>
        <v>0</v>
      </c>
      <c r="E27" s="254">
        <v>5</v>
      </c>
      <c r="F27" s="245">
        <v>16230000</v>
      </c>
      <c r="G27" s="34">
        <f t="shared" si="0"/>
        <v>0</v>
      </c>
    </row>
    <row r="28" spans="1:9" ht="14.4" customHeight="1">
      <c r="A28" s="23">
        <v>25</v>
      </c>
      <c r="B28" s="25">
        <v>46228</v>
      </c>
      <c r="C28" s="234"/>
      <c r="D28" s="304">
        <f>'BQ Anh CT'!AB8</f>
        <v>0</v>
      </c>
      <c r="E28" s="255">
        <v>5</v>
      </c>
      <c r="F28" s="247">
        <f>I28-H28</f>
        <v>10475000</v>
      </c>
      <c r="G28" s="34">
        <f t="shared" si="0"/>
        <v>0</v>
      </c>
      <c r="H28" s="246">
        <v>5900000</v>
      </c>
      <c r="I28" s="246">
        <v>16375000</v>
      </c>
    </row>
    <row r="29" spans="1:9" ht="14.4" customHeight="1">
      <c r="A29" s="35">
        <v>26</v>
      </c>
      <c r="B29" s="36">
        <v>46229</v>
      </c>
      <c r="C29" s="241"/>
      <c r="D29" s="305">
        <f>'BQ Anh CT'!AC8</f>
        <v>24551003.636363633</v>
      </c>
      <c r="E29" s="254">
        <v>7</v>
      </c>
      <c r="F29" s="245">
        <v>22085000</v>
      </c>
      <c r="G29" s="39">
        <f t="shared" si="0"/>
        <v>1.1116596620495192</v>
      </c>
    </row>
    <row r="30" spans="1:9" ht="14.4" customHeight="1">
      <c r="A30" s="23">
        <v>27</v>
      </c>
      <c r="B30" s="25">
        <v>46230</v>
      </c>
      <c r="C30" s="234"/>
      <c r="D30" s="304">
        <f>'BQ Anh CT'!AD8</f>
        <v>6589455.4545454541</v>
      </c>
      <c r="E30" s="255">
        <v>4</v>
      </c>
      <c r="F30" s="247">
        <v>15455000</v>
      </c>
      <c r="G30" s="34">
        <f t="shared" si="0"/>
        <v>0.42636398929443248</v>
      </c>
    </row>
    <row r="31" spans="1:9" ht="14.4" customHeight="1">
      <c r="A31" s="35">
        <v>28</v>
      </c>
      <c r="B31" s="36">
        <v>46231</v>
      </c>
      <c r="C31" s="241"/>
      <c r="D31" s="305">
        <f>'BQ Anh CT'!AE8</f>
        <v>14337485.454545453</v>
      </c>
      <c r="E31" s="254">
        <v>3</v>
      </c>
      <c r="F31" s="245">
        <v>10425000</v>
      </c>
      <c r="G31" s="39">
        <f t="shared" si="0"/>
        <v>1.3752983649444079</v>
      </c>
    </row>
    <row r="32" spans="1:9" ht="14.4" customHeight="1">
      <c r="A32" s="23">
        <v>29</v>
      </c>
      <c r="B32" s="25">
        <v>46232</v>
      </c>
      <c r="C32" s="234"/>
      <c r="D32" s="304">
        <f>'BQ Anh CT'!AF8</f>
        <v>0</v>
      </c>
      <c r="E32" s="255">
        <v>8</v>
      </c>
      <c r="F32" s="247">
        <v>25685000</v>
      </c>
      <c r="G32" s="34">
        <f t="shared" si="0"/>
        <v>0</v>
      </c>
    </row>
    <row r="33" spans="1:7" ht="14.4" customHeight="1">
      <c r="A33" s="35">
        <v>30</v>
      </c>
      <c r="B33" s="36">
        <v>46233</v>
      </c>
      <c r="C33" s="241"/>
      <c r="D33" s="305">
        <f>'BQ Anh CT'!AG8</f>
        <v>0</v>
      </c>
      <c r="E33" s="254">
        <v>4</v>
      </c>
      <c r="F33" s="245">
        <v>12680000</v>
      </c>
      <c r="G33" s="39">
        <f t="shared" si="0"/>
        <v>0</v>
      </c>
    </row>
    <row r="34" spans="1:7" ht="14.4" customHeight="1">
      <c r="A34" s="23">
        <v>31</v>
      </c>
      <c r="B34" s="25">
        <v>46234</v>
      </c>
      <c r="C34" s="234"/>
      <c r="D34" s="304">
        <f>'BQ Anh CT'!AH8</f>
        <v>0</v>
      </c>
      <c r="E34" s="255">
        <v>3</v>
      </c>
      <c r="F34" s="247">
        <v>10839696</v>
      </c>
      <c r="G34" s="34">
        <f t="shared" si="0"/>
        <v>0</v>
      </c>
    </row>
    <row r="35" spans="1:7" ht="14.4" customHeight="1">
      <c r="A35" s="259"/>
      <c r="B35" s="256" t="s">
        <v>312</v>
      </c>
      <c r="C35" s="72"/>
      <c r="D35" s="241"/>
      <c r="E35" s="259"/>
      <c r="F35" s="257">
        <v>57612186</v>
      </c>
      <c r="G35" s="201"/>
    </row>
    <row r="36" spans="1:7" ht="13.2" customHeight="1">
      <c r="B36" s="73"/>
    </row>
    <row r="37" spans="1:7" ht="13.2" customHeight="1">
      <c r="B37" s="73"/>
    </row>
    <row r="38" spans="1:7" ht="13.2" customHeight="1">
      <c r="B38" s="73"/>
    </row>
    <row r="39" spans="1:7" ht="13.2" customHeight="1">
      <c r="B39" s="73"/>
    </row>
    <row r="40" spans="1:7" ht="13.2" customHeight="1">
      <c r="B40" s="73"/>
    </row>
    <row r="41" spans="1:7" ht="13.2" customHeight="1">
      <c r="B41" s="73"/>
    </row>
    <row r="42" spans="1:7" ht="13.2" customHeight="1">
      <c r="B42" s="73"/>
    </row>
    <row r="43" spans="1:7" ht="13.2" customHeight="1">
      <c r="B43" s="73"/>
    </row>
    <row r="44" spans="1:7" ht="13.2" customHeight="1">
      <c r="B44" s="73"/>
    </row>
    <row r="45" spans="1:7" ht="13.2" customHeight="1">
      <c r="B45" s="73"/>
    </row>
    <row r="46" spans="1:7" ht="13.2" customHeight="1">
      <c r="B46" s="73"/>
    </row>
    <row r="47" spans="1:7" ht="13.2" customHeight="1">
      <c r="B47" s="73"/>
    </row>
    <row r="48" spans="1:7" ht="13.2" customHeight="1">
      <c r="B48" s="73"/>
    </row>
    <row r="49" spans="2:2" ht="13.2" customHeight="1">
      <c r="B49" s="73"/>
    </row>
    <row r="50" spans="2:2" ht="13.2" customHeight="1">
      <c r="B50" s="73"/>
    </row>
    <row r="51" spans="2:2" ht="13.2" customHeight="1">
      <c r="B51" s="73"/>
    </row>
    <row r="52" spans="2:2" ht="13.2" customHeight="1">
      <c r="B52" s="73"/>
    </row>
    <row r="53" spans="2:2" ht="13.2" customHeight="1">
      <c r="B53" s="73"/>
    </row>
    <row r="54" spans="2:2" ht="13.2" customHeight="1">
      <c r="B54" s="73"/>
    </row>
    <row r="55" spans="2:2" ht="13.2" customHeight="1">
      <c r="B55" s="73"/>
    </row>
    <row r="56" spans="2:2" ht="13.2" customHeight="1">
      <c r="B56" s="73"/>
    </row>
    <row r="57" spans="2:2" ht="13.2" customHeight="1">
      <c r="B57" s="73"/>
    </row>
    <row r="58" spans="2:2" ht="13.2" customHeight="1">
      <c r="B58" s="73"/>
    </row>
    <row r="59" spans="2:2" ht="13.2" customHeight="1">
      <c r="B59" s="73"/>
    </row>
    <row r="60" spans="2:2" ht="13.2" customHeight="1">
      <c r="B60" s="73"/>
    </row>
    <row r="61" spans="2:2" ht="13.2" customHeight="1">
      <c r="B61" s="73"/>
    </row>
    <row r="62" spans="2:2" ht="13.2" customHeight="1">
      <c r="B62" s="73"/>
    </row>
    <row r="63" spans="2:2" ht="13.2" customHeight="1">
      <c r="B63" s="73"/>
    </row>
    <row r="64" spans="2:2" ht="13.2" customHeight="1">
      <c r="B64" s="73"/>
    </row>
    <row r="65" spans="2:2" ht="13.2" customHeight="1">
      <c r="B65" s="73"/>
    </row>
    <row r="66" spans="2:2" ht="13.2" customHeight="1">
      <c r="B66" s="73"/>
    </row>
    <row r="67" spans="2:2" ht="13.2" customHeight="1">
      <c r="B67" s="73"/>
    </row>
    <row r="68" spans="2:2" ht="13.2" customHeight="1">
      <c r="B68" s="73"/>
    </row>
    <row r="69" spans="2:2" ht="13.2" customHeight="1">
      <c r="B69" s="73"/>
    </row>
    <row r="70" spans="2:2" ht="13.2" customHeight="1">
      <c r="B70" s="73"/>
    </row>
    <row r="71" spans="2:2" ht="13.2" customHeight="1">
      <c r="B71" s="73"/>
    </row>
    <row r="72" spans="2:2" ht="13.2" customHeight="1">
      <c r="B72" s="73"/>
    </row>
    <row r="73" spans="2:2" ht="13.2" customHeight="1">
      <c r="B73" s="73"/>
    </row>
    <row r="74" spans="2:2" ht="13.2" customHeight="1">
      <c r="B74" s="73"/>
    </row>
    <row r="75" spans="2:2" ht="13.2" customHeight="1">
      <c r="B75" s="73"/>
    </row>
    <row r="76" spans="2:2" ht="13.2" customHeight="1">
      <c r="B76" s="73"/>
    </row>
    <row r="77" spans="2:2" ht="13.2" customHeight="1">
      <c r="B77" s="73"/>
    </row>
    <row r="78" spans="2:2" ht="13.2" customHeight="1">
      <c r="B78" s="73"/>
    </row>
    <row r="79" spans="2:2" ht="13.2" customHeight="1">
      <c r="B79" s="73"/>
    </row>
    <row r="80" spans="2:2" ht="13.2" customHeight="1">
      <c r="B80" s="73"/>
    </row>
    <row r="81" spans="2:2" ht="13.2" customHeight="1">
      <c r="B81" s="73"/>
    </row>
    <row r="82" spans="2:2" ht="13.2" customHeight="1">
      <c r="B82" s="73"/>
    </row>
    <row r="83" spans="2:2" ht="13.2" customHeight="1">
      <c r="B83" s="73"/>
    </row>
    <row r="84" spans="2:2" ht="13.2" customHeight="1">
      <c r="B84" s="73"/>
    </row>
    <row r="85" spans="2:2" ht="13.2" customHeight="1">
      <c r="B85" s="73"/>
    </row>
    <row r="86" spans="2:2" ht="13.2" customHeight="1">
      <c r="B86" s="73"/>
    </row>
    <row r="87" spans="2:2" ht="13.2" customHeight="1">
      <c r="B87" s="73"/>
    </row>
    <row r="88" spans="2:2" ht="13.2" customHeight="1">
      <c r="B88" s="73"/>
    </row>
    <row r="89" spans="2:2" ht="13.2" customHeight="1">
      <c r="B89" s="73"/>
    </row>
    <row r="90" spans="2:2" ht="13.2" customHeight="1">
      <c r="B90" s="73"/>
    </row>
    <row r="91" spans="2:2" ht="13.2" customHeight="1">
      <c r="B91" s="73"/>
    </row>
    <row r="92" spans="2:2" ht="13.2" customHeight="1">
      <c r="B92" s="73"/>
    </row>
    <row r="93" spans="2:2" ht="13.2" customHeight="1">
      <c r="B93" s="73"/>
    </row>
    <row r="94" spans="2:2" ht="13.2" customHeight="1">
      <c r="B94" s="73"/>
    </row>
    <row r="95" spans="2:2" ht="13.2" customHeight="1">
      <c r="B95" s="73"/>
    </row>
    <row r="96" spans="2:2" ht="13.2" customHeight="1">
      <c r="B96" s="73"/>
    </row>
    <row r="97" spans="2:2" ht="13.2" customHeight="1">
      <c r="B97" s="73"/>
    </row>
    <row r="98" spans="2:2" ht="13.2" customHeight="1">
      <c r="B98" s="73"/>
    </row>
    <row r="99" spans="2:2" ht="13.2" customHeight="1">
      <c r="B99" s="73"/>
    </row>
    <row r="100" spans="2:2" ht="13.2" customHeight="1">
      <c r="B100" s="73"/>
    </row>
    <row r="101" spans="2:2" ht="13.2" customHeight="1">
      <c r="B101" s="73"/>
    </row>
    <row r="102" spans="2:2" ht="13.2" customHeight="1">
      <c r="B102" s="73"/>
    </row>
    <row r="103" spans="2:2" ht="13.2" customHeight="1">
      <c r="B103" s="73"/>
    </row>
    <row r="104" spans="2:2" ht="13.2" customHeight="1">
      <c r="B104" s="73"/>
    </row>
    <row r="105" spans="2:2" ht="13.2" customHeight="1">
      <c r="B105" s="73"/>
    </row>
    <row r="106" spans="2:2" ht="13.2" customHeight="1">
      <c r="B106" s="73"/>
    </row>
    <row r="107" spans="2:2" ht="13.2" customHeight="1">
      <c r="B107" s="73"/>
    </row>
    <row r="108" spans="2:2" ht="13.2" customHeight="1">
      <c r="B108" s="73"/>
    </row>
    <row r="109" spans="2:2" ht="13.2" customHeight="1">
      <c r="B109" s="73"/>
    </row>
    <row r="110" spans="2:2" ht="13.2" customHeight="1">
      <c r="B110" s="73"/>
    </row>
    <row r="111" spans="2:2" ht="13.2" customHeight="1">
      <c r="B111" s="73"/>
    </row>
    <row r="112" spans="2:2" ht="13.2" customHeight="1">
      <c r="B112" s="73"/>
    </row>
    <row r="113" spans="2:2" ht="13.2" customHeight="1">
      <c r="B113" s="73"/>
    </row>
    <row r="114" spans="2:2" ht="13.2" customHeight="1">
      <c r="B114" s="73"/>
    </row>
    <row r="115" spans="2:2" ht="13.2" customHeight="1">
      <c r="B115" s="73"/>
    </row>
    <row r="116" spans="2:2" ht="13.2" customHeight="1">
      <c r="B116" s="73"/>
    </row>
    <row r="117" spans="2:2" ht="13.2" customHeight="1">
      <c r="B117" s="73"/>
    </row>
    <row r="118" spans="2:2" ht="13.2" customHeight="1">
      <c r="B118" s="73"/>
    </row>
    <row r="119" spans="2:2" ht="13.2" customHeight="1">
      <c r="B119" s="73"/>
    </row>
    <row r="120" spans="2:2" ht="13.2" customHeight="1">
      <c r="B120" s="73"/>
    </row>
    <row r="121" spans="2:2" ht="13.2" customHeight="1">
      <c r="B121" s="73"/>
    </row>
    <row r="122" spans="2:2" ht="13.2" customHeight="1">
      <c r="B122" s="73"/>
    </row>
    <row r="123" spans="2:2" ht="13.2" customHeight="1">
      <c r="B123" s="73"/>
    </row>
    <row r="124" spans="2:2" ht="13.2" customHeight="1">
      <c r="B124" s="73"/>
    </row>
    <row r="125" spans="2:2" ht="13.2" customHeight="1">
      <c r="B125" s="73"/>
    </row>
    <row r="126" spans="2:2" ht="13.2" customHeight="1">
      <c r="B126" s="73"/>
    </row>
    <row r="127" spans="2:2" ht="13.2" customHeight="1">
      <c r="B127" s="73"/>
    </row>
    <row r="128" spans="2:2" ht="13.2" customHeight="1">
      <c r="B128" s="73"/>
    </row>
    <row r="129" spans="2:2" ht="13.2" customHeight="1">
      <c r="B129" s="73"/>
    </row>
    <row r="130" spans="2:2" ht="13.2" customHeight="1">
      <c r="B130" s="73"/>
    </row>
    <row r="131" spans="2:2" ht="13.2" customHeight="1">
      <c r="B131" s="73"/>
    </row>
    <row r="132" spans="2:2" ht="13.2" customHeight="1">
      <c r="B132" s="73"/>
    </row>
    <row r="133" spans="2:2" ht="13.2" customHeight="1">
      <c r="B133" s="73"/>
    </row>
    <row r="134" spans="2:2" ht="13.2" customHeight="1">
      <c r="B134" s="73"/>
    </row>
    <row r="135" spans="2:2" ht="13.2" customHeight="1">
      <c r="B135" s="73"/>
    </row>
    <row r="136" spans="2:2" ht="13.2" customHeight="1">
      <c r="B136" s="73"/>
    </row>
    <row r="137" spans="2:2" ht="13.2" customHeight="1">
      <c r="B137" s="73"/>
    </row>
    <row r="138" spans="2:2" ht="13.2" customHeight="1">
      <c r="B138" s="73"/>
    </row>
    <row r="139" spans="2:2" ht="13.2" customHeight="1">
      <c r="B139" s="73"/>
    </row>
    <row r="140" spans="2:2" ht="13.2" customHeight="1">
      <c r="B140" s="73"/>
    </row>
    <row r="141" spans="2:2" ht="13.2" customHeight="1">
      <c r="B141" s="73"/>
    </row>
    <row r="142" spans="2:2" ht="13.2" customHeight="1">
      <c r="B142" s="73"/>
    </row>
    <row r="143" spans="2:2" ht="13.2" customHeight="1">
      <c r="B143" s="73"/>
    </row>
    <row r="144" spans="2:2" ht="13.2" customHeight="1">
      <c r="B144" s="73"/>
    </row>
    <row r="145" spans="2:2" ht="13.2" customHeight="1">
      <c r="B145" s="73"/>
    </row>
    <row r="146" spans="2:2" ht="13.2" customHeight="1">
      <c r="B146" s="73"/>
    </row>
    <row r="147" spans="2:2" ht="13.2" customHeight="1">
      <c r="B147" s="73"/>
    </row>
    <row r="148" spans="2:2" ht="13.2" customHeight="1">
      <c r="B148" s="73"/>
    </row>
    <row r="149" spans="2:2" ht="13.2" customHeight="1">
      <c r="B149" s="73"/>
    </row>
    <row r="150" spans="2:2" ht="13.2" customHeight="1">
      <c r="B150" s="73"/>
    </row>
    <row r="151" spans="2:2" ht="13.2" customHeight="1">
      <c r="B151" s="73"/>
    </row>
    <row r="152" spans="2:2" ht="13.2" customHeight="1">
      <c r="B152" s="73"/>
    </row>
    <row r="153" spans="2:2" ht="13.2" customHeight="1">
      <c r="B153" s="73"/>
    </row>
    <row r="154" spans="2:2" ht="13.2" customHeight="1">
      <c r="B154" s="73"/>
    </row>
    <row r="155" spans="2:2" ht="13.2" customHeight="1">
      <c r="B155" s="73"/>
    </row>
    <row r="156" spans="2:2" ht="13.2" customHeight="1">
      <c r="B156" s="73"/>
    </row>
    <row r="157" spans="2:2" ht="13.2" customHeight="1">
      <c r="B157" s="73"/>
    </row>
    <row r="158" spans="2:2" ht="13.2" customHeight="1">
      <c r="B158" s="73"/>
    </row>
    <row r="159" spans="2:2" ht="13.2" customHeight="1">
      <c r="B159" s="73"/>
    </row>
    <row r="160" spans="2:2" ht="13.2" customHeight="1">
      <c r="B160" s="73"/>
    </row>
    <row r="161" spans="2:2" ht="13.2" customHeight="1">
      <c r="B161" s="73"/>
    </row>
    <row r="162" spans="2:2" ht="13.2" customHeight="1">
      <c r="B162" s="73"/>
    </row>
    <row r="163" spans="2:2" ht="13.2" customHeight="1">
      <c r="B163" s="73"/>
    </row>
    <row r="164" spans="2:2" ht="13.2" customHeight="1">
      <c r="B164" s="73"/>
    </row>
    <row r="165" spans="2:2" ht="13.2" customHeight="1">
      <c r="B165" s="73"/>
    </row>
    <row r="166" spans="2:2" ht="13.2" customHeight="1">
      <c r="B166" s="73"/>
    </row>
    <row r="167" spans="2:2" ht="13.2" customHeight="1">
      <c r="B167" s="73"/>
    </row>
    <row r="168" spans="2:2" ht="13.2" customHeight="1">
      <c r="B168" s="73"/>
    </row>
    <row r="169" spans="2:2" ht="13.2" customHeight="1">
      <c r="B169" s="73"/>
    </row>
    <row r="170" spans="2:2" ht="13.2" customHeight="1">
      <c r="B170" s="73"/>
    </row>
    <row r="171" spans="2:2" ht="13.2" customHeight="1">
      <c r="B171" s="73"/>
    </row>
    <row r="172" spans="2:2" ht="13.2" customHeight="1">
      <c r="B172" s="73"/>
    </row>
    <row r="173" spans="2:2" ht="13.2" customHeight="1">
      <c r="B173" s="73"/>
    </row>
    <row r="174" spans="2:2" ht="13.2" customHeight="1">
      <c r="B174" s="73"/>
    </row>
    <row r="175" spans="2:2" ht="13.2" customHeight="1">
      <c r="B175" s="73"/>
    </row>
    <row r="176" spans="2:2" ht="13.2" customHeight="1">
      <c r="B176" s="73"/>
    </row>
    <row r="177" spans="2:2" ht="13.2" customHeight="1">
      <c r="B177" s="73"/>
    </row>
    <row r="178" spans="2:2" ht="13.2" customHeight="1">
      <c r="B178" s="73"/>
    </row>
    <row r="179" spans="2:2" ht="13.2" customHeight="1">
      <c r="B179" s="73"/>
    </row>
    <row r="180" spans="2:2" ht="13.2" customHeight="1">
      <c r="B180" s="73"/>
    </row>
    <row r="181" spans="2:2" ht="13.2" customHeight="1">
      <c r="B181" s="73"/>
    </row>
    <row r="182" spans="2:2" ht="13.2" customHeight="1">
      <c r="B182" s="73"/>
    </row>
    <row r="183" spans="2:2" ht="13.2" customHeight="1">
      <c r="B183" s="73"/>
    </row>
    <row r="184" spans="2:2" ht="13.2" customHeight="1">
      <c r="B184" s="73"/>
    </row>
    <row r="185" spans="2:2" ht="13.2" customHeight="1">
      <c r="B185" s="73"/>
    </row>
    <row r="186" spans="2:2" ht="13.2" customHeight="1">
      <c r="B186" s="73"/>
    </row>
    <row r="187" spans="2:2" ht="13.2" customHeight="1">
      <c r="B187" s="73"/>
    </row>
    <row r="188" spans="2:2" ht="13.2" customHeight="1">
      <c r="B188" s="73"/>
    </row>
    <row r="189" spans="2:2" ht="13.2" customHeight="1">
      <c r="B189" s="73"/>
    </row>
    <row r="190" spans="2:2" ht="13.2" customHeight="1">
      <c r="B190" s="73"/>
    </row>
    <row r="191" spans="2:2" ht="13.2" customHeight="1">
      <c r="B191" s="73"/>
    </row>
    <row r="192" spans="2:2" ht="13.2" customHeight="1">
      <c r="B192" s="73"/>
    </row>
    <row r="193" spans="2:2" ht="13.2" customHeight="1">
      <c r="B193" s="73"/>
    </row>
    <row r="194" spans="2:2" ht="13.2" customHeight="1">
      <c r="B194" s="73"/>
    </row>
    <row r="195" spans="2:2" ht="13.2" customHeight="1">
      <c r="B195" s="73"/>
    </row>
    <row r="196" spans="2:2" ht="13.2" customHeight="1">
      <c r="B196" s="73"/>
    </row>
    <row r="197" spans="2:2" ht="13.2" customHeight="1">
      <c r="B197" s="73"/>
    </row>
    <row r="198" spans="2:2" ht="13.2" customHeight="1">
      <c r="B198" s="73"/>
    </row>
    <row r="199" spans="2:2" ht="13.2" customHeight="1">
      <c r="B199" s="73"/>
    </row>
    <row r="200" spans="2:2" ht="13.2" customHeight="1">
      <c r="B200" s="73"/>
    </row>
    <row r="201" spans="2:2" ht="13.2" customHeight="1">
      <c r="B201" s="73"/>
    </row>
    <row r="202" spans="2:2" ht="13.2" customHeight="1">
      <c r="B202" s="73"/>
    </row>
    <row r="203" spans="2:2" ht="13.2" customHeight="1">
      <c r="B203" s="73"/>
    </row>
    <row r="204" spans="2:2" ht="13.2" customHeight="1">
      <c r="B204" s="73"/>
    </row>
    <row r="205" spans="2:2" ht="13.2" customHeight="1">
      <c r="B205" s="73"/>
    </row>
    <row r="206" spans="2:2" ht="13.2" customHeight="1">
      <c r="B206" s="73"/>
    </row>
    <row r="207" spans="2:2" ht="13.2" customHeight="1">
      <c r="B207" s="73"/>
    </row>
    <row r="208" spans="2:2" ht="13.2" customHeight="1">
      <c r="B208" s="73"/>
    </row>
    <row r="209" spans="2:2" ht="13.2" customHeight="1">
      <c r="B209" s="73"/>
    </row>
    <row r="210" spans="2:2" ht="13.2" customHeight="1">
      <c r="B210" s="73"/>
    </row>
    <row r="211" spans="2:2" ht="13.2" customHeight="1">
      <c r="B211" s="73"/>
    </row>
    <row r="212" spans="2:2" ht="13.2" customHeight="1">
      <c r="B212" s="73"/>
    </row>
    <row r="213" spans="2:2" ht="13.2" customHeight="1">
      <c r="B213" s="73"/>
    </row>
    <row r="214" spans="2:2" ht="13.2" customHeight="1">
      <c r="B214" s="73"/>
    </row>
    <row r="215" spans="2:2" ht="13.2" customHeight="1">
      <c r="B215" s="73"/>
    </row>
    <row r="216" spans="2:2" ht="13.2" customHeight="1">
      <c r="B216" s="73"/>
    </row>
    <row r="217" spans="2:2" ht="13.2" customHeight="1">
      <c r="B217" s="73"/>
    </row>
    <row r="218" spans="2:2" ht="13.2" customHeight="1">
      <c r="B218" s="73"/>
    </row>
    <row r="219" spans="2:2" ht="13.2" customHeight="1">
      <c r="B219" s="73"/>
    </row>
    <row r="220" spans="2:2" ht="13.2" customHeight="1">
      <c r="B220" s="73"/>
    </row>
    <row r="221" spans="2:2" ht="13.2" customHeight="1">
      <c r="B221" s="73"/>
    </row>
    <row r="222" spans="2:2" ht="13.2" customHeight="1">
      <c r="B222" s="73"/>
    </row>
    <row r="223" spans="2:2" ht="13.2" customHeight="1">
      <c r="B223" s="73"/>
    </row>
    <row r="224" spans="2:2" ht="13.2" customHeight="1">
      <c r="B224" s="73"/>
    </row>
    <row r="225" spans="2:2" ht="13.2" customHeight="1">
      <c r="B225" s="73"/>
    </row>
    <row r="226" spans="2:2" ht="13.2" customHeight="1">
      <c r="B226" s="73"/>
    </row>
    <row r="227" spans="2:2" ht="13.2" customHeight="1">
      <c r="B227" s="73"/>
    </row>
    <row r="228" spans="2:2" ht="13.2" customHeight="1">
      <c r="B228" s="73"/>
    </row>
    <row r="229" spans="2:2" ht="13.2" customHeight="1">
      <c r="B229" s="73"/>
    </row>
    <row r="230" spans="2:2" ht="13.2" customHeight="1">
      <c r="B230" s="73"/>
    </row>
    <row r="231" spans="2:2" ht="13.2" customHeight="1">
      <c r="B231" s="73"/>
    </row>
    <row r="232" spans="2:2" ht="13.2" customHeight="1">
      <c r="B232" s="73"/>
    </row>
    <row r="233" spans="2:2" ht="13.2" customHeight="1">
      <c r="B233" s="73"/>
    </row>
    <row r="234" spans="2:2" ht="13.2" customHeight="1">
      <c r="B234" s="73"/>
    </row>
    <row r="235" spans="2:2" ht="13.2" customHeight="1">
      <c r="B235" s="73"/>
    </row>
    <row r="236" spans="2:2" ht="13.2" customHeight="1">
      <c r="B236" s="73"/>
    </row>
    <row r="237" spans="2:2" ht="13.2" customHeight="1">
      <c r="B237" s="73"/>
    </row>
    <row r="238" spans="2:2" ht="13.2" customHeight="1">
      <c r="B238" s="73"/>
    </row>
    <row r="239" spans="2:2" ht="13.2" customHeight="1">
      <c r="B239" s="73"/>
    </row>
    <row r="240" spans="2:2" ht="13.2" customHeight="1">
      <c r="B240" s="73"/>
    </row>
    <row r="241" spans="2:2" ht="13.2" customHeight="1">
      <c r="B241" s="73"/>
    </row>
    <row r="242" spans="2:2" ht="13.2" customHeight="1">
      <c r="B242" s="73"/>
    </row>
    <row r="243" spans="2:2" ht="13.2" customHeight="1">
      <c r="B243" s="73"/>
    </row>
    <row r="244" spans="2:2" ht="13.2" customHeight="1">
      <c r="B244" s="73"/>
    </row>
    <row r="245" spans="2:2" ht="13.2" customHeight="1">
      <c r="B245" s="73"/>
    </row>
    <row r="246" spans="2:2" ht="13.2" customHeight="1">
      <c r="B246" s="73"/>
    </row>
    <row r="247" spans="2:2" ht="13.2" customHeight="1">
      <c r="B247" s="73"/>
    </row>
    <row r="248" spans="2:2" ht="13.2" customHeight="1">
      <c r="B248" s="73"/>
    </row>
    <row r="249" spans="2:2" ht="13.2" customHeight="1">
      <c r="B249" s="73"/>
    </row>
    <row r="250" spans="2:2" ht="13.2" customHeight="1">
      <c r="B250" s="73"/>
    </row>
    <row r="251" spans="2:2" ht="13.2" customHeight="1">
      <c r="B251" s="73"/>
    </row>
    <row r="252" spans="2:2" ht="13.2" customHeight="1">
      <c r="B252" s="73"/>
    </row>
    <row r="253" spans="2:2" ht="13.2" customHeight="1">
      <c r="B253" s="73"/>
    </row>
    <row r="254" spans="2:2" ht="13.2" customHeight="1">
      <c r="B254" s="73"/>
    </row>
    <row r="255" spans="2:2" ht="13.2" customHeight="1">
      <c r="B255" s="73"/>
    </row>
    <row r="256" spans="2:2" ht="13.2" customHeight="1">
      <c r="B256" s="73"/>
    </row>
    <row r="257" spans="2:2" ht="13.2" customHeight="1">
      <c r="B257" s="73"/>
    </row>
    <row r="258" spans="2:2" ht="13.2" customHeight="1">
      <c r="B258" s="73"/>
    </row>
    <row r="259" spans="2:2" ht="13.2" customHeight="1">
      <c r="B259" s="73"/>
    </row>
    <row r="260" spans="2:2" ht="13.2" customHeight="1">
      <c r="B260" s="73"/>
    </row>
    <row r="261" spans="2:2" ht="13.2" customHeight="1">
      <c r="B261" s="73"/>
    </row>
    <row r="262" spans="2:2" ht="13.2" customHeight="1">
      <c r="B262" s="73"/>
    </row>
    <row r="263" spans="2:2" ht="13.2" customHeight="1">
      <c r="B263" s="73"/>
    </row>
    <row r="264" spans="2:2" ht="13.2" customHeight="1">
      <c r="B264" s="73"/>
    </row>
    <row r="265" spans="2:2" ht="13.2" customHeight="1">
      <c r="B265" s="73"/>
    </row>
    <row r="266" spans="2:2" ht="13.2" customHeight="1">
      <c r="B266" s="73"/>
    </row>
    <row r="267" spans="2:2" ht="13.2" customHeight="1">
      <c r="B267" s="73"/>
    </row>
    <row r="268" spans="2:2" ht="13.2" customHeight="1">
      <c r="B268" s="73"/>
    </row>
    <row r="269" spans="2:2" ht="13.2" customHeight="1">
      <c r="B269" s="73"/>
    </row>
    <row r="270" spans="2:2" ht="13.2" customHeight="1">
      <c r="B270" s="73"/>
    </row>
    <row r="271" spans="2:2" ht="13.2" customHeight="1">
      <c r="B271" s="73"/>
    </row>
    <row r="272" spans="2:2" ht="13.2" customHeight="1">
      <c r="B272" s="73"/>
    </row>
    <row r="273" spans="2:2" ht="13.2" customHeight="1">
      <c r="B273" s="73"/>
    </row>
    <row r="274" spans="2:2" ht="13.2" customHeight="1">
      <c r="B274" s="73"/>
    </row>
    <row r="275" spans="2:2" ht="13.2" customHeight="1">
      <c r="B275" s="73"/>
    </row>
    <row r="276" spans="2:2" ht="13.2" customHeight="1">
      <c r="B276" s="73"/>
    </row>
    <row r="277" spans="2:2" ht="13.2" customHeight="1">
      <c r="B277" s="73"/>
    </row>
    <row r="278" spans="2:2" ht="13.2" customHeight="1">
      <c r="B278" s="73"/>
    </row>
    <row r="279" spans="2:2" ht="13.2" customHeight="1">
      <c r="B279" s="73"/>
    </row>
    <row r="280" spans="2:2" ht="13.2" customHeight="1">
      <c r="B280" s="73"/>
    </row>
    <row r="281" spans="2:2" ht="13.2" customHeight="1">
      <c r="B281" s="73"/>
    </row>
    <row r="282" spans="2:2" ht="13.2" customHeight="1">
      <c r="B282" s="73"/>
    </row>
    <row r="283" spans="2:2" ht="13.2" customHeight="1">
      <c r="B283" s="73"/>
    </row>
    <row r="284" spans="2:2" ht="13.2" customHeight="1">
      <c r="B284" s="73"/>
    </row>
    <row r="285" spans="2:2" ht="13.2" customHeight="1">
      <c r="B285" s="73"/>
    </row>
    <row r="286" spans="2:2" ht="13.2" customHeight="1">
      <c r="B286" s="73"/>
    </row>
    <row r="287" spans="2:2" ht="13.2" customHeight="1">
      <c r="B287" s="73"/>
    </row>
    <row r="288" spans="2:2" ht="13.2" customHeight="1">
      <c r="B288" s="73"/>
    </row>
    <row r="289" spans="2:2" ht="13.2" customHeight="1">
      <c r="B289" s="73"/>
    </row>
    <row r="290" spans="2:2" ht="13.2" customHeight="1">
      <c r="B290" s="73"/>
    </row>
    <row r="291" spans="2:2" ht="13.2" customHeight="1">
      <c r="B291" s="73"/>
    </row>
    <row r="292" spans="2:2" ht="13.2" customHeight="1">
      <c r="B292" s="73"/>
    </row>
    <row r="293" spans="2:2" ht="13.2" customHeight="1">
      <c r="B293" s="73"/>
    </row>
    <row r="294" spans="2:2" ht="13.2" customHeight="1">
      <c r="B294" s="73"/>
    </row>
    <row r="295" spans="2:2" ht="13.2" customHeight="1">
      <c r="B295" s="73"/>
    </row>
    <row r="296" spans="2:2" ht="13.2" customHeight="1">
      <c r="B296" s="73"/>
    </row>
    <row r="297" spans="2:2" ht="13.2" customHeight="1">
      <c r="B297" s="73"/>
    </row>
    <row r="298" spans="2:2" ht="13.2" customHeight="1">
      <c r="B298" s="73"/>
    </row>
    <row r="299" spans="2:2" ht="13.2" customHeight="1">
      <c r="B299" s="73"/>
    </row>
    <row r="300" spans="2:2" ht="13.2" customHeight="1">
      <c r="B300" s="73"/>
    </row>
    <row r="301" spans="2:2" ht="13.2" customHeight="1">
      <c r="B301" s="73"/>
    </row>
    <row r="302" spans="2:2" ht="13.2" customHeight="1">
      <c r="B302" s="73"/>
    </row>
    <row r="303" spans="2:2" ht="13.2" customHeight="1">
      <c r="B303" s="73"/>
    </row>
    <row r="304" spans="2:2" ht="13.2" customHeight="1">
      <c r="B304" s="73"/>
    </row>
    <row r="305" spans="2:2" ht="13.2" customHeight="1">
      <c r="B305" s="73"/>
    </row>
    <row r="306" spans="2:2" ht="13.2" customHeight="1">
      <c r="B306" s="73"/>
    </row>
    <row r="307" spans="2:2" ht="13.2" customHeight="1">
      <c r="B307" s="73"/>
    </row>
    <row r="308" spans="2:2" ht="13.2" customHeight="1">
      <c r="B308" s="73"/>
    </row>
    <row r="309" spans="2:2" ht="13.2" customHeight="1">
      <c r="B309" s="73"/>
    </row>
    <row r="310" spans="2:2" ht="13.2" customHeight="1">
      <c r="B310" s="73"/>
    </row>
    <row r="311" spans="2:2" ht="13.2" customHeight="1">
      <c r="B311" s="73"/>
    </row>
    <row r="312" spans="2:2" ht="13.2" customHeight="1">
      <c r="B312" s="73"/>
    </row>
    <row r="313" spans="2:2" ht="13.2" customHeight="1">
      <c r="B313" s="73"/>
    </row>
    <row r="314" spans="2:2" ht="13.2" customHeight="1">
      <c r="B314" s="73"/>
    </row>
    <row r="315" spans="2:2" ht="13.2" customHeight="1">
      <c r="B315" s="73"/>
    </row>
    <row r="316" spans="2:2" ht="13.2" customHeight="1">
      <c r="B316" s="73"/>
    </row>
    <row r="317" spans="2:2" ht="13.2" customHeight="1">
      <c r="B317" s="73"/>
    </row>
    <row r="318" spans="2:2" ht="13.2" customHeight="1">
      <c r="B318" s="73"/>
    </row>
    <row r="319" spans="2:2" ht="13.2" customHeight="1">
      <c r="B319" s="73"/>
    </row>
    <row r="320" spans="2:2" ht="13.2" customHeight="1">
      <c r="B320" s="73"/>
    </row>
    <row r="321" spans="2:2" ht="13.2" customHeight="1">
      <c r="B321" s="73"/>
    </row>
    <row r="322" spans="2:2" ht="13.2" customHeight="1">
      <c r="B322" s="73"/>
    </row>
    <row r="323" spans="2:2" ht="13.2" customHeight="1">
      <c r="B323" s="73"/>
    </row>
    <row r="324" spans="2:2" ht="13.2" customHeight="1">
      <c r="B324" s="73"/>
    </row>
    <row r="325" spans="2:2" ht="13.2" customHeight="1">
      <c r="B325" s="73"/>
    </row>
    <row r="326" spans="2:2" ht="13.2" customHeight="1">
      <c r="B326" s="73"/>
    </row>
    <row r="327" spans="2:2" ht="13.2" customHeight="1">
      <c r="B327" s="73"/>
    </row>
    <row r="328" spans="2:2" ht="13.2" customHeight="1">
      <c r="B328" s="73"/>
    </row>
    <row r="329" spans="2:2" ht="13.2" customHeight="1">
      <c r="B329" s="73"/>
    </row>
    <row r="330" spans="2:2" ht="13.2" customHeight="1">
      <c r="B330" s="73"/>
    </row>
    <row r="331" spans="2:2" ht="13.2" customHeight="1">
      <c r="B331" s="73"/>
    </row>
    <row r="332" spans="2:2" ht="13.2" customHeight="1">
      <c r="B332" s="73"/>
    </row>
    <row r="333" spans="2:2" ht="13.2" customHeight="1">
      <c r="B333" s="73"/>
    </row>
    <row r="334" spans="2:2" ht="13.2" customHeight="1">
      <c r="B334" s="73"/>
    </row>
    <row r="335" spans="2:2" ht="13.2" customHeight="1">
      <c r="B335" s="73"/>
    </row>
    <row r="336" spans="2:2" ht="13.2" customHeight="1">
      <c r="B336" s="73"/>
    </row>
    <row r="337" spans="2:2" ht="13.2" customHeight="1">
      <c r="B337" s="73"/>
    </row>
    <row r="338" spans="2:2" ht="13.2" customHeight="1">
      <c r="B338" s="73"/>
    </row>
    <row r="339" spans="2:2" ht="13.2" customHeight="1">
      <c r="B339" s="73"/>
    </row>
    <row r="340" spans="2:2" ht="13.2" customHeight="1">
      <c r="B340" s="73"/>
    </row>
    <row r="341" spans="2:2" ht="13.2" customHeight="1">
      <c r="B341" s="73"/>
    </row>
    <row r="342" spans="2:2" ht="13.2" customHeight="1">
      <c r="B342" s="73"/>
    </row>
    <row r="343" spans="2:2" ht="13.2" customHeight="1">
      <c r="B343" s="73"/>
    </row>
    <row r="344" spans="2:2" ht="13.2" customHeight="1">
      <c r="B344" s="73"/>
    </row>
    <row r="345" spans="2:2" ht="13.2" customHeight="1">
      <c r="B345" s="73"/>
    </row>
    <row r="346" spans="2:2" ht="13.2" customHeight="1">
      <c r="B346" s="73"/>
    </row>
    <row r="347" spans="2:2" ht="13.2" customHeight="1">
      <c r="B347" s="73"/>
    </row>
    <row r="348" spans="2:2" ht="13.2" customHeight="1">
      <c r="B348" s="73"/>
    </row>
    <row r="349" spans="2:2" ht="13.2" customHeight="1">
      <c r="B349" s="73"/>
    </row>
    <row r="350" spans="2:2" ht="13.2" customHeight="1">
      <c r="B350" s="73"/>
    </row>
    <row r="351" spans="2:2" ht="13.2" customHeight="1">
      <c r="B351" s="73"/>
    </row>
    <row r="352" spans="2:2" ht="13.2" customHeight="1">
      <c r="B352" s="73"/>
    </row>
    <row r="353" spans="2:2" ht="13.2" customHeight="1">
      <c r="B353" s="73"/>
    </row>
    <row r="354" spans="2:2" ht="13.2" customHeight="1">
      <c r="B354" s="73"/>
    </row>
    <row r="355" spans="2:2" ht="13.2" customHeight="1">
      <c r="B355" s="73"/>
    </row>
    <row r="356" spans="2:2" ht="13.2" customHeight="1">
      <c r="B356" s="73"/>
    </row>
    <row r="357" spans="2:2" ht="13.2" customHeight="1">
      <c r="B357" s="73"/>
    </row>
    <row r="358" spans="2:2" ht="13.2" customHeight="1">
      <c r="B358" s="73"/>
    </row>
    <row r="359" spans="2:2" ht="13.2" customHeight="1">
      <c r="B359" s="73"/>
    </row>
    <row r="360" spans="2:2" ht="13.2" customHeight="1">
      <c r="B360" s="73"/>
    </row>
    <row r="361" spans="2:2" ht="13.2" customHeight="1">
      <c r="B361" s="73"/>
    </row>
    <row r="362" spans="2:2" ht="13.2" customHeight="1">
      <c r="B362" s="73"/>
    </row>
    <row r="363" spans="2:2" ht="13.2" customHeight="1">
      <c r="B363" s="73"/>
    </row>
    <row r="364" spans="2:2" ht="13.2" customHeight="1">
      <c r="B364" s="73"/>
    </row>
    <row r="365" spans="2:2" ht="13.2" customHeight="1">
      <c r="B365" s="73"/>
    </row>
    <row r="366" spans="2:2" ht="13.2" customHeight="1">
      <c r="B366" s="73"/>
    </row>
    <row r="367" spans="2:2" ht="13.2" customHeight="1">
      <c r="B367" s="73"/>
    </row>
    <row r="368" spans="2:2" ht="13.2" customHeight="1">
      <c r="B368" s="73"/>
    </row>
    <row r="369" spans="2:2" ht="13.2" customHeight="1">
      <c r="B369" s="73"/>
    </row>
    <row r="370" spans="2:2" ht="13.2" customHeight="1">
      <c r="B370" s="73"/>
    </row>
    <row r="371" spans="2:2" ht="13.2" customHeight="1">
      <c r="B371" s="73"/>
    </row>
    <row r="372" spans="2:2" ht="13.2" customHeight="1">
      <c r="B372" s="73"/>
    </row>
    <row r="373" spans="2:2" ht="13.2" customHeight="1">
      <c r="B373" s="73"/>
    </row>
    <row r="374" spans="2:2" ht="13.2" customHeight="1">
      <c r="B374" s="73"/>
    </row>
    <row r="375" spans="2:2" ht="13.2" customHeight="1">
      <c r="B375" s="73"/>
    </row>
    <row r="376" spans="2:2" ht="13.2" customHeight="1">
      <c r="B376" s="73"/>
    </row>
    <row r="377" spans="2:2" ht="13.2" customHeight="1">
      <c r="B377" s="73"/>
    </row>
    <row r="378" spans="2:2" ht="13.2" customHeight="1">
      <c r="B378" s="73"/>
    </row>
    <row r="379" spans="2:2" ht="13.2" customHeight="1">
      <c r="B379" s="73"/>
    </row>
    <row r="380" spans="2:2" ht="13.2" customHeight="1">
      <c r="B380" s="73"/>
    </row>
    <row r="381" spans="2:2" ht="13.2" customHeight="1">
      <c r="B381" s="73"/>
    </row>
    <row r="382" spans="2:2" ht="13.2" customHeight="1">
      <c r="B382" s="73"/>
    </row>
    <row r="383" spans="2:2" ht="13.2" customHeight="1">
      <c r="B383" s="73"/>
    </row>
    <row r="384" spans="2:2" ht="13.2" customHeight="1">
      <c r="B384" s="73"/>
    </row>
    <row r="385" spans="2:2" ht="13.2" customHeight="1">
      <c r="B385" s="73"/>
    </row>
    <row r="386" spans="2:2" ht="13.2" customHeight="1">
      <c r="B386" s="73"/>
    </row>
    <row r="387" spans="2:2" ht="13.2" customHeight="1">
      <c r="B387" s="73"/>
    </row>
    <row r="388" spans="2:2" ht="13.2" customHeight="1">
      <c r="B388" s="73"/>
    </row>
    <row r="389" spans="2:2" ht="13.2" customHeight="1">
      <c r="B389" s="73"/>
    </row>
    <row r="390" spans="2:2" ht="13.2" customHeight="1">
      <c r="B390" s="73"/>
    </row>
    <row r="391" spans="2:2" ht="13.2" customHeight="1">
      <c r="B391" s="73"/>
    </row>
    <row r="392" spans="2:2" ht="13.2" customHeight="1">
      <c r="B392" s="73"/>
    </row>
    <row r="393" spans="2:2" ht="13.2" customHeight="1">
      <c r="B393" s="73"/>
    </row>
    <row r="394" spans="2:2" ht="13.2" customHeight="1">
      <c r="B394" s="73"/>
    </row>
    <row r="395" spans="2:2" ht="13.2" customHeight="1">
      <c r="B395" s="73"/>
    </row>
    <row r="396" spans="2:2" ht="13.2" customHeight="1">
      <c r="B396" s="73"/>
    </row>
    <row r="397" spans="2:2" ht="13.2" customHeight="1">
      <c r="B397" s="73"/>
    </row>
    <row r="398" spans="2:2" ht="13.2" customHeight="1">
      <c r="B398" s="73"/>
    </row>
    <row r="399" spans="2:2" ht="13.2" customHeight="1">
      <c r="B399" s="73"/>
    </row>
    <row r="400" spans="2:2" ht="13.2" customHeight="1">
      <c r="B400" s="73"/>
    </row>
    <row r="401" spans="2:2" ht="13.2" customHeight="1">
      <c r="B401" s="73"/>
    </row>
    <row r="402" spans="2:2" ht="13.2" customHeight="1">
      <c r="B402" s="73"/>
    </row>
    <row r="403" spans="2:2" ht="13.2" customHeight="1">
      <c r="B403" s="73"/>
    </row>
    <row r="404" spans="2:2" ht="13.2" customHeight="1">
      <c r="B404" s="73"/>
    </row>
    <row r="405" spans="2:2" ht="13.2" customHeight="1">
      <c r="B405" s="73"/>
    </row>
    <row r="406" spans="2:2" ht="13.2" customHeight="1">
      <c r="B406" s="73"/>
    </row>
    <row r="407" spans="2:2" ht="13.2" customHeight="1">
      <c r="B407" s="73"/>
    </row>
    <row r="408" spans="2:2" ht="13.2" customHeight="1">
      <c r="B408" s="73"/>
    </row>
    <row r="409" spans="2:2" ht="13.2" customHeight="1">
      <c r="B409" s="73"/>
    </row>
    <row r="410" spans="2:2" ht="13.2" customHeight="1">
      <c r="B410" s="73"/>
    </row>
    <row r="411" spans="2:2" ht="13.2" customHeight="1">
      <c r="B411" s="73"/>
    </row>
    <row r="412" spans="2:2" ht="13.2" customHeight="1">
      <c r="B412" s="73"/>
    </row>
    <row r="413" spans="2:2" ht="13.2" customHeight="1">
      <c r="B413" s="73"/>
    </row>
    <row r="414" spans="2:2" ht="13.2" customHeight="1">
      <c r="B414" s="73"/>
    </row>
    <row r="415" spans="2:2" ht="13.2" customHeight="1">
      <c r="B415" s="73"/>
    </row>
    <row r="416" spans="2:2" ht="13.2" customHeight="1">
      <c r="B416" s="73"/>
    </row>
    <row r="417" spans="2:2" ht="13.2" customHeight="1">
      <c r="B417" s="73"/>
    </row>
    <row r="418" spans="2:2" ht="13.2" customHeight="1">
      <c r="B418" s="73"/>
    </row>
    <row r="419" spans="2:2" ht="13.2" customHeight="1">
      <c r="B419" s="73"/>
    </row>
    <row r="420" spans="2:2" ht="13.2" customHeight="1">
      <c r="B420" s="73"/>
    </row>
    <row r="421" spans="2:2" ht="13.2" customHeight="1">
      <c r="B421" s="73"/>
    </row>
    <row r="422" spans="2:2" ht="13.2" customHeight="1">
      <c r="B422" s="73"/>
    </row>
    <row r="423" spans="2:2" ht="13.2" customHeight="1">
      <c r="B423" s="73"/>
    </row>
    <row r="424" spans="2:2" ht="13.2" customHeight="1">
      <c r="B424" s="73"/>
    </row>
    <row r="425" spans="2:2" ht="13.2" customHeight="1">
      <c r="B425" s="73"/>
    </row>
    <row r="426" spans="2:2" ht="13.2" customHeight="1">
      <c r="B426" s="73"/>
    </row>
    <row r="427" spans="2:2" ht="13.2" customHeight="1">
      <c r="B427" s="73"/>
    </row>
    <row r="428" spans="2:2" ht="13.2" customHeight="1">
      <c r="B428" s="73"/>
    </row>
    <row r="429" spans="2:2" ht="13.2" customHeight="1">
      <c r="B429" s="73"/>
    </row>
    <row r="430" spans="2:2" ht="13.2" customHeight="1">
      <c r="B430" s="73"/>
    </row>
    <row r="431" spans="2:2" ht="13.2" customHeight="1">
      <c r="B431" s="73"/>
    </row>
    <row r="432" spans="2:2" ht="13.2" customHeight="1">
      <c r="B432" s="73"/>
    </row>
    <row r="433" spans="2:2" ht="13.2" customHeight="1">
      <c r="B433" s="73"/>
    </row>
    <row r="434" spans="2:2" ht="13.2" customHeight="1">
      <c r="B434" s="73"/>
    </row>
    <row r="435" spans="2:2" ht="13.2" customHeight="1">
      <c r="B435" s="73"/>
    </row>
    <row r="436" spans="2:2" ht="13.2" customHeight="1">
      <c r="B436" s="73"/>
    </row>
    <row r="437" spans="2:2" ht="13.2" customHeight="1">
      <c r="B437" s="73"/>
    </row>
    <row r="438" spans="2:2" ht="13.2" customHeight="1">
      <c r="B438" s="73"/>
    </row>
    <row r="439" spans="2:2" ht="13.2" customHeight="1">
      <c r="B439" s="73"/>
    </row>
    <row r="440" spans="2:2" ht="13.2" customHeight="1">
      <c r="B440" s="73"/>
    </row>
    <row r="441" spans="2:2" ht="13.2" customHeight="1">
      <c r="B441" s="73"/>
    </row>
    <row r="442" spans="2:2" ht="13.2" customHeight="1">
      <c r="B442" s="73"/>
    </row>
    <row r="443" spans="2:2" ht="13.2" customHeight="1">
      <c r="B443" s="73"/>
    </row>
    <row r="444" spans="2:2" ht="13.2" customHeight="1">
      <c r="B444" s="73"/>
    </row>
    <row r="445" spans="2:2" ht="13.2" customHeight="1">
      <c r="B445" s="73"/>
    </row>
    <row r="446" spans="2:2" ht="13.2" customHeight="1">
      <c r="B446" s="73"/>
    </row>
    <row r="447" spans="2:2" ht="13.2" customHeight="1">
      <c r="B447" s="73"/>
    </row>
    <row r="448" spans="2:2" ht="13.2" customHeight="1">
      <c r="B448" s="73"/>
    </row>
    <row r="449" spans="2:2" ht="13.2" customHeight="1">
      <c r="B449" s="73"/>
    </row>
    <row r="450" spans="2:2" ht="13.2" customHeight="1">
      <c r="B450" s="73"/>
    </row>
    <row r="451" spans="2:2" ht="13.2" customHeight="1">
      <c r="B451" s="73"/>
    </row>
    <row r="452" spans="2:2" ht="13.2" customHeight="1">
      <c r="B452" s="73"/>
    </row>
    <row r="453" spans="2:2" ht="13.2" customHeight="1">
      <c r="B453" s="73"/>
    </row>
    <row r="454" spans="2:2" ht="13.2" customHeight="1">
      <c r="B454" s="73"/>
    </row>
    <row r="455" spans="2:2" ht="13.2" customHeight="1">
      <c r="B455" s="73"/>
    </row>
    <row r="456" spans="2:2" ht="13.2" customHeight="1">
      <c r="B456" s="73"/>
    </row>
    <row r="457" spans="2:2" ht="13.2" customHeight="1">
      <c r="B457" s="73"/>
    </row>
    <row r="458" spans="2:2" ht="13.2" customHeight="1">
      <c r="B458" s="73"/>
    </row>
    <row r="459" spans="2:2" ht="13.2" customHeight="1">
      <c r="B459" s="73"/>
    </row>
    <row r="460" spans="2:2" ht="13.2" customHeight="1">
      <c r="B460" s="73"/>
    </row>
    <row r="461" spans="2:2" ht="13.2" customHeight="1">
      <c r="B461" s="73"/>
    </row>
    <row r="462" spans="2:2" ht="13.2" customHeight="1">
      <c r="B462" s="73"/>
    </row>
    <row r="463" spans="2:2" ht="13.2" customHeight="1">
      <c r="B463" s="73"/>
    </row>
    <row r="464" spans="2:2" ht="13.2" customHeight="1">
      <c r="B464" s="73"/>
    </row>
    <row r="465" spans="2:2" ht="13.2" customHeight="1">
      <c r="B465" s="73"/>
    </row>
    <row r="466" spans="2:2" ht="13.2" customHeight="1">
      <c r="B466" s="73"/>
    </row>
    <row r="467" spans="2:2" ht="13.2" customHeight="1">
      <c r="B467" s="73"/>
    </row>
    <row r="468" spans="2:2" ht="13.2" customHeight="1">
      <c r="B468" s="73"/>
    </row>
    <row r="469" spans="2:2" ht="13.2" customHeight="1">
      <c r="B469" s="73"/>
    </row>
    <row r="470" spans="2:2" ht="13.2" customHeight="1">
      <c r="B470" s="73"/>
    </row>
    <row r="471" spans="2:2" ht="13.2" customHeight="1">
      <c r="B471" s="73"/>
    </row>
    <row r="472" spans="2:2" ht="13.2" customHeight="1">
      <c r="B472" s="73"/>
    </row>
    <row r="473" spans="2:2" ht="13.2" customHeight="1">
      <c r="B473" s="73"/>
    </row>
    <row r="474" spans="2:2" ht="13.2" customHeight="1">
      <c r="B474" s="73"/>
    </row>
    <row r="475" spans="2:2" ht="13.2" customHeight="1">
      <c r="B475" s="73"/>
    </row>
    <row r="476" spans="2:2" ht="13.2" customHeight="1">
      <c r="B476" s="73"/>
    </row>
    <row r="477" spans="2:2" ht="13.2" customHeight="1">
      <c r="B477" s="73"/>
    </row>
    <row r="478" spans="2:2" ht="13.2" customHeight="1">
      <c r="B478" s="73"/>
    </row>
    <row r="479" spans="2:2" ht="13.2" customHeight="1">
      <c r="B479" s="73"/>
    </row>
    <row r="480" spans="2:2" ht="13.2" customHeight="1">
      <c r="B480" s="73"/>
    </row>
    <row r="481" spans="2:2" ht="13.2" customHeight="1">
      <c r="B481" s="73"/>
    </row>
    <row r="482" spans="2:2" ht="13.2" customHeight="1">
      <c r="B482" s="73"/>
    </row>
    <row r="483" spans="2:2" ht="13.2" customHeight="1">
      <c r="B483" s="73"/>
    </row>
    <row r="484" spans="2:2" ht="13.2" customHeight="1">
      <c r="B484" s="73"/>
    </row>
    <row r="485" spans="2:2" ht="13.2" customHeight="1">
      <c r="B485" s="73"/>
    </row>
    <row r="486" spans="2:2" ht="13.2" customHeight="1">
      <c r="B486" s="73"/>
    </row>
    <row r="487" spans="2:2" ht="13.2" customHeight="1">
      <c r="B487" s="73"/>
    </row>
    <row r="488" spans="2:2" ht="13.2" customHeight="1">
      <c r="B488" s="73"/>
    </row>
    <row r="489" spans="2:2" ht="13.2" customHeight="1">
      <c r="B489" s="73"/>
    </row>
    <row r="490" spans="2:2" ht="13.2" customHeight="1">
      <c r="B490" s="73"/>
    </row>
    <row r="491" spans="2:2" ht="13.2" customHeight="1">
      <c r="B491" s="73"/>
    </row>
    <row r="492" spans="2:2" ht="13.2" customHeight="1">
      <c r="B492" s="73"/>
    </row>
    <row r="493" spans="2:2" ht="13.2" customHeight="1">
      <c r="B493" s="73"/>
    </row>
    <row r="494" spans="2:2" ht="13.2" customHeight="1">
      <c r="B494" s="73"/>
    </row>
    <row r="495" spans="2:2" ht="13.2" customHeight="1">
      <c r="B495" s="73"/>
    </row>
    <row r="496" spans="2:2" ht="13.2" customHeight="1">
      <c r="B496" s="73"/>
    </row>
    <row r="497" spans="2:2" ht="13.2" customHeight="1">
      <c r="B497" s="73"/>
    </row>
    <row r="498" spans="2:2" ht="13.2" customHeight="1">
      <c r="B498" s="73"/>
    </row>
    <row r="499" spans="2:2" ht="13.2" customHeight="1">
      <c r="B499" s="73"/>
    </row>
    <row r="500" spans="2:2" ht="13.2" customHeight="1">
      <c r="B500" s="73"/>
    </row>
    <row r="501" spans="2:2" ht="13.2" customHeight="1">
      <c r="B501" s="73"/>
    </row>
    <row r="502" spans="2:2" ht="13.2" customHeight="1">
      <c r="B502" s="73"/>
    </row>
    <row r="503" spans="2:2" ht="13.2" customHeight="1">
      <c r="B503" s="73"/>
    </row>
    <row r="504" spans="2:2" ht="13.2" customHeight="1">
      <c r="B504" s="73"/>
    </row>
    <row r="505" spans="2:2" ht="13.2" customHeight="1">
      <c r="B505" s="73"/>
    </row>
    <row r="506" spans="2:2" ht="13.2" customHeight="1">
      <c r="B506" s="73"/>
    </row>
    <row r="507" spans="2:2" ht="13.2" customHeight="1">
      <c r="B507" s="73"/>
    </row>
    <row r="508" spans="2:2" ht="13.2" customHeight="1">
      <c r="B508" s="73"/>
    </row>
    <row r="509" spans="2:2" ht="13.2" customHeight="1">
      <c r="B509" s="73"/>
    </row>
    <row r="510" spans="2:2" ht="13.2" customHeight="1">
      <c r="B510" s="73"/>
    </row>
    <row r="511" spans="2:2" ht="13.2" customHeight="1">
      <c r="B511" s="73"/>
    </row>
    <row r="512" spans="2:2" ht="13.2" customHeight="1">
      <c r="B512" s="73"/>
    </row>
    <row r="513" spans="2:2" ht="13.2" customHeight="1">
      <c r="B513" s="73"/>
    </row>
    <row r="514" spans="2:2" ht="13.2" customHeight="1">
      <c r="B514" s="73"/>
    </row>
    <row r="515" spans="2:2" ht="13.2" customHeight="1">
      <c r="B515" s="73"/>
    </row>
    <row r="516" spans="2:2" ht="13.2" customHeight="1">
      <c r="B516" s="73"/>
    </row>
    <row r="517" spans="2:2" ht="13.2" customHeight="1">
      <c r="B517" s="73"/>
    </row>
    <row r="518" spans="2:2" ht="13.2" customHeight="1">
      <c r="B518" s="73"/>
    </row>
    <row r="519" spans="2:2" ht="13.2" customHeight="1">
      <c r="B519" s="73"/>
    </row>
    <row r="520" spans="2:2" ht="13.2" customHeight="1">
      <c r="B520" s="73"/>
    </row>
    <row r="521" spans="2:2" ht="13.2" customHeight="1">
      <c r="B521" s="73"/>
    </row>
    <row r="522" spans="2:2" ht="13.2" customHeight="1">
      <c r="B522" s="73"/>
    </row>
    <row r="523" spans="2:2" ht="13.2" customHeight="1">
      <c r="B523" s="73"/>
    </row>
    <row r="524" spans="2:2" ht="13.2" customHeight="1">
      <c r="B524" s="73"/>
    </row>
    <row r="525" spans="2:2" ht="13.2" customHeight="1">
      <c r="B525" s="73"/>
    </row>
    <row r="526" spans="2:2" ht="13.2" customHeight="1">
      <c r="B526" s="73"/>
    </row>
    <row r="527" spans="2:2" ht="13.2" customHeight="1">
      <c r="B527" s="73"/>
    </row>
    <row r="528" spans="2:2" ht="13.2" customHeight="1">
      <c r="B528" s="73"/>
    </row>
    <row r="529" spans="2:2" ht="13.2" customHeight="1">
      <c r="B529" s="73"/>
    </row>
    <row r="530" spans="2:2" ht="13.2" customHeight="1">
      <c r="B530" s="73"/>
    </row>
    <row r="531" spans="2:2" ht="13.2" customHeight="1">
      <c r="B531" s="73"/>
    </row>
    <row r="532" spans="2:2" ht="13.2" customHeight="1">
      <c r="B532" s="73"/>
    </row>
    <row r="533" spans="2:2" ht="13.2" customHeight="1">
      <c r="B533" s="73"/>
    </row>
    <row r="534" spans="2:2" ht="13.2" customHeight="1">
      <c r="B534" s="73"/>
    </row>
    <row r="535" spans="2:2" ht="13.2" customHeight="1">
      <c r="B535" s="73"/>
    </row>
    <row r="536" spans="2:2" ht="13.2" customHeight="1">
      <c r="B536" s="73"/>
    </row>
    <row r="537" spans="2:2" ht="13.2" customHeight="1">
      <c r="B537" s="73"/>
    </row>
    <row r="538" spans="2:2" ht="13.2" customHeight="1">
      <c r="B538" s="73"/>
    </row>
    <row r="539" spans="2:2" ht="13.2" customHeight="1">
      <c r="B539" s="73"/>
    </row>
    <row r="540" spans="2:2" ht="13.2" customHeight="1">
      <c r="B540" s="73"/>
    </row>
    <row r="541" spans="2:2" ht="13.2" customHeight="1">
      <c r="B541" s="73"/>
    </row>
    <row r="542" spans="2:2" ht="13.2" customHeight="1">
      <c r="B542" s="73"/>
    </row>
    <row r="543" spans="2:2" ht="13.2" customHeight="1">
      <c r="B543" s="73"/>
    </row>
    <row r="544" spans="2:2" ht="13.2" customHeight="1">
      <c r="B544" s="73"/>
    </row>
    <row r="545" spans="2:2" ht="13.2" customHeight="1">
      <c r="B545" s="73"/>
    </row>
    <row r="546" spans="2:2" ht="13.2" customHeight="1">
      <c r="B546" s="73"/>
    </row>
    <row r="547" spans="2:2" ht="13.2" customHeight="1">
      <c r="B547" s="73"/>
    </row>
    <row r="548" spans="2:2" ht="13.2" customHeight="1">
      <c r="B548" s="73"/>
    </row>
    <row r="549" spans="2:2" ht="13.2" customHeight="1">
      <c r="B549" s="73"/>
    </row>
    <row r="550" spans="2:2" ht="13.2" customHeight="1">
      <c r="B550" s="73"/>
    </row>
    <row r="551" spans="2:2" ht="13.2" customHeight="1">
      <c r="B551" s="73"/>
    </row>
    <row r="552" spans="2:2" ht="13.2" customHeight="1">
      <c r="B552" s="73"/>
    </row>
    <row r="553" spans="2:2" ht="13.2" customHeight="1">
      <c r="B553" s="73"/>
    </row>
    <row r="554" spans="2:2" ht="13.2" customHeight="1">
      <c r="B554" s="73"/>
    </row>
    <row r="555" spans="2:2" ht="13.2" customHeight="1">
      <c r="B555" s="73"/>
    </row>
    <row r="556" spans="2:2" ht="13.2" customHeight="1">
      <c r="B556" s="73"/>
    </row>
    <row r="557" spans="2:2" ht="13.2" customHeight="1">
      <c r="B557" s="73"/>
    </row>
    <row r="558" spans="2:2" ht="13.2" customHeight="1">
      <c r="B558" s="73"/>
    </row>
    <row r="559" spans="2:2" ht="13.2" customHeight="1">
      <c r="B559" s="73"/>
    </row>
    <row r="560" spans="2:2" ht="13.2" customHeight="1">
      <c r="B560" s="73"/>
    </row>
    <row r="561" spans="2:2" ht="13.2" customHeight="1">
      <c r="B561" s="73"/>
    </row>
    <row r="562" spans="2:2" ht="13.2" customHeight="1">
      <c r="B562" s="73"/>
    </row>
    <row r="563" spans="2:2" ht="13.2" customHeight="1">
      <c r="B563" s="73"/>
    </row>
    <row r="564" spans="2:2" ht="13.2" customHeight="1">
      <c r="B564" s="73"/>
    </row>
    <row r="565" spans="2:2" ht="13.2" customHeight="1">
      <c r="B565" s="73"/>
    </row>
    <row r="566" spans="2:2" ht="13.2" customHeight="1">
      <c r="B566" s="73"/>
    </row>
    <row r="567" spans="2:2" ht="13.2" customHeight="1">
      <c r="B567" s="73"/>
    </row>
    <row r="568" spans="2:2" ht="13.2" customHeight="1">
      <c r="B568" s="73"/>
    </row>
    <row r="569" spans="2:2" ht="13.2" customHeight="1">
      <c r="B569" s="73"/>
    </row>
    <row r="570" spans="2:2" ht="13.2" customHeight="1">
      <c r="B570" s="73"/>
    </row>
    <row r="571" spans="2:2" ht="13.2" customHeight="1">
      <c r="B571" s="73"/>
    </row>
    <row r="572" spans="2:2" ht="13.2" customHeight="1">
      <c r="B572" s="73"/>
    </row>
    <row r="573" spans="2:2" ht="13.2" customHeight="1">
      <c r="B573" s="73"/>
    </row>
    <row r="574" spans="2:2" ht="13.2" customHeight="1">
      <c r="B574" s="73"/>
    </row>
    <row r="575" spans="2:2" ht="13.2" customHeight="1">
      <c r="B575" s="73"/>
    </row>
    <row r="576" spans="2:2" ht="13.2" customHeight="1">
      <c r="B576" s="73"/>
    </row>
    <row r="577" spans="2:2" ht="13.2" customHeight="1">
      <c r="B577" s="73"/>
    </row>
    <row r="578" spans="2:2" ht="13.2" customHeight="1">
      <c r="B578" s="73"/>
    </row>
    <row r="579" spans="2:2" ht="13.2" customHeight="1">
      <c r="B579" s="73"/>
    </row>
    <row r="580" spans="2:2" ht="13.2" customHeight="1">
      <c r="B580" s="73"/>
    </row>
    <row r="581" spans="2:2" ht="13.2" customHeight="1">
      <c r="B581" s="73"/>
    </row>
    <row r="582" spans="2:2" ht="13.2" customHeight="1">
      <c r="B582" s="73"/>
    </row>
    <row r="583" spans="2:2" ht="13.2" customHeight="1">
      <c r="B583" s="73"/>
    </row>
    <row r="584" spans="2:2" ht="13.2" customHeight="1">
      <c r="B584" s="73"/>
    </row>
    <row r="585" spans="2:2" ht="13.2" customHeight="1">
      <c r="B585" s="73"/>
    </row>
    <row r="586" spans="2:2" ht="13.2" customHeight="1">
      <c r="B586" s="73"/>
    </row>
    <row r="587" spans="2:2" ht="13.2" customHeight="1">
      <c r="B587" s="73"/>
    </row>
    <row r="588" spans="2:2" ht="13.2" customHeight="1">
      <c r="B588" s="73"/>
    </row>
    <row r="589" spans="2:2" ht="13.2" customHeight="1">
      <c r="B589" s="73"/>
    </row>
    <row r="590" spans="2:2" ht="13.2" customHeight="1">
      <c r="B590" s="73"/>
    </row>
    <row r="591" spans="2:2" ht="13.2" customHeight="1">
      <c r="B591" s="73"/>
    </row>
    <row r="592" spans="2:2" ht="13.2" customHeight="1">
      <c r="B592" s="73"/>
    </row>
    <row r="593" spans="2:2" ht="13.2" customHeight="1">
      <c r="B593" s="73"/>
    </row>
    <row r="594" spans="2:2" ht="13.2" customHeight="1">
      <c r="B594" s="73"/>
    </row>
    <row r="595" spans="2:2" ht="13.2" customHeight="1">
      <c r="B595" s="73"/>
    </row>
    <row r="596" spans="2:2" ht="13.2" customHeight="1">
      <c r="B596" s="73"/>
    </row>
    <row r="597" spans="2:2" ht="13.2" customHeight="1">
      <c r="B597" s="73"/>
    </row>
    <row r="598" spans="2:2" ht="13.2" customHeight="1">
      <c r="B598" s="73"/>
    </row>
    <row r="599" spans="2:2" ht="13.2" customHeight="1">
      <c r="B599" s="73"/>
    </row>
    <row r="600" spans="2:2" ht="13.2" customHeight="1">
      <c r="B600" s="73"/>
    </row>
    <row r="601" spans="2:2" ht="13.2" customHeight="1">
      <c r="B601" s="73"/>
    </row>
    <row r="602" spans="2:2" ht="13.2" customHeight="1">
      <c r="B602" s="73"/>
    </row>
    <row r="603" spans="2:2" ht="13.2" customHeight="1">
      <c r="B603" s="73"/>
    </row>
    <row r="604" spans="2:2" ht="13.2" customHeight="1">
      <c r="B604" s="73"/>
    </row>
    <row r="605" spans="2:2" ht="13.2" customHeight="1">
      <c r="B605" s="73"/>
    </row>
    <row r="606" spans="2:2" ht="13.2" customHeight="1">
      <c r="B606" s="73"/>
    </row>
    <row r="607" spans="2:2" ht="13.2" customHeight="1">
      <c r="B607" s="73"/>
    </row>
    <row r="608" spans="2:2" ht="13.2" customHeight="1">
      <c r="B608" s="73"/>
    </row>
    <row r="609" spans="2:2" ht="13.2" customHeight="1">
      <c r="B609" s="73"/>
    </row>
    <row r="610" spans="2:2" ht="13.2" customHeight="1">
      <c r="B610" s="73"/>
    </row>
    <row r="611" spans="2:2" ht="13.2" customHeight="1">
      <c r="B611" s="73"/>
    </row>
    <row r="612" spans="2:2" ht="13.2" customHeight="1">
      <c r="B612" s="73"/>
    </row>
    <row r="613" spans="2:2" ht="13.2" customHeight="1">
      <c r="B613" s="73"/>
    </row>
    <row r="614" spans="2:2" ht="13.2" customHeight="1">
      <c r="B614" s="73"/>
    </row>
    <row r="615" spans="2:2" ht="13.2" customHeight="1">
      <c r="B615" s="73"/>
    </row>
    <row r="616" spans="2:2" ht="13.2" customHeight="1">
      <c r="B616" s="73"/>
    </row>
    <row r="617" spans="2:2" ht="13.2" customHeight="1">
      <c r="B617" s="73"/>
    </row>
    <row r="618" spans="2:2" ht="13.2" customHeight="1">
      <c r="B618" s="73"/>
    </row>
    <row r="619" spans="2:2" ht="13.2" customHeight="1">
      <c r="B619" s="73"/>
    </row>
    <row r="620" spans="2:2" ht="13.2" customHeight="1">
      <c r="B620" s="73"/>
    </row>
    <row r="621" spans="2:2" ht="13.2" customHeight="1">
      <c r="B621" s="73"/>
    </row>
    <row r="622" spans="2:2" ht="13.2" customHeight="1">
      <c r="B622" s="73"/>
    </row>
    <row r="623" spans="2:2" ht="13.2" customHeight="1">
      <c r="B623" s="73"/>
    </row>
    <row r="624" spans="2:2" ht="13.2" customHeight="1">
      <c r="B624" s="73"/>
    </row>
    <row r="625" spans="2:2" ht="13.2" customHeight="1">
      <c r="B625" s="73"/>
    </row>
    <row r="626" spans="2:2" ht="13.2" customHeight="1">
      <c r="B626" s="73"/>
    </row>
    <row r="627" spans="2:2" ht="13.2" customHeight="1">
      <c r="B627" s="73"/>
    </row>
    <row r="628" spans="2:2" ht="13.2" customHeight="1">
      <c r="B628" s="73"/>
    </row>
    <row r="629" spans="2:2" ht="13.2" customHeight="1">
      <c r="B629" s="73"/>
    </row>
    <row r="630" spans="2:2" ht="13.2" customHeight="1">
      <c r="B630" s="73"/>
    </row>
    <row r="631" spans="2:2" ht="13.2" customHeight="1">
      <c r="B631" s="73"/>
    </row>
    <row r="632" spans="2:2" ht="13.2" customHeight="1">
      <c r="B632" s="73"/>
    </row>
    <row r="633" spans="2:2" ht="13.2" customHeight="1">
      <c r="B633" s="73"/>
    </row>
    <row r="634" spans="2:2" ht="13.2" customHeight="1">
      <c r="B634" s="73"/>
    </row>
    <row r="635" spans="2:2" ht="13.2" customHeight="1">
      <c r="B635" s="73"/>
    </row>
    <row r="636" spans="2:2" ht="13.2" customHeight="1">
      <c r="B636" s="73"/>
    </row>
    <row r="637" spans="2:2" ht="13.2" customHeight="1">
      <c r="B637" s="73"/>
    </row>
    <row r="638" spans="2:2" ht="13.2" customHeight="1">
      <c r="B638" s="73"/>
    </row>
    <row r="639" spans="2:2" ht="13.2" customHeight="1">
      <c r="B639" s="73"/>
    </row>
    <row r="640" spans="2:2" ht="13.2" customHeight="1">
      <c r="B640" s="73"/>
    </row>
    <row r="641" spans="2:2" ht="13.2" customHeight="1">
      <c r="B641" s="73"/>
    </row>
    <row r="642" spans="2:2" ht="13.2" customHeight="1">
      <c r="B642" s="73"/>
    </row>
    <row r="643" spans="2:2" ht="13.2" customHeight="1">
      <c r="B643" s="73"/>
    </row>
    <row r="644" spans="2:2" ht="13.2" customHeight="1">
      <c r="B644" s="73"/>
    </row>
    <row r="645" spans="2:2" ht="13.2" customHeight="1">
      <c r="B645" s="73"/>
    </row>
    <row r="646" spans="2:2" ht="13.2" customHeight="1">
      <c r="B646" s="73"/>
    </row>
    <row r="647" spans="2:2" ht="13.2" customHeight="1">
      <c r="B647" s="73"/>
    </row>
    <row r="648" spans="2:2" ht="13.2" customHeight="1">
      <c r="B648" s="73"/>
    </row>
    <row r="649" spans="2:2" ht="13.2" customHeight="1">
      <c r="B649" s="73"/>
    </row>
    <row r="650" spans="2:2" ht="13.2" customHeight="1">
      <c r="B650" s="73"/>
    </row>
    <row r="651" spans="2:2" ht="13.2" customHeight="1">
      <c r="B651" s="73"/>
    </row>
    <row r="652" spans="2:2" ht="13.2" customHeight="1">
      <c r="B652" s="73"/>
    </row>
    <row r="653" spans="2:2" ht="13.2" customHeight="1">
      <c r="B653" s="73"/>
    </row>
    <row r="654" spans="2:2" ht="13.2" customHeight="1">
      <c r="B654" s="73"/>
    </row>
    <row r="655" spans="2:2" ht="13.2" customHeight="1">
      <c r="B655" s="73"/>
    </row>
    <row r="656" spans="2:2" ht="13.2" customHeight="1">
      <c r="B656" s="73"/>
    </row>
    <row r="657" spans="2:2" ht="13.2" customHeight="1">
      <c r="B657" s="73"/>
    </row>
    <row r="658" spans="2:2" ht="13.2" customHeight="1">
      <c r="B658" s="73"/>
    </row>
    <row r="659" spans="2:2" ht="13.2" customHeight="1">
      <c r="B659" s="73"/>
    </row>
    <row r="660" spans="2:2" ht="13.2" customHeight="1">
      <c r="B660" s="73"/>
    </row>
    <row r="661" spans="2:2" ht="13.2" customHeight="1">
      <c r="B661" s="73"/>
    </row>
    <row r="662" spans="2:2" ht="13.2" customHeight="1">
      <c r="B662" s="73"/>
    </row>
    <row r="663" spans="2:2" ht="13.2" customHeight="1">
      <c r="B663" s="73"/>
    </row>
    <row r="664" spans="2:2" ht="13.2" customHeight="1">
      <c r="B664" s="73"/>
    </row>
    <row r="665" spans="2:2" ht="13.2" customHeight="1">
      <c r="B665" s="73"/>
    </row>
    <row r="666" spans="2:2" ht="13.2" customHeight="1">
      <c r="B666" s="73"/>
    </row>
    <row r="667" spans="2:2" ht="13.2" customHeight="1">
      <c r="B667" s="73"/>
    </row>
    <row r="668" spans="2:2" ht="13.2" customHeight="1">
      <c r="B668" s="73"/>
    </row>
    <row r="669" spans="2:2" ht="13.2" customHeight="1">
      <c r="B669" s="73"/>
    </row>
    <row r="670" spans="2:2" ht="13.2" customHeight="1">
      <c r="B670" s="73"/>
    </row>
    <row r="671" spans="2:2" ht="13.2" customHeight="1">
      <c r="B671" s="73"/>
    </row>
    <row r="672" spans="2:2" ht="13.2" customHeight="1">
      <c r="B672" s="73"/>
    </row>
    <row r="673" spans="2:2" ht="13.2" customHeight="1">
      <c r="B673" s="73"/>
    </row>
    <row r="674" spans="2:2" ht="13.2" customHeight="1">
      <c r="B674" s="73"/>
    </row>
    <row r="675" spans="2:2" ht="13.2" customHeight="1">
      <c r="B675" s="73"/>
    </row>
    <row r="676" spans="2:2" ht="13.2" customHeight="1">
      <c r="B676" s="73"/>
    </row>
    <row r="677" spans="2:2" ht="13.2" customHeight="1">
      <c r="B677" s="73"/>
    </row>
    <row r="678" spans="2:2" ht="13.2" customHeight="1">
      <c r="B678" s="73"/>
    </row>
    <row r="679" spans="2:2" ht="13.2" customHeight="1">
      <c r="B679" s="73"/>
    </row>
    <row r="680" spans="2:2" ht="13.2" customHeight="1">
      <c r="B680" s="73"/>
    </row>
    <row r="681" spans="2:2" ht="13.2" customHeight="1">
      <c r="B681" s="73"/>
    </row>
    <row r="682" spans="2:2" ht="13.2" customHeight="1">
      <c r="B682" s="73"/>
    </row>
    <row r="683" spans="2:2" ht="13.2" customHeight="1">
      <c r="B683" s="73"/>
    </row>
    <row r="684" spans="2:2" ht="13.2" customHeight="1">
      <c r="B684" s="73"/>
    </row>
    <row r="685" spans="2:2" ht="13.2" customHeight="1">
      <c r="B685" s="73"/>
    </row>
    <row r="686" spans="2:2" ht="13.2" customHeight="1">
      <c r="B686" s="73"/>
    </row>
    <row r="687" spans="2:2" ht="13.2" customHeight="1">
      <c r="B687" s="73"/>
    </row>
    <row r="688" spans="2:2" ht="13.2" customHeight="1">
      <c r="B688" s="73"/>
    </row>
    <row r="689" spans="2:2" ht="13.2" customHeight="1">
      <c r="B689" s="73"/>
    </row>
    <row r="690" spans="2:2" ht="13.2" customHeight="1">
      <c r="B690" s="73"/>
    </row>
    <row r="691" spans="2:2" ht="13.2" customHeight="1">
      <c r="B691" s="73"/>
    </row>
    <row r="692" spans="2:2" ht="13.2" customHeight="1">
      <c r="B692" s="73"/>
    </row>
    <row r="693" spans="2:2" ht="13.2" customHeight="1">
      <c r="B693" s="73"/>
    </row>
    <row r="694" spans="2:2" ht="13.2" customHeight="1">
      <c r="B694" s="73"/>
    </row>
    <row r="695" spans="2:2" ht="13.2" customHeight="1">
      <c r="B695" s="73"/>
    </row>
    <row r="696" spans="2:2" ht="13.2" customHeight="1">
      <c r="B696" s="73"/>
    </row>
    <row r="697" spans="2:2" ht="13.2" customHeight="1">
      <c r="B697" s="73"/>
    </row>
    <row r="698" spans="2:2" ht="13.2" customHeight="1">
      <c r="B698" s="73"/>
    </row>
    <row r="699" spans="2:2" ht="13.2" customHeight="1">
      <c r="B699" s="73"/>
    </row>
    <row r="700" spans="2:2" ht="13.2" customHeight="1">
      <c r="B700" s="73"/>
    </row>
    <row r="701" spans="2:2" ht="13.2" customHeight="1">
      <c r="B701" s="73"/>
    </row>
    <row r="702" spans="2:2" ht="13.2" customHeight="1">
      <c r="B702" s="73"/>
    </row>
    <row r="703" spans="2:2" ht="13.2" customHeight="1">
      <c r="B703" s="73"/>
    </row>
    <row r="704" spans="2:2" ht="13.2" customHeight="1">
      <c r="B704" s="73"/>
    </row>
    <row r="705" spans="2:2" ht="13.2" customHeight="1">
      <c r="B705" s="73"/>
    </row>
    <row r="706" spans="2:2" ht="13.2" customHeight="1">
      <c r="B706" s="73"/>
    </row>
    <row r="707" spans="2:2" ht="13.2" customHeight="1">
      <c r="B707" s="73"/>
    </row>
    <row r="708" spans="2:2" ht="13.2" customHeight="1">
      <c r="B708" s="73"/>
    </row>
    <row r="709" spans="2:2" ht="13.2" customHeight="1">
      <c r="B709" s="73"/>
    </row>
    <row r="710" spans="2:2" ht="13.2" customHeight="1">
      <c r="B710" s="73"/>
    </row>
    <row r="711" spans="2:2" ht="13.2" customHeight="1">
      <c r="B711" s="73"/>
    </row>
    <row r="712" spans="2:2" ht="13.2" customHeight="1">
      <c r="B712" s="73"/>
    </row>
    <row r="713" spans="2:2" ht="13.2" customHeight="1">
      <c r="B713" s="73"/>
    </row>
    <row r="714" spans="2:2" ht="13.2" customHeight="1">
      <c r="B714" s="73"/>
    </row>
    <row r="715" spans="2:2" ht="13.2" customHeight="1">
      <c r="B715" s="73"/>
    </row>
    <row r="716" spans="2:2" ht="13.2" customHeight="1">
      <c r="B716" s="73"/>
    </row>
    <row r="717" spans="2:2" ht="13.2" customHeight="1">
      <c r="B717" s="73"/>
    </row>
    <row r="718" spans="2:2" ht="13.2" customHeight="1">
      <c r="B718" s="73"/>
    </row>
    <row r="719" spans="2:2" ht="13.2" customHeight="1">
      <c r="B719" s="73"/>
    </row>
    <row r="720" spans="2:2" ht="13.2" customHeight="1">
      <c r="B720" s="73"/>
    </row>
    <row r="721" spans="2:2" ht="13.2" customHeight="1">
      <c r="B721" s="73"/>
    </row>
    <row r="722" spans="2:2" ht="13.2" customHeight="1">
      <c r="B722" s="73"/>
    </row>
    <row r="723" spans="2:2" ht="13.2" customHeight="1">
      <c r="B723" s="73"/>
    </row>
    <row r="724" spans="2:2" ht="13.2" customHeight="1">
      <c r="B724" s="73"/>
    </row>
    <row r="725" spans="2:2" ht="13.2" customHeight="1">
      <c r="B725" s="73"/>
    </row>
    <row r="726" spans="2:2" ht="13.2" customHeight="1">
      <c r="B726" s="73"/>
    </row>
    <row r="727" spans="2:2" ht="13.2" customHeight="1">
      <c r="B727" s="73"/>
    </row>
    <row r="728" spans="2:2" ht="13.2" customHeight="1">
      <c r="B728" s="73"/>
    </row>
    <row r="729" spans="2:2" ht="13.2" customHeight="1">
      <c r="B729" s="73"/>
    </row>
    <row r="730" spans="2:2" ht="13.2" customHeight="1">
      <c r="B730" s="73"/>
    </row>
    <row r="731" spans="2:2" ht="13.2" customHeight="1">
      <c r="B731" s="73"/>
    </row>
    <row r="732" spans="2:2" ht="13.2" customHeight="1">
      <c r="B732" s="73"/>
    </row>
    <row r="733" spans="2:2" ht="13.2" customHeight="1">
      <c r="B733" s="73"/>
    </row>
    <row r="734" spans="2:2" ht="13.2" customHeight="1">
      <c r="B734" s="73"/>
    </row>
    <row r="735" spans="2:2" ht="13.2" customHeight="1">
      <c r="B735" s="73"/>
    </row>
    <row r="736" spans="2:2" ht="13.2" customHeight="1">
      <c r="B736" s="73"/>
    </row>
    <row r="737" spans="2:2" ht="13.2" customHeight="1">
      <c r="B737" s="73"/>
    </row>
    <row r="738" spans="2:2" ht="13.2" customHeight="1">
      <c r="B738" s="73"/>
    </row>
    <row r="739" spans="2:2" ht="13.2" customHeight="1">
      <c r="B739" s="73"/>
    </row>
    <row r="740" spans="2:2" ht="13.2" customHeight="1">
      <c r="B740" s="73"/>
    </row>
    <row r="741" spans="2:2" ht="13.2" customHeight="1">
      <c r="B741" s="73"/>
    </row>
    <row r="742" spans="2:2" ht="13.2" customHeight="1">
      <c r="B742" s="73"/>
    </row>
    <row r="743" spans="2:2" ht="13.2" customHeight="1">
      <c r="B743" s="73"/>
    </row>
    <row r="744" spans="2:2" ht="13.2" customHeight="1">
      <c r="B744" s="73"/>
    </row>
    <row r="745" spans="2:2" ht="13.2" customHeight="1">
      <c r="B745" s="73"/>
    </row>
    <row r="746" spans="2:2" ht="13.2" customHeight="1">
      <c r="B746" s="73"/>
    </row>
    <row r="747" spans="2:2" ht="13.2" customHeight="1">
      <c r="B747" s="73"/>
    </row>
    <row r="748" spans="2:2" ht="13.2" customHeight="1">
      <c r="B748" s="73"/>
    </row>
    <row r="749" spans="2:2" ht="13.2" customHeight="1">
      <c r="B749" s="73"/>
    </row>
    <row r="750" spans="2:2" ht="13.2" customHeight="1">
      <c r="B750" s="73"/>
    </row>
    <row r="751" spans="2:2" ht="13.2" customHeight="1">
      <c r="B751" s="73"/>
    </row>
    <row r="752" spans="2:2" ht="13.2" customHeight="1">
      <c r="B752" s="73"/>
    </row>
    <row r="753" spans="2:2" ht="13.2" customHeight="1">
      <c r="B753" s="73"/>
    </row>
    <row r="754" spans="2:2" ht="13.2" customHeight="1">
      <c r="B754" s="73"/>
    </row>
    <row r="755" spans="2:2" ht="13.2" customHeight="1">
      <c r="B755" s="73"/>
    </row>
    <row r="756" spans="2:2" ht="13.2" customHeight="1">
      <c r="B756" s="73"/>
    </row>
    <row r="757" spans="2:2" ht="13.2" customHeight="1">
      <c r="B757" s="73"/>
    </row>
    <row r="758" spans="2:2" ht="13.2" customHeight="1">
      <c r="B758" s="73"/>
    </row>
    <row r="759" spans="2:2" ht="13.2" customHeight="1">
      <c r="B759" s="73"/>
    </row>
    <row r="760" spans="2:2" ht="13.2" customHeight="1">
      <c r="B760" s="73"/>
    </row>
    <row r="761" spans="2:2" ht="13.2" customHeight="1">
      <c r="B761" s="73"/>
    </row>
    <row r="762" spans="2:2" ht="13.2" customHeight="1">
      <c r="B762" s="73"/>
    </row>
    <row r="763" spans="2:2" ht="13.2" customHeight="1">
      <c r="B763" s="73"/>
    </row>
    <row r="764" spans="2:2" ht="13.2" customHeight="1">
      <c r="B764" s="73"/>
    </row>
    <row r="765" spans="2:2" ht="13.2" customHeight="1">
      <c r="B765" s="73"/>
    </row>
    <row r="766" spans="2:2" ht="13.2" customHeight="1">
      <c r="B766" s="73"/>
    </row>
    <row r="767" spans="2:2" ht="13.2" customHeight="1">
      <c r="B767" s="73"/>
    </row>
    <row r="768" spans="2:2" ht="13.2" customHeight="1">
      <c r="B768" s="73"/>
    </row>
    <row r="769" spans="2:2" ht="13.2" customHeight="1">
      <c r="B769" s="73"/>
    </row>
    <row r="770" spans="2:2" ht="13.2" customHeight="1">
      <c r="B770" s="73"/>
    </row>
    <row r="771" spans="2:2" ht="13.2" customHeight="1">
      <c r="B771" s="73"/>
    </row>
    <row r="772" spans="2:2" ht="13.2" customHeight="1">
      <c r="B772" s="73"/>
    </row>
    <row r="773" spans="2:2" ht="13.2" customHeight="1">
      <c r="B773" s="73"/>
    </row>
    <row r="774" spans="2:2" ht="13.2" customHeight="1">
      <c r="B774" s="73"/>
    </row>
    <row r="775" spans="2:2" ht="13.2" customHeight="1">
      <c r="B775" s="73"/>
    </row>
    <row r="776" spans="2:2" ht="13.2" customHeight="1">
      <c r="B776" s="73"/>
    </row>
    <row r="777" spans="2:2" ht="13.2" customHeight="1">
      <c r="B777" s="73"/>
    </row>
    <row r="778" spans="2:2" ht="13.2" customHeight="1">
      <c r="B778" s="73"/>
    </row>
    <row r="779" spans="2:2" ht="13.2" customHeight="1">
      <c r="B779" s="73"/>
    </row>
    <row r="780" spans="2:2" ht="13.2" customHeight="1">
      <c r="B780" s="73"/>
    </row>
    <row r="781" spans="2:2" ht="13.2" customHeight="1">
      <c r="B781" s="73"/>
    </row>
    <row r="782" spans="2:2" ht="13.2" customHeight="1">
      <c r="B782" s="73"/>
    </row>
    <row r="783" spans="2:2" ht="13.2" customHeight="1">
      <c r="B783" s="73"/>
    </row>
    <row r="784" spans="2:2" ht="13.2" customHeight="1">
      <c r="B784" s="73"/>
    </row>
    <row r="785" spans="2:2" ht="13.2" customHeight="1">
      <c r="B785" s="73"/>
    </row>
    <row r="786" spans="2:2" ht="13.2" customHeight="1">
      <c r="B786" s="73"/>
    </row>
    <row r="787" spans="2:2" ht="13.2" customHeight="1">
      <c r="B787" s="73"/>
    </row>
    <row r="788" spans="2:2" ht="13.2" customHeight="1">
      <c r="B788" s="73"/>
    </row>
    <row r="789" spans="2:2" ht="13.2" customHeight="1">
      <c r="B789" s="73"/>
    </row>
    <row r="790" spans="2:2" ht="13.2" customHeight="1">
      <c r="B790" s="73"/>
    </row>
    <row r="791" spans="2:2" ht="13.2" customHeight="1">
      <c r="B791" s="73"/>
    </row>
    <row r="792" spans="2:2" ht="13.2" customHeight="1">
      <c r="B792" s="73"/>
    </row>
    <row r="793" spans="2:2" ht="13.2" customHeight="1">
      <c r="B793" s="73"/>
    </row>
    <row r="794" spans="2:2" ht="13.2" customHeight="1">
      <c r="B794" s="73"/>
    </row>
    <row r="795" spans="2:2" ht="13.2" customHeight="1">
      <c r="B795" s="73"/>
    </row>
    <row r="796" spans="2:2" ht="13.2" customHeight="1">
      <c r="B796" s="73"/>
    </row>
    <row r="797" spans="2:2" ht="13.2" customHeight="1">
      <c r="B797" s="73"/>
    </row>
    <row r="798" spans="2:2" ht="13.2" customHeight="1">
      <c r="B798" s="73"/>
    </row>
    <row r="799" spans="2:2" ht="13.2" customHeight="1">
      <c r="B799" s="73"/>
    </row>
    <row r="800" spans="2:2" ht="13.2" customHeight="1">
      <c r="B800" s="73"/>
    </row>
    <row r="801" spans="2:2" ht="13.2" customHeight="1">
      <c r="B801" s="73"/>
    </row>
    <row r="802" spans="2:2" ht="13.2" customHeight="1">
      <c r="B802" s="73"/>
    </row>
    <row r="803" spans="2:2" ht="13.2" customHeight="1">
      <c r="B803" s="73"/>
    </row>
    <row r="804" spans="2:2" ht="13.2" customHeight="1">
      <c r="B804" s="73"/>
    </row>
    <row r="805" spans="2:2" ht="13.2" customHeight="1">
      <c r="B805" s="73"/>
    </row>
    <row r="806" spans="2:2" ht="13.2" customHeight="1">
      <c r="B806" s="73"/>
    </row>
    <row r="807" spans="2:2" ht="13.2" customHeight="1">
      <c r="B807" s="73"/>
    </row>
    <row r="808" spans="2:2" ht="13.2" customHeight="1">
      <c r="B808" s="73"/>
    </row>
    <row r="809" spans="2:2" ht="13.2" customHeight="1">
      <c r="B809" s="73"/>
    </row>
    <row r="810" spans="2:2" ht="13.2" customHeight="1">
      <c r="B810" s="73"/>
    </row>
    <row r="811" spans="2:2" ht="13.2" customHeight="1">
      <c r="B811" s="73"/>
    </row>
    <row r="812" spans="2:2" ht="13.2" customHeight="1">
      <c r="B812" s="73"/>
    </row>
    <row r="813" spans="2:2" ht="13.2" customHeight="1">
      <c r="B813" s="73"/>
    </row>
    <row r="814" spans="2:2" ht="13.2" customHeight="1">
      <c r="B814" s="73"/>
    </row>
    <row r="815" spans="2:2" ht="13.2" customHeight="1">
      <c r="B815" s="73"/>
    </row>
    <row r="816" spans="2:2" ht="13.2" customHeight="1">
      <c r="B816" s="73"/>
    </row>
    <row r="817" spans="2:2" ht="13.2" customHeight="1">
      <c r="B817" s="73"/>
    </row>
    <row r="818" spans="2:2" ht="13.2" customHeight="1">
      <c r="B818" s="73"/>
    </row>
    <row r="819" spans="2:2" ht="13.2" customHeight="1">
      <c r="B819" s="73"/>
    </row>
    <row r="820" spans="2:2" ht="13.2" customHeight="1">
      <c r="B820" s="73"/>
    </row>
    <row r="821" spans="2:2" ht="13.2" customHeight="1">
      <c r="B821" s="73"/>
    </row>
    <row r="822" spans="2:2" ht="13.2" customHeight="1">
      <c r="B822" s="73"/>
    </row>
    <row r="823" spans="2:2" ht="13.2" customHeight="1">
      <c r="B823" s="73"/>
    </row>
    <row r="824" spans="2:2" ht="13.2" customHeight="1">
      <c r="B824" s="73"/>
    </row>
    <row r="825" spans="2:2" ht="13.2" customHeight="1">
      <c r="B825" s="73"/>
    </row>
    <row r="826" spans="2:2" ht="13.2" customHeight="1">
      <c r="B826" s="73"/>
    </row>
    <row r="827" spans="2:2" ht="13.2" customHeight="1">
      <c r="B827" s="73"/>
    </row>
    <row r="828" spans="2:2" ht="13.2" customHeight="1">
      <c r="B828" s="73"/>
    </row>
    <row r="829" spans="2:2" ht="13.2" customHeight="1">
      <c r="B829" s="73"/>
    </row>
    <row r="830" spans="2:2" ht="13.2" customHeight="1">
      <c r="B830" s="73"/>
    </row>
    <row r="831" spans="2:2" ht="13.2" customHeight="1">
      <c r="B831" s="73"/>
    </row>
    <row r="832" spans="2:2" ht="13.2" customHeight="1">
      <c r="B832" s="73"/>
    </row>
    <row r="833" spans="2:2" ht="13.2" customHeight="1">
      <c r="B833" s="73"/>
    </row>
    <row r="834" spans="2:2" ht="13.2" customHeight="1">
      <c r="B834" s="73"/>
    </row>
    <row r="835" spans="2:2" ht="13.2" customHeight="1">
      <c r="B835" s="73"/>
    </row>
    <row r="836" spans="2:2" ht="13.2" customHeight="1">
      <c r="B836" s="73"/>
    </row>
    <row r="837" spans="2:2" ht="13.2" customHeight="1">
      <c r="B837" s="73"/>
    </row>
    <row r="838" spans="2:2" ht="13.2" customHeight="1">
      <c r="B838" s="73"/>
    </row>
    <row r="839" spans="2:2" ht="13.2" customHeight="1">
      <c r="B839" s="73"/>
    </row>
    <row r="840" spans="2:2" ht="13.2" customHeight="1">
      <c r="B840" s="73"/>
    </row>
    <row r="841" spans="2:2" ht="13.2" customHeight="1">
      <c r="B841" s="73"/>
    </row>
    <row r="842" spans="2:2" ht="13.2" customHeight="1">
      <c r="B842" s="73"/>
    </row>
    <row r="843" spans="2:2" ht="13.2" customHeight="1">
      <c r="B843" s="73"/>
    </row>
    <row r="844" spans="2:2" ht="13.2" customHeight="1">
      <c r="B844" s="73"/>
    </row>
    <row r="845" spans="2:2" ht="13.2" customHeight="1">
      <c r="B845" s="73"/>
    </row>
    <row r="846" spans="2:2" ht="13.2" customHeight="1">
      <c r="B846" s="73"/>
    </row>
    <row r="847" spans="2:2" ht="13.2" customHeight="1">
      <c r="B847" s="73"/>
    </row>
    <row r="848" spans="2:2" ht="13.2" customHeight="1">
      <c r="B848" s="73"/>
    </row>
    <row r="849" spans="2:2" ht="13.2" customHeight="1">
      <c r="B849" s="73"/>
    </row>
    <row r="850" spans="2:2" ht="13.2" customHeight="1">
      <c r="B850" s="73"/>
    </row>
    <row r="851" spans="2:2" ht="13.2" customHeight="1">
      <c r="B851" s="73"/>
    </row>
    <row r="852" spans="2:2" ht="13.2" customHeight="1">
      <c r="B852" s="73"/>
    </row>
    <row r="853" spans="2:2" ht="13.2" customHeight="1">
      <c r="B853" s="73"/>
    </row>
    <row r="854" spans="2:2" ht="13.2" customHeight="1">
      <c r="B854" s="73"/>
    </row>
    <row r="855" spans="2:2" ht="13.2" customHeight="1">
      <c r="B855" s="73"/>
    </row>
    <row r="856" spans="2:2" ht="13.2" customHeight="1">
      <c r="B856" s="73"/>
    </row>
    <row r="857" spans="2:2" ht="13.2" customHeight="1">
      <c r="B857" s="73"/>
    </row>
    <row r="858" spans="2:2" ht="13.2" customHeight="1">
      <c r="B858" s="73"/>
    </row>
    <row r="859" spans="2:2" ht="13.2" customHeight="1">
      <c r="B859" s="73"/>
    </row>
    <row r="860" spans="2:2" ht="13.2" customHeight="1">
      <c r="B860" s="73"/>
    </row>
    <row r="861" spans="2:2" ht="13.2" customHeight="1">
      <c r="B861" s="73"/>
    </row>
    <row r="862" spans="2:2" ht="13.2" customHeight="1">
      <c r="B862" s="73"/>
    </row>
    <row r="863" spans="2:2" ht="13.2" customHeight="1">
      <c r="B863" s="73"/>
    </row>
    <row r="864" spans="2:2" ht="13.2" customHeight="1">
      <c r="B864" s="73"/>
    </row>
    <row r="865" spans="2:2" ht="13.2" customHeight="1">
      <c r="B865" s="73"/>
    </row>
    <row r="866" spans="2:2" ht="13.2" customHeight="1">
      <c r="B866" s="73"/>
    </row>
    <row r="867" spans="2:2" ht="13.2" customHeight="1">
      <c r="B867" s="73"/>
    </row>
    <row r="868" spans="2:2" ht="13.2" customHeight="1">
      <c r="B868" s="73"/>
    </row>
    <row r="869" spans="2:2" ht="13.2" customHeight="1">
      <c r="B869" s="73"/>
    </row>
    <row r="870" spans="2:2" ht="13.2" customHeight="1">
      <c r="B870" s="73"/>
    </row>
    <row r="871" spans="2:2" ht="13.2" customHeight="1">
      <c r="B871" s="73"/>
    </row>
    <row r="872" spans="2:2" ht="13.2" customHeight="1">
      <c r="B872" s="73"/>
    </row>
    <row r="873" spans="2:2" ht="13.2" customHeight="1">
      <c r="B873" s="73"/>
    </row>
    <row r="874" spans="2:2" ht="13.2" customHeight="1">
      <c r="B874" s="73"/>
    </row>
    <row r="875" spans="2:2" ht="13.2" customHeight="1">
      <c r="B875" s="73"/>
    </row>
    <row r="876" spans="2:2" ht="13.2" customHeight="1">
      <c r="B876" s="73"/>
    </row>
    <row r="877" spans="2:2" ht="13.2" customHeight="1">
      <c r="B877" s="73"/>
    </row>
    <row r="878" spans="2:2" ht="13.2" customHeight="1">
      <c r="B878" s="73"/>
    </row>
    <row r="879" spans="2:2" ht="13.2" customHeight="1">
      <c r="B879" s="73"/>
    </row>
    <row r="880" spans="2:2" ht="13.2" customHeight="1">
      <c r="B880" s="73"/>
    </row>
    <row r="881" spans="2:2" ht="13.2" customHeight="1">
      <c r="B881" s="73"/>
    </row>
    <row r="882" spans="2:2" ht="13.2" customHeight="1">
      <c r="B882" s="73"/>
    </row>
    <row r="883" spans="2:2" ht="13.2" customHeight="1">
      <c r="B883" s="73"/>
    </row>
    <row r="884" spans="2:2" ht="13.2" customHeight="1">
      <c r="B884" s="73"/>
    </row>
    <row r="885" spans="2:2" ht="13.2" customHeight="1">
      <c r="B885" s="73"/>
    </row>
    <row r="886" spans="2:2" ht="13.2" customHeight="1">
      <c r="B886" s="73"/>
    </row>
    <row r="887" spans="2:2" ht="13.2" customHeight="1">
      <c r="B887" s="73"/>
    </row>
    <row r="888" spans="2:2" ht="13.2" customHeight="1">
      <c r="B888" s="73"/>
    </row>
    <row r="889" spans="2:2" ht="13.2" customHeight="1">
      <c r="B889" s="73"/>
    </row>
    <row r="890" spans="2:2" ht="13.2" customHeight="1">
      <c r="B890" s="73"/>
    </row>
    <row r="891" spans="2:2" ht="13.2" customHeight="1">
      <c r="B891" s="73"/>
    </row>
    <row r="892" spans="2:2" ht="13.2" customHeight="1">
      <c r="B892" s="73"/>
    </row>
    <row r="893" spans="2:2" ht="13.2" customHeight="1">
      <c r="B893" s="73"/>
    </row>
    <row r="894" spans="2:2" ht="13.2" customHeight="1">
      <c r="B894" s="73"/>
    </row>
    <row r="895" spans="2:2" ht="13.2" customHeight="1">
      <c r="B895" s="73"/>
    </row>
    <row r="896" spans="2:2" ht="13.2" customHeight="1">
      <c r="B896" s="73"/>
    </row>
    <row r="897" spans="2:2" ht="13.2" customHeight="1">
      <c r="B897" s="73"/>
    </row>
    <row r="898" spans="2:2" ht="13.2" customHeight="1">
      <c r="B898" s="73"/>
    </row>
    <row r="899" spans="2:2" ht="13.2" customHeight="1">
      <c r="B899" s="73"/>
    </row>
    <row r="900" spans="2:2" ht="13.2" customHeight="1">
      <c r="B900" s="73"/>
    </row>
    <row r="901" spans="2:2" ht="13.2" customHeight="1">
      <c r="B901" s="73"/>
    </row>
    <row r="902" spans="2:2" ht="13.2" customHeight="1">
      <c r="B902" s="73"/>
    </row>
    <row r="903" spans="2:2" ht="13.2" customHeight="1">
      <c r="B903" s="73"/>
    </row>
    <row r="904" spans="2:2" ht="13.2" customHeight="1">
      <c r="B904" s="73"/>
    </row>
    <row r="905" spans="2:2" ht="13.2" customHeight="1">
      <c r="B905" s="73"/>
    </row>
    <row r="906" spans="2:2" ht="13.2" customHeight="1">
      <c r="B906" s="73"/>
    </row>
    <row r="907" spans="2:2" ht="13.2" customHeight="1">
      <c r="B907" s="73"/>
    </row>
    <row r="908" spans="2:2" ht="13.2" customHeight="1">
      <c r="B908" s="73"/>
    </row>
    <row r="909" spans="2:2" ht="13.2" customHeight="1">
      <c r="B909" s="73"/>
    </row>
    <row r="910" spans="2:2" ht="13.2" customHeight="1">
      <c r="B910" s="73"/>
    </row>
    <row r="911" spans="2:2" ht="13.2" customHeight="1">
      <c r="B911" s="73"/>
    </row>
    <row r="912" spans="2:2" ht="13.2" customHeight="1">
      <c r="B912" s="73"/>
    </row>
    <row r="913" spans="2:2" ht="13.2" customHeight="1">
      <c r="B913" s="73"/>
    </row>
    <row r="914" spans="2:2" ht="13.2" customHeight="1">
      <c r="B914" s="73"/>
    </row>
    <row r="915" spans="2:2" ht="13.2" customHeight="1">
      <c r="B915" s="73"/>
    </row>
    <row r="916" spans="2:2" ht="13.2" customHeight="1">
      <c r="B916" s="73"/>
    </row>
    <row r="917" spans="2:2" ht="13.2" customHeight="1">
      <c r="B917" s="73"/>
    </row>
    <row r="918" spans="2:2" ht="13.2" customHeight="1">
      <c r="B918" s="73"/>
    </row>
    <row r="919" spans="2:2" ht="13.2" customHeight="1">
      <c r="B919" s="73"/>
    </row>
    <row r="920" spans="2:2" ht="13.2" customHeight="1">
      <c r="B920" s="73"/>
    </row>
    <row r="921" spans="2:2" ht="13.2" customHeight="1">
      <c r="B921" s="73"/>
    </row>
    <row r="922" spans="2:2" ht="13.2" customHeight="1">
      <c r="B922" s="73"/>
    </row>
    <row r="923" spans="2:2" ht="13.2" customHeight="1">
      <c r="B923" s="73"/>
    </row>
    <row r="924" spans="2:2" ht="13.2" customHeight="1">
      <c r="B924" s="73"/>
    </row>
    <row r="925" spans="2:2" ht="13.2" customHeight="1">
      <c r="B925" s="73"/>
    </row>
    <row r="926" spans="2:2" ht="13.2" customHeight="1">
      <c r="B926" s="73"/>
    </row>
    <row r="927" spans="2:2" ht="13.2" customHeight="1">
      <c r="B927" s="73"/>
    </row>
    <row r="928" spans="2:2" ht="13.2" customHeight="1">
      <c r="B928" s="73"/>
    </row>
    <row r="929" spans="2:2" ht="13.2" customHeight="1">
      <c r="B929" s="73"/>
    </row>
    <row r="930" spans="2:2" ht="13.2" customHeight="1">
      <c r="B930" s="73"/>
    </row>
    <row r="931" spans="2:2" ht="13.2" customHeight="1">
      <c r="B931" s="73"/>
    </row>
    <row r="932" spans="2:2" ht="13.2" customHeight="1">
      <c r="B932" s="73"/>
    </row>
    <row r="933" spans="2:2" ht="13.2" customHeight="1">
      <c r="B933" s="73"/>
    </row>
    <row r="934" spans="2:2" ht="13.2" customHeight="1">
      <c r="B934" s="73"/>
    </row>
    <row r="935" spans="2:2" ht="13.2" customHeight="1">
      <c r="B935" s="73"/>
    </row>
    <row r="936" spans="2:2" ht="13.2" customHeight="1">
      <c r="B936" s="73"/>
    </row>
    <row r="937" spans="2:2" ht="13.2" customHeight="1">
      <c r="B937" s="73"/>
    </row>
    <row r="938" spans="2:2" ht="13.2" customHeight="1">
      <c r="B938" s="73"/>
    </row>
    <row r="939" spans="2:2" ht="13.2" customHeight="1">
      <c r="B939" s="73"/>
    </row>
    <row r="940" spans="2:2" ht="13.2" customHeight="1">
      <c r="B940" s="73"/>
    </row>
    <row r="941" spans="2:2" ht="13.2" customHeight="1">
      <c r="B941" s="73"/>
    </row>
    <row r="942" spans="2:2" ht="13.2" customHeight="1">
      <c r="B942" s="73"/>
    </row>
    <row r="943" spans="2:2" ht="13.2" customHeight="1">
      <c r="B943" s="73"/>
    </row>
    <row r="944" spans="2:2" ht="13.2" customHeight="1">
      <c r="B944" s="73"/>
    </row>
    <row r="945" spans="2:2" ht="13.2" customHeight="1">
      <c r="B945" s="73"/>
    </row>
    <row r="946" spans="2:2" ht="13.2" customHeight="1">
      <c r="B946" s="73"/>
    </row>
    <row r="947" spans="2:2" ht="13.2" customHeight="1">
      <c r="B947" s="73"/>
    </row>
    <row r="948" spans="2:2" ht="13.2" customHeight="1">
      <c r="B948" s="73"/>
    </row>
    <row r="949" spans="2:2" ht="13.2" customHeight="1">
      <c r="B949" s="73"/>
    </row>
    <row r="950" spans="2:2" ht="13.2" customHeight="1">
      <c r="B950" s="73"/>
    </row>
    <row r="951" spans="2:2" ht="13.2" customHeight="1">
      <c r="B951" s="73"/>
    </row>
    <row r="952" spans="2:2" ht="13.2" customHeight="1">
      <c r="B952" s="73"/>
    </row>
    <row r="953" spans="2:2" ht="13.2" customHeight="1">
      <c r="B953" s="73"/>
    </row>
    <row r="954" spans="2:2" ht="13.2" customHeight="1">
      <c r="B954" s="73"/>
    </row>
    <row r="955" spans="2:2" ht="13.2" customHeight="1">
      <c r="B955" s="73"/>
    </row>
    <row r="956" spans="2:2" ht="13.2" customHeight="1">
      <c r="B956" s="73"/>
    </row>
    <row r="957" spans="2:2" ht="13.2" customHeight="1">
      <c r="B957" s="73"/>
    </row>
    <row r="958" spans="2:2" ht="13.2" customHeight="1">
      <c r="B958" s="73"/>
    </row>
    <row r="959" spans="2:2" ht="13.2" customHeight="1">
      <c r="B959" s="73"/>
    </row>
    <row r="960" spans="2:2" ht="13.2" customHeight="1">
      <c r="B960" s="73"/>
    </row>
    <row r="961" spans="2:2" ht="13.2" customHeight="1">
      <c r="B961" s="73"/>
    </row>
    <row r="962" spans="2:2" ht="13.2" customHeight="1">
      <c r="B962" s="73"/>
    </row>
    <row r="963" spans="2:2" ht="13.2" customHeight="1">
      <c r="B963" s="73"/>
    </row>
    <row r="964" spans="2:2" ht="13.2" customHeight="1">
      <c r="B964" s="73"/>
    </row>
    <row r="965" spans="2:2" ht="13.2" customHeight="1">
      <c r="B965" s="73"/>
    </row>
    <row r="966" spans="2:2" ht="13.2" customHeight="1">
      <c r="B966" s="73"/>
    </row>
    <row r="967" spans="2:2" ht="13.2" customHeight="1">
      <c r="B967" s="73"/>
    </row>
    <row r="968" spans="2:2" ht="13.2" customHeight="1">
      <c r="B968" s="73"/>
    </row>
    <row r="969" spans="2:2" ht="13.2" customHeight="1">
      <c r="B969" s="73"/>
    </row>
    <row r="970" spans="2:2" ht="13.2" customHeight="1">
      <c r="B970" s="73"/>
    </row>
    <row r="971" spans="2:2" ht="13.2" customHeight="1">
      <c r="B971" s="73"/>
    </row>
    <row r="972" spans="2:2" ht="13.2" customHeight="1">
      <c r="B972" s="73"/>
    </row>
    <row r="973" spans="2:2" ht="13.2" customHeight="1">
      <c r="B973" s="73"/>
    </row>
    <row r="974" spans="2:2" ht="13.2" customHeight="1">
      <c r="B974" s="73"/>
    </row>
    <row r="975" spans="2:2" ht="13.2" customHeight="1">
      <c r="B975" s="73"/>
    </row>
    <row r="976" spans="2:2" ht="13.2" customHeight="1">
      <c r="B976" s="73"/>
    </row>
    <row r="977" spans="2:2" ht="13.2" customHeight="1">
      <c r="B977" s="73"/>
    </row>
    <row r="978" spans="2:2" ht="13.2" customHeight="1">
      <c r="B978" s="73"/>
    </row>
    <row r="979" spans="2:2" ht="13.2" customHeight="1">
      <c r="B979" s="73"/>
    </row>
    <row r="980" spans="2:2" ht="13.2" customHeight="1">
      <c r="B980" s="73"/>
    </row>
    <row r="981" spans="2:2" ht="13.2" customHeight="1">
      <c r="B981" s="73"/>
    </row>
    <row r="982" spans="2:2" ht="13.2" customHeight="1">
      <c r="B982" s="73"/>
    </row>
    <row r="983" spans="2:2" ht="13.2" customHeight="1">
      <c r="B983" s="73"/>
    </row>
    <row r="984" spans="2:2" ht="13.2" customHeight="1">
      <c r="B984" s="73"/>
    </row>
    <row r="985" spans="2:2" ht="13.2" customHeight="1">
      <c r="B985" s="73"/>
    </row>
    <row r="986" spans="2:2" ht="13.2" customHeight="1">
      <c r="B986" s="73"/>
    </row>
    <row r="987" spans="2:2" ht="13.2" customHeight="1">
      <c r="B987" s="73"/>
    </row>
    <row r="988" spans="2:2" ht="13.2" customHeight="1">
      <c r="B988" s="73"/>
    </row>
    <row r="989" spans="2:2" ht="13.2" customHeight="1">
      <c r="B989" s="73"/>
    </row>
    <row r="990" spans="2:2" ht="13.2" customHeight="1">
      <c r="B990" s="73"/>
    </row>
    <row r="991" spans="2:2" ht="13.2" customHeight="1">
      <c r="B991" s="73"/>
    </row>
    <row r="992" spans="2:2" ht="13.2" customHeight="1">
      <c r="B992" s="73"/>
    </row>
    <row r="993" spans="2:2" ht="13.2" customHeight="1">
      <c r="B993" s="73"/>
    </row>
    <row r="994" spans="2:2" ht="13.2" customHeight="1">
      <c r="B994" s="73"/>
    </row>
    <row r="995" spans="2:2" ht="13.2" customHeight="1">
      <c r="B995" s="73"/>
    </row>
    <row r="996" spans="2:2" ht="13.2" customHeight="1">
      <c r="B996" s="73"/>
    </row>
    <row r="997" spans="2:2" ht="13.2" customHeight="1">
      <c r="B997" s="73"/>
    </row>
    <row r="998" spans="2:2" ht="13.2" customHeight="1">
      <c r="B998" s="73"/>
    </row>
    <row r="999" spans="2:2" ht="13.2" customHeight="1">
      <c r="B999" s="73"/>
    </row>
  </sheetData>
  <mergeCells count="3">
    <mergeCell ref="A1:D1"/>
    <mergeCell ref="A2:A3"/>
    <mergeCell ref="B2: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67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12.6640625" defaultRowHeight="15.75" customHeight="1"/>
  <cols>
    <col min="1" max="1" width="5.33203125" style="323" customWidth="1"/>
    <col min="2" max="2" width="20.109375" style="323" customWidth="1"/>
    <col min="10" max="10" width="34" style="323" customWidth="1"/>
    <col min="11" max="11" width="20" style="323" customWidth="1"/>
  </cols>
  <sheetData>
    <row r="1" spans="1:35" ht="14.4" customHeight="1">
      <c r="A1" s="279"/>
      <c r="B1" s="279"/>
      <c r="C1" s="279"/>
      <c r="D1" s="6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ht="14.4" customHeight="1">
      <c r="A2" s="365" t="s">
        <v>0</v>
      </c>
      <c r="B2" s="366" t="s">
        <v>7</v>
      </c>
      <c r="C2" s="364" t="s">
        <v>8</v>
      </c>
      <c r="D2" s="11" t="s">
        <v>9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27"/>
      <c r="AI2" s="7"/>
    </row>
    <row r="3" spans="1:35" ht="14.4" customHeight="1">
      <c r="A3" s="362"/>
      <c r="B3" s="362"/>
      <c r="C3" s="362"/>
      <c r="D3" s="30">
        <v>46204</v>
      </c>
      <c r="E3" s="30">
        <v>46205</v>
      </c>
      <c r="F3" s="30">
        <v>46206</v>
      </c>
      <c r="G3" s="30">
        <v>46207</v>
      </c>
      <c r="H3" s="30">
        <v>46208</v>
      </c>
      <c r="I3" s="30">
        <v>46209</v>
      </c>
      <c r="J3" s="30">
        <v>46210</v>
      </c>
      <c r="K3" s="30">
        <v>46211</v>
      </c>
      <c r="L3" s="30">
        <v>46212</v>
      </c>
      <c r="M3" s="30">
        <v>46213</v>
      </c>
      <c r="N3" s="30">
        <v>46214</v>
      </c>
      <c r="O3" s="30">
        <v>46215</v>
      </c>
      <c r="P3" s="30">
        <v>46216</v>
      </c>
      <c r="Q3" s="30">
        <v>46217</v>
      </c>
      <c r="R3" s="30">
        <v>46218</v>
      </c>
      <c r="S3" s="30">
        <v>46219</v>
      </c>
      <c r="T3" s="30">
        <v>46220</v>
      </c>
      <c r="U3" s="30">
        <v>46221</v>
      </c>
      <c r="V3" s="30">
        <v>46222</v>
      </c>
      <c r="W3" s="30">
        <v>46223</v>
      </c>
      <c r="X3" s="30">
        <v>46224</v>
      </c>
      <c r="Y3" s="30">
        <v>46225</v>
      </c>
      <c r="Z3" s="30">
        <v>46226</v>
      </c>
      <c r="AA3" s="30">
        <v>46227</v>
      </c>
      <c r="AB3" s="30">
        <v>46228</v>
      </c>
      <c r="AC3" s="30">
        <v>46229</v>
      </c>
      <c r="AD3" s="30">
        <v>46230</v>
      </c>
      <c r="AE3" s="30">
        <v>46231</v>
      </c>
      <c r="AF3" s="30">
        <v>46232</v>
      </c>
      <c r="AG3" s="30">
        <v>46233</v>
      </c>
      <c r="AH3" s="30">
        <v>46234</v>
      </c>
      <c r="AI3" s="7"/>
    </row>
    <row r="4" spans="1:35" ht="15.6" customHeight="1">
      <c r="A4" s="281">
        <v>1</v>
      </c>
      <c r="B4" s="258" t="s">
        <v>313</v>
      </c>
      <c r="C4" s="258">
        <v>9793</v>
      </c>
      <c r="D4" s="192">
        <v>9229260</v>
      </c>
      <c r="E4" s="193">
        <v>5182161</v>
      </c>
      <c r="F4" s="192">
        <v>8289036</v>
      </c>
      <c r="G4" s="193">
        <v>8289036</v>
      </c>
      <c r="H4" s="194">
        <v>0</v>
      </c>
      <c r="I4" s="195">
        <v>8289036</v>
      </c>
      <c r="J4" s="193">
        <v>0</v>
      </c>
      <c r="K4" s="193">
        <v>7805956</v>
      </c>
      <c r="L4" s="192">
        <v>3521304</v>
      </c>
      <c r="M4" s="193">
        <v>6123162</v>
      </c>
      <c r="N4" s="192">
        <v>0</v>
      </c>
      <c r="O4" s="192">
        <v>9383041</v>
      </c>
      <c r="P4" s="193">
        <v>0</v>
      </c>
      <c r="Q4" s="193">
        <v>9690633</v>
      </c>
      <c r="R4" s="192">
        <v>9690633</v>
      </c>
      <c r="S4" s="193">
        <v>0</v>
      </c>
      <c r="T4" s="196">
        <v>0</v>
      </c>
      <c r="U4" s="192">
        <v>10034153</v>
      </c>
      <c r="V4" s="193">
        <v>0</v>
      </c>
      <c r="W4" s="193">
        <v>9213361</v>
      </c>
      <c r="X4" s="197">
        <v>0</v>
      </c>
      <c r="Y4" s="197">
        <v>0</v>
      </c>
      <c r="Z4" s="193">
        <v>8984129</v>
      </c>
      <c r="AA4" s="198">
        <v>0</v>
      </c>
      <c r="AB4" s="199"/>
      <c r="AC4" s="199">
        <v>12456320</v>
      </c>
      <c r="AD4" s="198">
        <v>0</v>
      </c>
      <c r="AE4" s="201">
        <v>8522833</v>
      </c>
      <c r="AF4" s="198"/>
      <c r="AG4" s="199"/>
      <c r="AH4" s="198"/>
      <c r="AI4" s="42"/>
    </row>
    <row r="5" spans="1:35" ht="14.4" customHeight="1">
      <c r="A5" s="281">
        <v>2</v>
      </c>
      <c r="B5" s="259"/>
      <c r="C5" s="259"/>
      <c r="D5" s="193">
        <v>5032621</v>
      </c>
      <c r="E5" s="193">
        <v>2720540</v>
      </c>
      <c r="F5" s="193">
        <v>7120282</v>
      </c>
      <c r="G5" s="193">
        <v>6257497</v>
      </c>
      <c r="H5" s="193">
        <v>1327332</v>
      </c>
      <c r="I5" s="193"/>
      <c r="J5" s="193">
        <v>7120282</v>
      </c>
      <c r="K5" s="193">
        <v>6838226</v>
      </c>
      <c r="L5" s="193">
        <v>0</v>
      </c>
      <c r="M5" s="193">
        <v>7363186</v>
      </c>
      <c r="N5" s="193">
        <v>0</v>
      </c>
      <c r="O5" s="259">
        <v>8159955</v>
      </c>
      <c r="P5" s="193">
        <v>0</v>
      </c>
      <c r="Q5" s="193">
        <v>0</v>
      </c>
      <c r="R5" s="193">
        <v>9332600</v>
      </c>
      <c r="S5" s="193">
        <v>0</v>
      </c>
      <c r="T5" s="193">
        <v>9314531</v>
      </c>
      <c r="U5" s="193">
        <v>0</v>
      </c>
      <c r="V5" s="193">
        <v>7995856</v>
      </c>
      <c r="W5" s="193">
        <v>0</v>
      </c>
      <c r="X5" s="193">
        <v>7995856</v>
      </c>
      <c r="Y5" s="193"/>
      <c r="Z5" s="193">
        <v>11170786</v>
      </c>
      <c r="AA5" s="198">
        <v>0</v>
      </c>
      <c r="AB5" s="199">
        <v>0</v>
      </c>
      <c r="AC5" s="199">
        <v>14549784</v>
      </c>
      <c r="AD5" s="198">
        <v>7248401</v>
      </c>
      <c r="AE5" s="198">
        <v>7248401</v>
      </c>
      <c r="AF5" s="198"/>
      <c r="AG5" s="199"/>
      <c r="AH5" s="198"/>
      <c r="AI5" s="42"/>
    </row>
    <row r="6" spans="1:35" ht="14.4" customHeight="1">
      <c r="A6" s="281">
        <v>3</v>
      </c>
      <c r="B6" s="259"/>
      <c r="C6" s="259"/>
      <c r="D6" s="193">
        <v>2074621</v>
      </c>
      <c r="E6" s="193">
        <v>4061484</v>
      </c>
      <c r="F6" s="193">
        <v>3000727</v>
      </c>
      <c r="G6" s="193">
        <v>3000727</v>
      </c>
      <c r="H6" s="193">
        <v>3280813</v>
      </c>
      <c r="I6" s="193">
        <v>3025743</v>
      </c>
      <c r="J6" s="193">
        <v>3017731</v>
      </c>
      <c r="K6" s="193">
        <v>0</v>
      </c>
      <c r="L6" s="193">
        <v>4914457</v>
      </c>
      <c r="M6" s="193">
        <v>0</v>
      </c>
      <c r="N6" s="193">
        <v>3337232</v>
      </c>
      <c r="O6" s="193">
        <v>0</v>
      </c>
      <c r="P6" s="193">
        <v>0</v>
      </c>
      <c r="Q6" s="193">
        <v>0</v>
      </c>
      <c r="R6" s="193">
        <v>0</v>
      </c>
      <c r="S6" s="193">
        <v>6652375</v>
      </c>
      <c r="T6" s="193">
        <v>0</v>
      </c>
      <c r="U6" s="193">
        <v>0</v>
      </c>
      <c r="V6" s="193">
        <v>0</v>
      </c>
      <c r="W6" s="193">
        <v>0</v>
      </c>
      <c r="X6" s="193">
        <v>0</v>
      </c>
      <c r="Y6" s="259">
        <v>0</v>
      </c>
      <c r="Z6" s="201"/>
      <c r="AA6" s="198">
        <v>0</v>
      </c>
      <c r="AB6" s="201">
        <v>0</v>
      </c>
      <c r="AC6" s="203">
        <v>0</v>
      </c>
      <c r="AD6" s="203">
        <v>0</v>
      </c>
      <c r="AE6" s="198"/>
      <c r="AF6" s="201"/>
      <c r="AG6" s="42"/>
      <c r="AH6" s="201"/>
      <c r="AI6" s="42"/>
    </row>
    <row r="7" spans="1:35" ht="14.4" customHeight="1">
      <c r="A7" s="281">
        <v>4</v>
      </c>
      <c r="B7" s="259"/>
      <c r="C7" s="259"/>
      <c r="D7" s="193"/>
      <c r="E7" s="193">
        <v>1934231</v>
      </c>
      <c r="F7" s="193"/>
      <c r="G7" s="193"/>
      <c r="H7" s="193"/>
      <c r="I7" s="193"/>
      <c r="J7" s="193"/>
      <c r="K7" s="193"/>
      <c r="L7" s="193"/>
      <c r="M7" s="193"/>
      <c r="N7" s="193"/>
      <c r="O7" s="203"/>
      <c r="P7" s="193"/>
      <c r="Q7" s="193"/>
      <c r="R7" s="193"/>
      <c r="S7" s="193"/>
      <c r="T7" s="193"/>
      <c r="U7" s="193"/>
      <c r="V7" s="193"/>
      <c r="W7" s="193"/>
      <c r="X7" s="193"/>
      <c r="Y7" s="201"/>
      <c r="Z7" s="201"/>
      <c r="AA7" s="201"/>
      <c r="AB7" s="198"/>
      <c r="AC7" s="201"/>
      <c r="AD7" s="203"/>
      <c r="AE7" s="199"/>
      <c r="AF7" s="201"/>
      <c r="AG7" s="204"/>
      <c r="AH7" s="201"/>
      <c r="AI7" s="42"/>
    </row>
    <row r="8" spans="1:35" ht="14.4" customHeight="1">
      <c r="A8" s="46" t="s">
        <v>10</v>
      </c>
      <c r="B8" s="47"/>
      <c r="C8" s="47">
        <f>+D8+E8+F8+G8+H8+I8+J8+K8+L8+M8+N8+O8++P8+Q8+R8+S8+T8+U8+V8+W8+X8+Y8+Z8+AA8+AB8+AC8+AD8+AE8+AF8+AG8+AH8</f>
        <v>272545755.45454544</v>
      </c>
      <c r="D8" s="47">
        <f t="shared" ref="D8:AH8" si="0">SUM(D4:D7) /1.1</f>
        <v>14851365.454545453</v>
      </c>
      <c r="E8" s="47">
        <f t="shared" si="0"/>
        <v>12634923.636363635</v>
      </c>
      <c r="F8" s="47">
        <f t="shared" si="0"/>
        <v>16736404.545454545</v>
      </c>
      <c r="G8" s="47">
        <f t="shared" si="0"/>
        <v>15952054.545454545</v>
      </c>
      <c r="H8" s="47">
        <f t="shared" si="0"/>
        <v>4189222.7272727271</v>
      </c>
      <c r="I8" s="47">
        <f t="shared" si="0"/>
        <v>10286162.727272727</v>
      </c>
      <c r="J8" s="47">
        <f t="shared" si="0"/>
        <v>9216375.4545454532</v>
      </c>
      <c r="K8" s="47">
        <f t="shared" si="0"/>
        <v>13312892.727272727</v>
      </c>
      <c r="L8" s="47">
        <f t="shared" si="0"/>
        <v>7668873.6363636358</v>
      </c>
      <c r="M8" s="47">
        <f t="shared" si="0"/>
        <v>12260316.363636363</v>
      </c>
      <c r="N8" s="47">
        <f t="shared" si="0"/>
        <v>3033847.2727272725</v>
      </c>
      <c r="O8" s="47">
        <f t="shared" si="0"/>
        <v>15948178.18181818</v>
      </c>
      <c r="P8" s="47">
        <f t="shared" si="0"/>
        <v>0</v>
      </c>
      <c r="Q8" s="47">
        <f t="shared" si="0"/>
        <v>8809666.3636363633</v>
      </c>
      <c r="R8" s="47">
        <f t="shared" si="0"/>
        <v>17293848.18181818</v>
      </c>
      <c r="S8" s="47">
        <f t="shared" si="0"/>
        <v>6047613.6363636358</v>
      </c>
      <c r="T8" s="47">
        <f t="shared" si="0"/>
        <v>8467755.4545454532</v>
      </c>
      <c r="U8" s="47">
        <f t="shared" si="0"/>
        <v>9121957.2727272715</v>
      </c>
      <c r="V8" s="47">
        <f t="shared" si="0"/>
        <v>7268959.9999999991</v>
      </c>
      <c r="W8" s="47">
        <f t="shared" si="0"/>
        <v>8375782.7272727266</v>
      </c>
      <c r="X8" s="47">
        <f t="shared" si="0"/>
        <v>7268959.9999999991</v>
      </c>
      <c r="Y8" s="47">
        <f t="shared" si="0"/>
        <v>0</v>
      </c>
      <c r="Z8" s="47">
        <f t="shared" si="0"/>
        <v>18322650</v>
      </c>
      <c r="AA8" s="47">
        <f t="shared" si="0"/>
        <v>0</v>
      </c>
      <c r="AB8" s="47">
        <f t="shared" si="0"/>
        <v>0</v>
      </c>
      <c r="AC8" s="47">
        <f t="shared" si="0"/>
        <v>24551003.636363633</v>
      </c>
      <c r="AD8" s="47">
        <f t="shared" si="0"/>
        <v>6589455.4545454541</v>
      </c>
      <c r="AE8" s="47">
        <f t="shared" si="0"/>
        <v>14337485.454545453</v>
      </c>
      <c r="AF8" s="47">
        <f t="shared" si="0"/>
        <v>0</v>
      </c>
      <c r="AG8" s="47">
        <f t="shared" si="0"/>
        <v>0</v>
      </c>
      <c r="AH8" s="47">
        <f t="shared" si="0"/>
        <v>0</v>
      </c>
      <c r="AI8" s="42"/>
    </row>
    <row r="9" spans="1:35" ht="24.75" customHeight="1">
      <c r="A9" s="217" t="s">
        <v>11</v>
      </c>
      <c r="B9" s="279"/>
      <c r="C9" s="279"/>
      <c r="D9" s="6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1:35" ht="24.75" customHeight="1">
      <c r="A10" s="218" t="s">
        <v>12</v>
      </c>
      <c r="B10" s="279"/>
      <c r="C10" s="279"/>
      <c r="D10" s="70">
        <f t="shared" ref="D10:AH10" si="1">D8-D9</f>
        <v>14851365.454545453</v>
      </c>
      <c r="E10" s="70">
        <f t="shared" si="1"/>
        <v>12634923.636363635</v>
      </c>
      <c r="F10" s="70">
        <f t="shared" si="1"/>
        <v>16736404.545454545</v>
      </c>
      <c r="G10" s="70">
        <f t="shared" si="1"/>
        <v>15952054.545454545</v>
      </c>
      <c r="H10" s="70">
        <f t="shared" si="1"/>
        <v>4189222.7272727271</v>
      </c>
      <c r="I10" s="70">
        <f t="shared" si="1"/>
        <v>10286162.727272727</v>
      </c>
      <c r="J10" s="70">
        <f t="shared" si="1"/>
        <v>9216375.4545454532</v>
      </c>
      <c r="K10" s="70">
        <f t="shared" si="1"/>
        <v>13312892.727272727</v>
      </c>
      <c r="L10" s="70">
        <f t="shared" si="1"/>
        <v>7668873.6363636358</v>
      </c>
      <c r="M10" s="70">
        <f t="shared" si="1"/>
        <v>12260316.363636363</v>
      </c>
      <c r="N10" s="70">
        <f t="shared" si="1"/>
        <v>3033847.2727272725</v>
      </c>
      <c r="O10" s="70">
        <f t="shared" si="1"/>
        <v>15948178.18181818</v>
      </c>
      <c r="P10" s="70">
        <f t="shared" si="1"/>
        <v>0</v>
      </c>
      <c r="Q10" s="70">
        <f t="shared" si="1"/>
        <v>8809666.3636363633</v>
      </c>
      <c r="R10" s="70">
        <f t="shared" si="1"/>
        <v>17293848.18181818</v>
      </c>
      <c r="S10" s="70">
        <f t="shared" si="1"/>
        <v>6047613.6363636358</v>
      </c>
      <c r="T10" s="70">
        <f t="shared" si="1"/>
        <v>8467755.4545454532</v>
      </c>
      <c r="U10" s="70">
        <f t="shared" si="1"/>
        <v>9121957.2727272715</v>
      </c>
      <c r="V10" s="70">
        <f t="shared" si="1"/>
        <v>7268959.9999999991</v>
      </c>
      <c r="W10" s="70">
        <f t="shared" si="1"/>
        <v>8375782.7272727266</v>
      </c>
      <c r="X10" s="70">
        <f t="shared" si="1"/>
        <v>7268959.9999999991</v>
      </c>
      <c r="Y10" s="70">
        <f t="shared" si="1"/>
        <v>0</v>
      </c>
      <c r="Z10" s="70">
        <f t="shared" si="1"/>
        <v>18322650</v>
      </c>
      <c r="AA10" s="70">
        <f t="shared" si="1"/>
        <v>0</v>
      </c>
      <c r="AB10" s="70">
        <f t="shared" si="1"/>
        <v>0</v>
      </c>
      <c r="AC10" s="70">
        <f t="shared" si="1"/>
        <v>24551003.636363633</v>
      </c>
      <c r="AD10" s="70">
        <f t="shared" si="1"/>
        <v>6589455.4545454541</v>
      </c>
      <c r="AE10" s="70">
        <f t="shared" si="1"/>
        <v>14337485.454545453</v>
      </c>
      <c r="AF10" s="70">
        <f t="shared" si="1"/>
        <v>0</v>
      </c>
      <c r="AG10" s="70">
        <f t="shared" si="1"/>
        <v>0</v>
      </c>
      <c r="AH10" s="70">
        <f t="shared" si="1"/>
        <v>0</v>
      </c>
      <c r="AI10" s="7"/>
    </row>
    <row r="11" spans="1:35" ht="13.2"/>
    <row r="12" spans="1:35" ht="13.2"/>
    <row r="13" spans="1:35" ht="13.2"/>
    <row r="14" spans="1:35" ht="13.8" customHeight="1">
      <c r="B14" s="74" t="s">
        <v>13</v>
      </c>
      <c r="D14" s="74"/>
    </row>
    <row r="15" spans="1:35" ht="31.2" customHeight="1">
      <c r="B15" s="75" t="s">
        <v>14</v>
      </c>
      <c r="C15" s="75" t="s">
        <v>15</v>
      </c>
      <c r="D15" s="75" t="s">
        <v>16</v>
      </c>
      <c r="E15" s="76" t="s">
        <v>17</v>
      </c>
      <c r="G15" s="325" t="s">
        <v>18</v>
      </c>
      <c r="I15" s="260" t="s">
        <v>314</v>
      </c>
      <c r="J15" t="s">
        <v>167</v>
      </c>
      <c r="K15" t="s">
        <v>168</v>
      </c>
    </row>
    <row r="16" spans="1:35" ht="13.2" customHeight="1">
      <c r="B16" s="261">
        <v>46204</v>
      </c>
      <c r="C16" s="262" t="s">
        <v>315</v>
      </c>
      <c r="D16" s="262" t="s">
        <v>316</v>
      </c>
      <c r="E16" s="263">
        <v>9229260</v>
      </c>
      <c r="F16" s="261" t="s">
        <v>171</v>
      </c>
      <c r="G16" s="263">
        <v>9229260</v>
      </c>
      <c r="H16" s="262" t="s">
        <v>315</v>
      </c>
      <c r="I16" s="262" t="s">
        <v>316</v>
      </c>
      <c r="J16" s="262" t="s">
        <v>317</v>
      </c>
      <c r="K16" s="262" t="s">
        <v>173</v>
      </c>
    </row>
    <row r="17" spans="2:11" ht="13.2" customHeight="1">
      <c r="B17" s="261">
        <v>46204</v>
      </c>
      <c r="C17" s="262" t="s">
        <v>315</v>
      </c>
      <c r="D17" s="262" t="s">
        <v>318</v>
      </c>
      <c r="E17" s="263">
        <v>5032621</v>
      </c>
      <c r="F17" s="261" t="s">
        <v>171</v>
      </c>
      <c r="G17" s="263">
        <v>5032621</v>
      </c>
      <c r="H17" s="262" t="s">
        <v>315</v>
      </c>
      <c r="I17" s="262" t="s">
        <v>318</v>
      </c>
      <c r="J17" s="262" t="s">
        <v>319</v>
      </c>
      <c r="K17" s="262" t="s">
        <v>173</v>
      </c>
    </row>
    <row r="18" spans="2:11" ht="13.2" customHeight="1">
      <c r="B18" s="261">
        <v>46204</v>
      </c>
      <c r="C18" s="262" t="s">
        <v>315</v>
      </c>
      <c r="D18" s="262" t="s">
        <v>320</v>
      </c>
      <c r="E18" s="263">
        <v>2074621</v>
      </c>
      <c r="F18" s="261" t="s">
        <v>171</v>
      </c>
      <c r="G18" s="263">
        <v>2074621</v>
      </c>
      <c r="H18" s="262" t="s">
        <v>315</v>
      </c>
      <c r="I18" s="262" t="s">
        <v>320</v>
      </c>
      <c r="J18" s="262" t="s">
        <v>321</v>
      </c>
      <c r="K18" s="262" t="s">
        <v>173</v>
      </c>
    </row>
    <row r="19" spans="2:11" ht="13.2" customHeight="1">
      <c r="B19" s="261">
        <v>46205</v>
      </c>
      <c r="C19" s="262" t="s">
        <v>315</v>
      </c>
      <c r="D19" s="262" t="s">
        <v>322</v>
      </c>
      <c r="E19" s="263">
        <v>5182161</v>
      </c>
      <c r="F19" s="261" t="s">
        <v>178</v>
      </c>
      <c r="G19" s="263">
        <v>5182161</v>
      </c>
      <c r="H19" s="262" t="s">
        <v>315</v>
      </c>
      <c r="I19" s="262" t="s">
        <v>322</v>
      </c>
      <c r="J19" s="262" t="s">
        <v>317</v>
      </c>
      <c r="K19" s="262" t="s">
        <v>173</v>
      </c>
    </row>
    <row r="20" spans="2:11" ht="13.2" customHeight="1">
      <c r="B20" s="261">
        <v>46205</v>
      </c>
      <c r="C20" s="262" t="s">
        <v>315</v>
      </c>
      <c r="D20" s="262" t="s">
        <v>323</v>
      </c>
      <c r="E20" s="263">
        <v>2720540</v>
      </c>
      <c r="F20" s="261" t="s">
        <v>178</v>
      </c>
      <c r="G20" s="263">
        <v>2720540</v>
      </c>
      <c r="H20" s="262" t="s">
        <v>315</v>
      </c>
      <c r="I20" s="262" t="s">
        <v>323</v>
      </c>
      <c r="J20" s="262" t="s">
        <v>319</v>
      </c>
      <c r="K20" s="262" t="s">
        <v>173</v>
      </c>
    </row>
    <row r="21" spans="2:11" ht="13.2" customHeight="1">
      <c r="B21" s="261">
        <v>46205</v>
      </c>
      <c r="C21" s="262" t="s">
        <v>315</v>
      </c>
      <c r="D21" s="262" t="s">
        <v>324</v>
      </c>
      <c r="E21" s="265">
        <v>1934231</v>
      </c>
      <c r="F21" s="261" t="s">
        <v>178</v>
      </c>
      <c r="G21" s="338">
        <v>1934231</v>
      </c>
      <c r="H21" s="262" t="s">
        <v>315</v>
      </c>
      <c r="I21" s="262" t="s">
        <v>324</v>
      </c>
      <c r="J21" s="262" t="s">
        <v>325</v>
      </c>
      <c r="K21" s="262" t="s">
        <v>173</v>
      </c>
    </row>
    <row r="22" spans="2:11" ht="13.2" customHeight="1">
      <c r="B22" s="261">
        <v>46205</v>
      </c>
      <c r="C22" s="262" t="s">
        <v>315</v>
      </c>
      <c r="D22" s="262" t="s">
        <v>326</v>
      </c>
      <c r="E22" s="263">
        <v>2030742</v>
      </c>
      <c r="F22" s="261" t="s">
        <v>178</v>
      </c>
      <c r="G22" s="263">
        <v>2030742</v>
      </c>
      <c r="H22" s="262" t="s">
        <v>315</v>
      </c>
      <c r="I22" s="262" t="s">
        <v>326</v>
      </c>
      <c r="J22" s="262" t="s">
        <v>321</v>
      </c>
      <c r="K22" s="262" t="s">
        <v>173</v>
      </c>
    </row>
    <row r="23" spans="2:11" ht="13.2" customHeight="1">
      <c r="B23" s="261">
        <v>46205</v>
      </c>
      <c r="C23" s="262" t="s">
        <v>315</v>
      </c>
      <c r="D23" s="262" t="s">
        <v>327</v>
      </c>
      <c r="E23" s="263">
        <v>2030742</v>
      </c>
      <c r="F23" s="261" t="s">
        <v>178</v>
      </c>
      <c r="G23" s="263">
        <v>2030742</v>
      </c>
      <c r="H23" s="262" t="s">
        <v>315</v>
      </c>
      <c r="I23" s="262" t="s">
        <v>327</v>
      </c>
      <c r="J23" s="262" t="s">
        <v>321</v>
      </c>
      <c r="K23" s="262" t="s">
        <v>173</v>
      </c>
    </row>
    <row r="24" spans="2:11" ht="13.2" customHeight="1">
      <c r="B24" s="267">
        <v>46206</v>
      </c>
      <c r="C24" s="262" t="s">
        <v>315</v>
      </c>
      <c r="D24" s="262" t="s">
        <v>328</v>
      </c>
      <c r="E24" s="263">
        <v>8289036</v>
      </c>
      <c r="F24" s="267" t="s">
        <v>181</v>
      </c>
      <c r="G24" s="263">
        <v>8289036</v>
      </c>
      <c r="H24" s="262" t="s">
        <v>315</v>
      </c>
      <c r="I24" s="262" t="s">
        <v>328</v>
      </c>
      <c r="J24" s="262" t="s">
        <v>317</v>
      </c>
      <c r="K24" s="262" t="s">
        <v>173</v>
      </c>
    </row>
    <row r="25" spans="2:11" ht="13.2" customHeight="1">
      <c r="B25" s="267">
        <v>46206</v>
      </c>
      <c r="C25" s="262" t="s">
        <v>315</v>
      </c>
      <c r="D25" s="262" t="s">
        <v>329</v>
      </c>
      <c r="E25" s="263">
        <v>7120282</v>
      </c>
      <c r="F25" s="267" t="s">
        <v>181</v>
      </c>
      <c r="G25" s="263">
        <v>7120282</v>
      </c>
      <c r="H25" s="262" t="s">
        <v>315</v>
      </c>
      <c r="I25" s="262" t="s">
        <v>329</v>
      </c>
      <c r="J25" s="262" t="s">
        <v>319</v>
      </c>
      <c r="K25" s="262" t="s">
        <v>173</v>
      </c>
    </row>
    <row r="26" spans="2:11" ht="13.2" customHeight="1">
      <c r="B26" s="267">
        <v>46206</v>
      </c>
      <c r="C26" s="262" t="s">
        <v>315</v>
      </c>
      <c r="D26" s="262" t="s">
        <v>330</v>
      </c>
      <c r="E26" s="263">
        <v>3000727</v>
      </c>
      <c r="F26" s="267" t="s">
        <v>181</v>
      </c>
      <c r="G26" s="263">
        <v>3000727</v>
      </c>
      <c r="H26" s="262" t="s">
        <v>315</v>
      </c>
      <c r="I26" s="262" t="s">
        <v>330</v>
      </c>
      <c r="J26" s="262" t="s">
        <v>321</v>
      </c>
      <c r="K26" s="262" t="s">
        <v>173</v>
      </c>
    </row>
    <row r="27" spans="2:11" ht="13.2" customHeight="1">
      <c r="B27" s="268">
        <v>46207</v>
      </c>
      <c r="C27" s="262" t="s">
        <v>315</v>
      </c>
      <c r="D27" s="262" t="s">
        <v>331</v>
      </c>
      <c r="E27" s="263">
        <v>8289036</v>
      </c>
      <c r="F27" s="268" t="s">
        <v>332</v>
      </c>
      <c r="G27" s="263">
        <v>8289036</v>
      </c>
      <c r="H27" s="262" t="s">
        <v>315</v>
      </c>
      <c r="I27" s="262" t="s">
        <v>331</v>
      </c>
      <c r="J27" s="262" t="s">
        <v>317</v>
      </c>
      <c r="K27" s="262" t="s">
        <v>173</v>
      </c>
    </row>
    <row r="28" spans="2:11" ht="13.2" customHeight="1">
      <c r="B28" s="268">
        <v>46207</v>
      </c>
      <c r="C28" s="262" t="s">
        <v>315</v>
      </c>
      <c r="D28" s="262" t="s">
        <v>333</v>
      </c>
      <c r="E28" s="263">
        <v>893928</v>
      </c>
      <c r="F28" s="268" t="s">
        <v>332</v>
      </c>
      <c r="G28" s="263">
        <v>893928</v>
      </c>
      <c r="H28" s="262" t="s">
        <v>315</v>
      </c>
      <c r="I28" s="262" t="s">
        <v>333</v>
      </c>
      <c r="J28" s="262" t="s">
        <v>319</v>
      </c>
      <c r="K28" s="262" t="s">
        <v>173</v>
      </c>
    </row>
    <row r="29" spans="2:11" ht="13.2" customHeight="1">
      <c r="B29" s="268">
        <v>46207</v>
      </c>
      <c r="C29" s="262" t="s">
        <v>315</v>
      </c>
      <c r="D29" s="262" t="s">
        <v>334</v>
      </c>
      <c r="E29" s="263">
        <v>1787856</v>
      </c>
      <c r="F29" s="268" t="s">
        <v>332</v>
      </c>
      <c r="G29" s="263">
        <v>1787856</v>
      </c>
      <c r="H29" s="262" t="s">
        <v>315</v>
      </c>
      <c r="I29" s="262" t="s">
        <v>334</v>
      </c>
      <c r="J29" s="262" t="s">
        <v>319</v>
      </c>
      <c r="K29" s="262" t="s">
        <v>173</v>
      </c>
    </row>
    <row r="30" spans="2:11" ht="13.2" customHeight="1">
      <c r="B30" s="268">
        <v>46207</v>
      </c>
      <c r="C30" s="262" t="s">
        <v>315</v>
      </c>
      <c r="D30" s="269" t="s">
        <v>335</v>
      </c>
      <c r="E30" s="263">
        <v>3575713</v>
      </c>
      <c r="F30" s="268" t="s">
        <v>332</v>
      </c>
      <c r="G30" s="263">
        <v>3575713</v>
      </c>
      <c r="H30" s="262" t="s">
        <v>315</v>
      </c>
      <c r="I30" s="269" t="s">
        <v>335</v>
      </c>
      <c r="J30" s="269" t="s">
        <v>319</v>
      </c>
      <c r="K30" s="269" t="s">
        <v>173</v>
      </c>
    </row>
    <row r="31" spans="2:11" ht="13.2" customHeight="1">
      <c r="B31" s="268">
        <v>46207</v>
      </c>
      <c r="C31" s="262" t="s">
        <v>315</v>
      </c>
      <c r="D31" s="262" t="s">
        <v>336</v>
      </c>
      <c r="E31" s="263">
        <v>3000727</v>
      </c>
      <c r="F31" s="268" t="s">
        <v>332</v>
      </c>
      <c r="G31" s="263">
        <v>3000727</v>
      </c>
      <c r="H31" s="262" t="s">
        <v>315</v>
      </c>
      <c r="I31" s="262" t="s">
        <v>336</v>
      </c>
      <c r="J31" s="262" t="s">
        <v>321</v>
      </c>
      <c r="K31" s="262" t="s">
        <v>173</v>
      </c>
    </row>
    <row r="32" spans="2:11" ht="13.2" customHeight="1">
      <c r="B32" s="268">
        <v>46208</v>
      </c>
      <c r="C32" s="262" t="s">
        <v>315</v>
      </c>
      <c r="D32" s="262" t="s">
        <v>337</v>
      </c>
      <c r="E32" s="263">
        <v>1327332</v>
      </c>
      <c r="F32" s="268" t="s">
        <v>183</v>
      </c>
      <c r="G32" s="263">
        <v>1327332</v>
      </c>
      <c r="H32" s="262" t="s">
        <v>315</v>
      </c>
      <c r="I32" s="262" t="s">
        <v>337</v>
      </c>
      <c r="J32" s="262" t="s">
        <v>319</v>
      </c>
      <c r="K32" s="262" t="s">
        <v>173</v>
      </c>
    </row>
    <row r="33" spans="2:11" ht="13.2" customHeight="1">
      <c r="B33" s="268">
        <v>46208</v>
      </c>
      <c r="C33" s="262" t="s">
        <v>315</v>
      </c>
      <c r="D33" s="262" t="s">
        <v>338</v>
      </c>
      <c r="E33" s="263">
        <v>3280813</v>
      </c>
      <c r="F33" s="268" t="s">
        <v>183</v>
      </c>
      <c r="G33" s="263">
        <v>3280813</v>
      </c>
      <c r="H33" s="262" t="s">
        <v>315</v>
      </c>
      <c r="I33" s="262" t="s">
        <v>338</v>
      </c>
      <c r="J33" s="262" t="s">
        <v>321</v>
      </c>
      <c r="K33" s="262" t="s">
        <v>173</v>
      </c>
    </row>
    <row r="34" spans="2:11" ht="13.2" customHeight="1">
      <c r="B34" s="268">
        <v>46209</v>
      </c>
      <c r="C34" s="262" t="s">
        <v>315</v>
      </c>
      <c r="D34" s="262" t="s">
        <v>339</v>
      </c>
      <c r="E34" s="263">
        <v>8289036</v>
      </c>
      <c r="F34" s="268" t="s">
        <v>187</v>
      </c>
      <c r="G34" s="263">
        <v>8289036</v>
      </c>
      <c r="H34" s="262" t="s">
        <v>315</v>
      </c>
      <c r="I34" s="262" t="s">
        <v>339</v>
      </c>
      <c r="J34" s="262" t="s">
        <v>317</v>
      </c>
      <c r="K34" s="262" t="s">
        <v>173</v>
      </c>
    </row>
    <row r="35" spans="2:11" ht="13.2" customHeight="1">
      <c r="B35" s="268">
        <v>46209</v>
      </c>
      <c r="C35" s="262" t="s">
        <v>315</v>
      </c>
      <c r="D35" s="262" t="s">
        <v>340</v>
      </c>
      <c r="E35" s="263">
        <v>378062</v>
      </c>
      <c r="F35" s="268" t="s">
        <v>187</v>
      </c>
      <c r="G35" s="263">
        <v>378062</v>
      </c>
      <c r="H35" s="262" t="s">
        <v>315</v>
      </c>
      <c r="I35" s="262" t="s">
        <v>340</v>
      </c>
      <c r="J35" s="262" t="s">
        <v>321</v>
      </c>
      <c r="K35" s="262" t="s">
        <v>173</v>
      </c>
    </row>
    <row r="36" spans="2:11" ht="13.2" customHeight="1">
      <c r="B36" s="268">
        <v>46209</v>
      </c>
      <c r="C36" s="262" t="s">
        <v>315</v>
      </c>
      <c r="D36" s="262" t="s">
        <v>341</v>
      </c>
      <c r="E36" s="263">
        <v>2647681</v>
      </c>
      <c r="F36" s="268" t="s">
        <v>187</v>
      </c>
      <c r="G36" s="263">
        <v>2647681</v>
      </c>
      <c r="H36" s="262" t="s">
        <v>315</v>
      </c>
      <c r="I36" s="262" t="s">
        <v>341</v>
      </c>
      <c r="J36" s="262" t="s">
        <v>321</v>
      </c>
      <c r="K36" s="262" t="s">
        <v>173</v>
      </c>
    </row>
    <row r="37" spans="2:11" ht="13.2" customHeight="1">
      <c r="B37" s="268">
        <v>46210</v>
      </c>
      <c r="C37" s="262" t="s">
        <v>315</v>
      </c>
      <c r="D37" s="262" t="s">
        <v>342</v>
      </c>
      <c r="E37" s="263">
        <v>7120282</v>
      </c>
      <c r="F37" s="268" t="s">
        <v>190</v>
      </c>
      <c r="G37" s="263">
        <v>7120282</v>
      </c>
      <c r="H37" s="262" t="s">
        <v>315</v>
      </c>
      <c r="I37" s="262" t="s">
        <v>342</v>
      </c>
      <c r="J37" s="262" t="s">
        <v>319</v>
      </c>
      <c r="K37" s="262" t="s">
        <v>173</v>
      </c>
    </row>
    <row r="38" spans="2:11" ht="13.2" customHeight="1">
      <c r="B38" s="268">
        <v>46210</v>
      </c>
      <c r="C38" s="262" t="s">
        <v>315</v>
      </c>
      <c r="D38" s="262" t="s">
        <v>343</v>
      </c>
      <c r="E38" s="263">
        <v>3017731</v>
      </c>
      <c r="F38" s="268" t="s">
        <v>190</v>
      </c>
      <c r="G38" s="263">
        <v>3017731</v>
      </c>
      <c r="H38" s="262" t="s">
        <v>315</v>
      </c>
      <c r="I38" s="262" t="s">
        <v>343</v>
      </c>
      <c r="J38" s="262" t="s">
        <v>321</v>
      </c>
      <c r="K38" s="262" t="s">
        <v>173</v>
      </c>
    </row>
    <row r="39" spans="2:11" ht="13.2" customHeight="1">
      <c r="B39" s="268">
        <v>46211</v>
      </c>
      <c r="C39" s="262" t="s">
        <v>315</v>
      </c>
      <c r="D39" s="262" t="s">
        <v>344</v>
      </c>
      <c r="E39" s="263">
        <v>7805956</v>
      </c>
      <c r="F39" s="268" t="s">
        <v>192</v>
      </c>
      <c r="G39" s="263">
        <v>7805956</v>
      </c>
      <c r="H39" s="262" t="s">
        <v>315</v>
      </c>
      <c r="I39" s="262" t="s">
        <v>344</v>
      </c>
      <c r="J39" s="262" t="s">
        <v>317</v>
      </c>
      <c r="K39" s="262" t="s">
        <v>173</v>
      </c>
    </row>
    <row r="40" spans="2:11" ht="13.2" customHeight="1">
      <c r="B40" s="268">
        <v>46211</v>
      </c>
      <c r="C40" s="262" t="s">
        <v>315</v>
      </c>
      <c r="D40" s="262" t="s">
        <v>345</v>
      </c>
      <c r="E40" s="263">
        <v>6838226</v>
      </c>
      <c r="F40" s="268" t="s">
        <v>192</v>
      </c>
      <c r="G40" s="263">
        <v>6838226</v>
      </c>
      <c r="H40" s="262" t="s">
        <v>315</v>
      </c>
      <c r="I40" s="262" t="s">
        <v>345</v>
      </c>
      <c r="J40" s="262" t="s">
        <v>319</v>
      </c>
      <c r="K40" s="262" t="s">
        <v>173</v>
      </c>
    </row>
    <row r="41" spans="2:11" ht="13.2" customHeight="1">
      <c r="B41" s="268">
        <v>46212</v>
      </c>
      <c r="C41" s="262" t="s">
        <v>315</v>
      </c>
      <c r="D41" s="262" t="s">
        <v>346</v>
      </c>
      <c r="E41" s="263">
        <v>1173768</v>
      </c>
      <c r="F41" s="268" t="s">
        <v>194</v>
      </c>
      <c r="G41" s="263">
        <v>1173768</v>
      </c>
      <c r="H41" s="262" t="s">
        <v>315</v>
      </c>
      <c r="I41" s="262" t="s">
        <v>346</v>
      </c>
      <c r="J41" s="262" t="s">
        <v>317</v>
      </c>
      <c r="K41" s="262" t="s">
        <v>173</v>
      </c>
    </row>
    <row r="42" spans="2:11" ht="13.2" customHeight="1">
      <c r="B42" s="268">
        <v>46212</v>
      </c>
      <c r="C42" s="262" t="s">
        <v>315</v>
      </c>
      <c r="D42" s="262" t="s">
        <v>347</v>
      </c>
      <c r="E42" s="263">
        <v>2347536</v>
      </c>
      <c r="F42" s="268" t="s">
        <v>194</v>
      </c>
      <c r="G42" s="263">
        <v>2347536</v>
      </c>
      <c r="H42" s="262" t="s">
        <v>315</v>
      </c>
      <c r="I42" s="262" t="s">
        <v>347</v>
      </c>
      <c r="J42" s="262" t="s">
        <v>317</v>
      </c>
      <c r="K42" s="262" t="s">
        <v>173</v>
      </c>
    </row>
    <row r="43" spans="2:11" ht="13.2" customHeight="1">
      <c r="B43" s="268">
        <v>46212</v>
      </c>
      <c r="C43" s="262" t="s">
        <v>315</v>
      </c>
      <c r="D43" s="262" t="s">
        <v>348</v>
      </c>
      <c r="E43" s="263">
        <v>4914457</v>
      </c>
      <c r="F43" s="268" t="s">
        <v>194</v>
      </c>
      <c r="G43" s="263">
        <v>4914457</v>
      </c>
      <c r="H43" s="262" t="s">
        <v>315</v>
      </c>
      <c r="I43" s="262" t="s">
        <v>348</v>
      </c>
      <c r="J43" s="262" t="s">
        <v>321</v>
      </c>
      <c r="K43" s="262" t="s">
        <v>173</v>
      </c>
    </row>
    <row r="44" spans="2:11" ht="13.2" customHeight="1">
      <c r="B44" s="268">
        <v>46213</v>
      </c>
      <c r="C44" s="262" t="s">
        <v>315</v>
      </c>
      <c r="D44" s="262" t="s">
        <v>349</v>
      </c>
      <c r="E44" s="263">
        <v>6123162</v>
      </c>
      <c r="F44" s="268" t="s">
        <v>196</v>
      </c>
      <c r="G44" s="263">
        <v>6123162</v>
      </c>
      <c r="H44" s="262" t="s">
        <v>315</v>
      </c>
      <c r="I44" s="262" t="s">
        <v>349</v>
      </c>
      <c r="J44" s="262" t="s">
        <v>317</v>
      </c>
      <c r="K44" s="262" t="s">
        <v>173</v>
      </c>
    </row>
    <row r="45" spans="2:11" ht="13.2" customHeight="1">
      <c r="B45" s="268">
        <v>46213</v>
      </c>
      <c r="C45" s="262" t="s">
        <v>315</v>
      </c>
      <c r="D45" s="262" t="s">
        <v>350</v>
      </c>
      <c r="E45" s="263">
        <v>7363186</v>
      </c>
      <c r="F45" s="268" t="s">
        <v>196</v>
      </c>
      <c r="G45" s="263">
        <v>7363186</v>
      </c>
      <c r="H45" s="262" t="s">
        <v>315</v>
      </c>
      <c r="I45" s="262" t="s">
        <v>350</v>
      </c>
      <c r="J45" s="262" t="s">
        <v>319</v>
      </c>
      <c r="K45" s="262" t="s">
        <v>173</v>
      </c>
    </row>
    <row r="46" spans="2:11" ht="13.2" customHeight="1">
      <c r="B46" s="268">
        <v>46214</v>
      </c>
      <c r="C46" s="262" t="s">
        <v>315</v>
      </c>
      <c r="D46" s="262" t="s">
        <v>351</v>
      </c>
      <c r="E46" s="263">
        <v>3337232</v>
      </c>
      <c r="F46" s="268" t="s">
        <v>198</v>
      </c>
      <c r="G46" s="263">
        <v>3337232</v>
      </c>
      <c r="H46" s="262" t="s">
        <v>315</v>
      </c>
      <c r="I46" s="262" t="s">
        <v>351</v>
      </c>
      <c r="J46" s="262" t="s">
        <v>321</v>
      </c>
      <c r="K46" s="262" t="s">
        <v>173</v>
      </c>
    </row>
    <row r="47" spans="2:11" ht="13.2" customHeight="1">
      <c r="B47" s="268">
        <v>46215</v>
      </c>
      <c r="C47" s="262" t="s">
        <v>315</v>
      </c>
      <c r="D47" s="262" t="s">
        <v>352</v>
      </c>
      <c r="E47" s="263">
        <v>9383041</v>
      </c>
      <c r="F47" s="268" t="s">
        <v>200</v>
      </c>
      <c r="G47" s="263">
        <v>9383041</v>
      </c>
      <c r="H47" s="262" t="s">
        <v>315</v>
      </c>
      <c r="I47" s="262" t="s">
        <v>352</v>
      </c>
      <c r="J47" s="262" t="s">
        <v>317</v>
      </c>
      <c r="K47" s="262" t="s">
        <v>173</v>
      </c>
    </row>
    <row r="48" spans="2:11" ht="13.2" customHeight="1">
      <c r="B48" s="268">
        <v>46215</v>
      </c>
      <c r="C48" s="262" t="s">
        <v>315</v>
      </c>
      <c r="D48" s="262" t="s">
        <v>353</v>
      </c>
      <c r="E48" s="263">
        <v>8159955</v>
      </c>
      <c r="F48" s="268" t="s">
        <v>200</v>
      </c>
      <c r="G48" s="263">
        <v>8159955</v>
      </c>
      <c r="H48" s="262" t="s">
        <v>315</v>
      </c>
      <c r="I48" s="262" t="s">
        <v>353</v>
      </c>
      <c r="J48" s="262" t="s">
        <v>319</v>
      </c>
      <c r="K48" s="262" t="s">
        <v>173</v>
      </c>
    </row>
    <row r="49" spans="2:11" ht="13.2" customHeight="1">
      <c r="B49" s="268">
        <v>46217</v>
      </c>
      <c r="C49" s="262" t="s">
        <v>315</v>
      </c>
      <c r="D49" s="262" t="s">
        <v>354</v>
      </c>
      <c r="E49" s="263">
        <v>9690633</v>
      </c>
      <c r="F49" s="268" t="s">
        <v>204</v>
      </c>
      <c r="G49" s="263">
        <v>9690633</v>
      </c>
      <c r="H49" s="262" t="s">
        <v>315</v>
      </c>
      <c r="I49" s="262" t="s">
        <v>354</v>
      </c>
      <c r="J49" s="262" t="s">
        <v>317</v>
      </c>
      <c r="K49" s="262" t="s">
        <v>173</v>
      </c>
    </row>
    <row r="50" spans="2:11" ht="13.2" customHeight="1">
      <c r="B50" s="261">
        <v>46218</v>
      </c>
      <c r="C50" s="262" t="s">
        <v>315</v>
      </c>
      <c r="D50" s="262" t="s">
        <v>355</v>
      </c>
      <c r="E50" s="263">
        <v>9690633</v>
      </c>
      <c r="F50" s="261" t="s">
        <v>356</v>
      </c>
      <c r="G50" s="263">
        <v>9690633</v>
      </c>
      <c r="H50" s="262" t="s">
        <v>315</v>
      </c>
      <c r="I50" s="262" t="s">
        <v>355</v>
      </c>
      <c r="J50" s="262" t="s">
        <v>317</v>
      </c>
      <c r="K50" s="262" t="s">
        <v>173</v>
      </c>
    </row>
    <row r="51" spans="2:11" ht="13.2" customHeight="1">
      <c r="B51" s="261">
        <v>46218</v>
      </c>
      <c r="C51" s="262" t="s">
        <v>315</v>
      </c>
      <c r="D51" s="262" t="s">
        <v>357</v>
      </c>
      <c r="E51" s="263">
        <v>1164317</v>
      </c>
      <c r="F51" s="261" t="s">
        <v>356</v>
      </c>
      <c r="G51" s="263">
        <v>1164317</v>
      </c>
      <c r="H51" s="262" t="s">
        <v>315</v>
      </c>
      <c r="I51" s="262" t="s">
        <v>357</v>
      </c>
      <c r="J51" s="262" t="s">
        <v>319</v>
      </c>
      <c r="K51" s="262" t="s">
        <v>173</v>
      </c>
    </row>
    <row r="52" spans="2:11" ht="13.2" customHeight="1">
      <c r="B52" s="261">
        <v>46218</v>
      </c>
      <c r="C52" s="262" t="s">
        <v>315</v>
      </c>
      <c r="D52" s="262" t="s">
        <v>358</v>
      </c>
      <c r="E52" s="263">
        <v>2328634</v>
      </c>
      <c r="F52" s="261" t="s">
        <v>356</v>
      </c>
      <c r="G52" s="263">
        <v>2328634</v>
      </c>
      <c r="H52" s="262" t="s">
        <v>315</v>
      </c>
      <c r="I52" s="262" t="s">
        <v>358</v>
      </c>
      <c r="J52" s="262" t="s">
        <v>319</v>
      </c>
      <c r="K52" s="262" t="s">
        <v>173</v>
      </c>
    </row>
    <row r="53" spans="2:11" ht="13.2" customHeight="1">
      <c r="B53" s="261">
        <v>46218</v>
      </c>
      <c r="C53" s="262" t="s">
        <v>315</v>
      </c>
      <c r="D53" s="262" t="s">
        <v>359</v>
      </c>
      <c r="E53" s="263">
        <v>5840309</v>
      </c>
      <c r="F53" s="261" t="s">
        <v>356</v>
      </c>
      <c r="G53" s="263">
        <v>5840309</v>
      </c>
      <c r="H53" s="262" t="s">
        <v>315</v>
      </c>
      <c r="I53" s="262" t="s">
        <v>359</v>
      </c>
      <c r="J53" s="262" t="s">
        <v>319</v>
      </c>
      <c r="K53" s="262" t="s">
        <v>173</v>
      </c>
    </row>
    <row r="54" spans="2:11" ht="13.2" customHeight="1">
      <c r="B54" s="261">
        <v>46219</v>
      </c>
      <c r="C54" s="262" t="s">
        <v>315</v>
      </c>
      <c r="D54" s="262" t="s">
        <v>360</v>
      </c>
      <c r="E54" s="263">
        <v>6652375</v>
      </c>
      <c r="F54" s="261" t="s">
        <v>206</v>
      </c>
      <c r="G54" s="263">
        <v>6652375</v>
      </c>
      <c r="H54" s="262" t="s">
        <v>315</v>
      </c>
      <c r="I54" s="262" t="s">
        <v>360</v>
      </c>
      <c r="J54" s="262" t="s">
        <v>321</v>
      </c>
      <c r="K54" s="262" t="s">
        <v>173</v>
      </c>
    </row>
    <row r="55" spans="2:11" ht="13.2" customHeight="1">
      <c r="B55" s="261">
        <v>46220</v>
      </c>
      <c r="C55" s="262" t="s">
        <v>315</v>
      </c>
      <c r="D55" s="262" t="s">
        <v>361</v>
      </c>
      <c r="E55" s="263">
        <v>9314531</v>
      </c>
      <c r="F55" s="261" t="s">
        <v>362</v>
      </c>
      <c r="G55" s="263">
        <v>9314531</v>
      </c>
      <c r="H55" s="262" t="s">
        <v>315</v>
      </c>
      <c r="I55" s="262" t="s">
        <v>361</v>
      </c>
      <c r="J55" s="262" t="s">
        <v>319</v>
      </c>
      <c r="K55" s="262" t="s">
        <v>173</v>
      </c>
    </row>
    <row r="56" spans="2:11" ht="13.2" customHeight="1">
      <c r="B56" s="268">
        <v>46221</v>
      </c>
      <c r="C56" s="262" t="s">
        <v>315</v>
      </c>
      <c r="D56" s="262" t="s">
        <v>363</v>
      </c>
      <c r="E56" s="263">
        <v>10034153</v>
      </c>
      <c r="F56" s="268" t="s">
        <v>208</v>
      </c>
      <c r="G56" s="263">
        <v>10034153</v>
      </c>
      <c r="H56" s="262" t="s">
        <v>315</v>
      </c>
      <c r="I56" s="262" t="s">
        <v>363</v>
      </c>
      <c r="J56" s="262" t="s">
        <v>317</v>
      </c>
      <c r="K56" s="262" t="s">
        <v>173</v>
      </c>
    </row>
    <row r="57" spans="2:11" ht="13.2" customHeight="1">
      <c r="B57" s="261">
        <v>46222</v>
      </c>
      <c r="C57" s="262" t="s">
        <v>315</v>
      </c>
      <c r="D57" s="262" t="s">
        <v>364</v>
      </c>
      <c r="E57" s="263">
        <v>7995856</v>
      </c>
      <c r="F57" s="261" t="s">
        <v>210</v>
      </c>
      <c r="G57" s="263">
        <v>7995856</v>
      </c>
      <c r="H57" s="262" t="s">
        <v>315</v>
      </c>
      <c r="I57" s="262" t="s">
        <v>364</v>
      </c>
      <c r="J57" s="262" t="s">
        <v>319</v>
      </c>
      <c r="K57" s="262" t="s">
        <v>173</v>
      </c>
    </row>
    <row r="58" spans="2:11" ht="13.2" customHeight="1">
      <c r="B58" s="261">
        <v>46223</v>
      </c>
      <c r="C58" s="262" t="s">
        <v>315</v>
      </c>
      <c r="D58" s="262" t="s">
        <v>365</v>
      </c>
      <c r="E58" s="263">
        <v>9213361</v>
      </c>
      <c r="F58" s="261" t="s">
        <v>212</v>
      </c>
      <c r="G58" s="263">
        <v>9213361</v>
      </c>
      <c r="H58" s="262" t="s">
        <v>315</v>
      </c>
      <c r="I58" s="262" t="s">
        <v>365</v>
      </c>
      <c r="J58" s="262" t="s">
        <v>317</v>
      </c>
      <c r="K58" s="262" t="s">
        <v>173</v>
      </c>
    </row>
    <row r="59" spans="2:11" ht="13.2" customHeight="1">
      <c r="B59" s="261">
        <v>46224</v>
      </c>
      <c r="C59" s="262" t="s">
        <v>315</v>
      </c>
      <c r="D59" s="262" t="s">
        <v>366</v>
      </c>
      <c r="E59" s="263">
        <v>7995856</v>
      </c>
      <c r="F59" s="261" t="s">
        <v>214</v>
      </c>
      <c r="G59" s="263">
        <v>7995856</v>
      </c>
      <c r="H59" s="262" t="s">
        <v>315</v>
      </c>
      <c r="I59" s="262" t="s">
        <v>366</v>
      </c>
      <c r="J59" s="262" t="s">
        <v>319</v>
      </c>
      <c r="K59" s="262" t="s">
        <v>173</v>
      </c>
    </row>
    <row r="60" spans="2:11" ht="13.2" customHeight="1">
      <c r="B60" s="267">
        <v>46226</v>
      </c>
      <c r="C60" s="262" t="s">
        <v>315</v>
      </c>
      <c r="D60" s="262" t="s">
        <v>367</v>
      </c>
      <c r="E60" s="263">
        <v>8984129</v>
      </c>
      <c r="F60" s="267" t="s">
        <v>368</v>
      </c>
      <c r="G60" s="263">
        <v>8984129</v>
      </c>
      <c r="H60" s="262" t="s">
        <v>315</v>
      </c>
      <c r="I60" s="262" t="s">
        <v>367</v>
      </c>
      <c r="J60" s="262" t="s">
        <v>317</v>
      </c>
      <c r="K60" s="262" t="s">
        <v>173</v>
      </c>
    </row>
    <row r="61" spans="2:11" ht="13.2" customHeight="1">
      <c r="B61" s="267">
        <v>46226</v>
      </c>
      <c r="C61" s="262" t="s">
        <v>315</v>
      </c>
      <c r="D61" s="262" t="s">
        <v>369</v>
      </c>
      <c r="E61" s="263">
        <v>11170786</v>
      </c>
      <c r="F61" s="267" t="s">
        <v>368</v>
      </c>
      <c r="G61" s="263">
        <v>11170786</v>
      </c>
      <c r="H61" s="262" t="s">
        <v>315</v>
      </c>
      <c r="I61" s="262" t="s">
        <v>369</v>
      </c>
      <c r="J61" s="262" t="s">
        <v>319</v>
      </c>
      <c r="K61" s="262" t="s">
        <v>173</v>
      </c>
    </row>
    <row r="62" spans="2:11" ht="13.2" customHeight="1">
      <c r="B62" s="268">
        <v>46229</v>
      </c>
      <c r="C62" s="262" t="s">
        <v>315</v>
      </c>
      <c r="D62" s="262" t="s">
        <v>370</v>
      </c>
      <c r="E62" s="263">
        <v>12456320</v>
      </c>
      <c r="F62" s="268" t="s">
        <v>222</v>
      </c>
      <c r="G62" s="263">
        <v>12456320</v>
      </c>
      <c r="H62" s="262" t="s">
        <v>315</v>
      </c>
      <c r="I62" s="262" t="s">
        <v>370</v>
      </c>
      <c r="J62" s="262" t="s">
        <v>317</v>
      </c>
      <c r="K62" s="262" t="s">
        <v>173</v>
      </c>
    </row>
    <row r="63" spans="2:11" ht="13.2" customHeight="1">
      <c r="B63" s="268">
        <v>46229</v>
      </c>
      <c r="C63" s="262" t="s">
        <v>315</v>
      </c>
      <c r="D63" s="262" t="s">
        <v>371</v>
      </c>
      <c r="E63" s="263">
        <v>14549784</v>
      </c>
      <c r="F63" s="268" t="s">
        <v>222</v>
      </c>
      <c r="G63" s="263">
        <v>14549784</v>
      </c>
      <c r="H63" s="262" t="s">
        <v>315</v>
      </c>
      <c r="I63" s="262" t="s">
        <v>371</v>
      </c>
      <c r="J63" s="262" t="s">
        <v>319</v>
      </c>
      <c r="K63" s="262" t="s">
        <v>173</v>
      </c>
    </row>
    <row r="64" spans="2:11" ht="13.2" customHeight="1">
      <c r="B64" s="268">
        <v>46230</v>
      </c>
      <c r="C64" s="262" t="s">
        <v>315</v>
      </c>
      <c r="D64" s="262" t="s">
        <v>372</v>
      </c>
      <c r="E64" s="270">
        <v>7248401</v>
      </c>
      <c r="F64" s="268" t="s">
        <v>373</v>
      </c>
      <c r="G64" s="270">
        <v>7248401</v>
      </c>
      <c r="H64" s="262" t="s">
        <v>315</v>
      </c>
      <c r="I64" s="262" t="s">
        <v>372</v>
      </c>
      <c r="J64" s="262" t="s">
        <v>319</v>
      </c>
      <c r="K64" s="262" t="s">
        <v>173</v>
      </c>
    </row>
    <row r="65" spans="2:11" ht="13.2" customHeight="1">
      <c r="B65" s="268">
        <v>46231</v>
      </c>
      <c r="C65" s="262" t="s">
        <v>315</v>
      </c>
      <c r="D65" s="262" t="s">
        <v>374</v>
      </c>
      <c r="E65" s="263">
        <v>8522833</v>
      </c>
      <c r="F65" s="268" t="s">
        <v>375</v>
      </c>
      <c r="G65" s="263">
        <v>8522833</v>
      </c>
      <c r="H65" s="262" t="s">
        <v>315</v>
      </c>
      <c r="I65" s="262" t="s">
        <v>374</v>
      </c>
      <c r="J65" s="262" t="s">
        <v>317</v>
      </c>
      <c r="K65" s="262" t="s">
        <v>173</v>
      </c>
    </row>
    <row r="66" spans="2:11" ht="13.2" customHeight="1">
      <c r="B66" s="268">
        <v>46231</v>
      </c>
      <c r="C66" s="262" t="s">
        <v>315</v>
      </c>
      <c r="D66" s="262" t="s">
        <v>376</v>
      </c>
      <c r="E66" s="263">
        <v>7248401</v>
      </c>
      <c r="F66" s="268" t="s">
        <v>375</v>
      </c>
      <c r="G66" s="263">
        <v>7248401</v>
      </c>
      <c r="H66" s="262" t="s">
        <v>315</v>
      </c>
      <c r="I66" s="262" t="s">
        <v>376</v>
      </c>
      <c r="J66" s="262" t="s">
        <v>319</v>
      </c>
      <c r="K66" s="262" t="s">
        <v>173</v>
      </c>
    </row>
    <row r="67" spans="2:11" ht="13.2" customHeight="1">
      <c r="B67" s="396" t="s">
        <v>377</v>
      </c>
      <c r="C67" s="384"/>
      <c r="D67" s="54"/>
      <c r="E67" s="272">
        <f>SUM(E15:E66)</f>
        <v>299800991</v>
      </c>
    </row>
  </sheetData>
  <mergeCells count="4">
    <mergeCell ref="C2:C3"/>
    <mergeCell ref="B67:C67"/>
    <mergeCell ref="A2:A3"/>
    <mergeCell ref="B2:B3"/>
  </mergeCells>
  <hyperlinks>
    <hyperlink ref="I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99"/>
  <sheetViews>
    <sheetView workbookViewId="0"/>
  </sheetViews>
  <sheetFormatPr defaultColWidth="12.6640625" defaultRowHeight="15.75" customHeight="1"/>
  <cols>
    <col min="1" max="1" width="4.33203125" style="323" customWidth="1"/>
  </cols>
  <sheetData>
    <row r="1" spans="1:7" ht="15.75" customHeight="1">
      <c r="A1" s="358"/>
      <c r="B1" s="359"/>
      <c r="C1" s="359"/>
      <c r="D1" s="360"/>
      <c r="E1" s="4"/>
      <c r="F1" s="4"/>
      <c r="G1" s="4"/>
    </row>
    <row r="2" spans="1:7" ht="26.4">
      <c r="A2" s="361" t="s">
        <v>0</v>
      </c>
      <c r="B2" s="363" t="s">
        <v>1</v>
      </c>
      <c r="C2" s="8" t="s">
        <v>2</v>
      </c>
      <c r="D2" s="17" t="s">
        <v>309</v>
      </c>
      <c r="E2" s="150" t="s">
        <v>4</v>
      </c>
      <c r="F2" s="150" t="s">
        <v>5</v>
      </c>
      <c r="G2" s="150" t="s">
        <v>6</v>
      </c>
    </row>
    <row r="3" spans="1:7" ht="13.2">
      <c r="A3" s="362"/>
      <c r="B3" s="362"/>
      <c r="C3" s="10">
        <f>+SUM(C4:C34)</f>
        <v>246000000</v>
      </c>
      <c r="D3" s="13">
        <f>SUM(D4:D34)</f>
        <v>310757428.18181813</v>
      </c>
      <c r="E3" s="17">
        <f>SUM(E4:E34)</f>
        <v>101</v>
      </c>
      <c r="F3" s="13">
        <f>SUM(F4:F36)</f>
        <v>408820000</v>
      </c>
      <c r="G3" s="21">
        <f t="shared" ref="G3:G34" si="0">IFERROR(D3/F3,0)</f>
        <v>0.76013264561865401</v>
      </c>
    </row>
    <row r="4" spans="1:7" ht="15.75" customHeight="1">
      <c r="A4" s="23">
        <v>1</v>
      </c>
      <c r="B4" s="25">
        <v>46204</v>
      </c>
      <c r="C4" s="234">
        <v>15000000</v>
      </c>
      <c r="D4" s="304">
        <f>'TQ Huy  CT'!D9</f>
        <v>6657849.9999999991</v>
      </c>
      <c r="E4" s="264">
        <v>7</v>
      </c>
      <c r="F4" s="247">
        <v>21765000</v>
      </c>
      <c r="G4" s="34">
        <f t="shared" si="0"/>
        <v>0.30589708247185843</v>
      </c>
    </row>
    <row r="5" spans="1:7" ht="15.75" customHeight="1">
      <c r="A5" s="35">
        <v>2</v>
      </c>
      <c r="B5" s="36">
        <v>46205</v>
      </c>
      <c r="C5" s="234">
        <v>15000000</v>
      </c>
      <c r="D5" s="305">
        <f>'TQ Huy  CT'!E9</f>
        <v>2588287.2727272725</v>
      </c>
      <c r="E5" s="266">
        <v>4</v>
      </c>
      <c r="F5" s="245">
        <v>12240000</v>
      </c>
      <c r="G5" s="39">
        <f t="shared" si="0"/>
        <v>0.21146137849079025</v>
      </c>
    </row>
    <row r="6" spans="1:7" ht="15.75" customHeight="1">
      <c r="A6" s="23">
        <v>3</v>
      </c>
      <c r="B6" s="25">
        <v>46206</v>
      </c>
      <c r="C6" s="234">
        <v>15000000</v>
      </c>
      <c r="D6" s="304">
        <f>'TQ Huy  CT'!F9</f>
        <v>22239335.454545453</v>
      </c>
      <c r="E6" s="264">
        <v>6</v>
      </c>
      <c r="F6" s="247">
        <v>18740000</v>
      </c>
      <c r="G6" s="34">
        <f t="shared" si="0"/>
        <v>1.1867308140098962</v>
      </c>
    </row>
    <row r="7" spans="1:7" ht="15.75" customHeight="1">
      <c r="A7" s="35">
        <v>4</v>
      </c>
      <c r="B7" s="36">
        <v>46207</v>
      </c>
      <c r="C7" s="234">
        <v>15000000</v>
      </c>
      <c r="D7" s="305">
        <f>'TQ Huy  CT'!G9</f>
        <v>7068731.8181818174</v>
      </c>
      <c r="E7" s="266">
        <v>2</v>
      </c>
      <c r="F7" s="245">
        <v>6660000</v>
      </c>
      <c r="G7" s="39">
        <f t="shared" si="0"/>
        <v>1.0613711438711437</v>
      </c>
    </row>
    <row r="8" spans="1:7" ht="15.75" customHeight="1">
      <c r="A8" s="23">
        <v>5</v>
      </c>
      <c r="B8" s="25">
        <v>46208</v>
      </c>
      <c r="C8" s="234">
        <v>15000000</v>
      </c>
      <c r="D8" s="304">
        <f>'TQ Huy  CT'!H9</f>
        <v>16341011.818181816</v>
      </c>
      <c r="E8" s="264">
        <v>3</v>
      </c>
      <c r="F8" s="247">
        <v>9940000</v>
      </c>
      <c r="G8" s="34">
        <f t="shared" si="0"/>
        <v>1.64396497164807</v>
      </c>
    </row>
    <row r="9" spans="1:7" ht="15.75" customHeight="1">
      <c r="A9" s="35">
        <v>6</v>
      </c>
      <c r="B9" s="36">
        <v>46209</v>
      </c>
      <c r="C9" s="234">
        <v>15000000</v>
      </c>
      <c r="D9" s="305">
        <f>'TQ Huy  CT'!I9</f>
        <v>17305371.818181816</v>
      </c>
      <c r="E9" s="266">
        <v>3</v>
      </c>
      <c r="F9" s="245">
        <v>8730000</v>
      </c>
      <c r="G9" s="39">
        <f t="shared" si="0"/>
        <v>1.9822877225866915</v>
      </c>
    </row>
    <row r="10" spans="1:7" ht="15.75" customHeight="1">
      <c r="A10" s="23">
        <v>7</v>
      </c>
      <c r="B10" s="25">
        <v>46210</v>
      </c>
      <c r="C10" s="234">
        <v>15000000</v>
      </c>
      <c r="D10" s="304">
        <f>'TQ Huy  CT'!J9</f>
        <v>9099639.0909090899</v>
      </c>
      <c r="E10" s="264">
        <v>5</v>
      </c>
      <c r="F10" s="247">
        <v>15875000</v>
      </c>
      <c r="G10" s="34">
        <f t="shared" si="0"/>
        <v>0.57320561202576947</v>
      </c>
    </row>
    <row r="11" spans="1:7" ht="15.75" customHeight="1">
      <c r="A11" s="35">
        <v>8</v>
      </c>
      <c r="B11" s="36">
        <v>46211</v>
      </c>
      <c r="C11" s="234">
        <v>15000000</v>
      </c>
      <c r="D11" s="305">
        <f>'TQ Huy  CT'!K9</f>
        <v>13423787.272727272</v>
      </c>
      <c r="E11" s="266">
        <v>6</v>
      </c>
      <c r="F11" s="247">
        <v>19315000</v>
      </c>
      <c r="G11" s="39">
        <f t="shared" si="0"/>
        <v>0.69499286941378569</v>
      </c>
    </row>
    <row r="12" spans="1:7" ht="15.75" customHeight="1">
      <c r="A12" s="23">
        <v>9</v>
      </c>
      <c r="B12" s="25">
        <v>46212</v>
      </c>
      <c r="C12" s="234">
        <v>15000000</v>
      </c>
      <c r="D12" s="304">
        <f>'TQ Huy  CT'!L9</f>
        <v>3670009.9999999995</v>
      </c>
      <c r="E12" s="264">
        <v>1</v>
      </c>
      <c r="F12" s="247">
        <v>3850000</v>
      </c>
      <c r="G12" s="34">
        <f t="shared" si="0"/>
        <v>0.95324935064935057</v>
      </c>
    </row>
    <row r="13" spans="1:7" ht="15.75" customHeight="1">
      <c r="A13" s="35">
        <v>10</v>
      </c>
      <c r="B13" s="36">
        <v>46213</v>
      </c>
      <c r="C13" s="234">
        <v>15000000</v>
      </c>
      <c r="D13" s="305">
        <f>'TQ Huy  CT'!M9</f>
        <v>7690731.8181818174</v>
      </c>
      <c r="E13" s="264">
        <v>4</v>
      </c>
      <c r="F13" s="245">
        <v>13110000</v>
      </c>
      <c r="G13" s="39">
        <f t="shared" si="0"/>
        <v>0.58663095485749939</v>
      </c>
    </row>
    <row r="14" spans="1:7" ht="15.75" customHeight="1">
      <c r="A14" s="23">
        <v>11</v>
      </c>
      <c r="B14" s="25">
        <v>46214</v>
      </c>
      <c r="C14" s="234">
        <v>15000000</v>
      </c>
      <c r="D14" s="304">
        <f>'TQ Huy  CT'!N9</f>
        <v>11316056.363636363</v>
      </c>
      <c r="E14" s="264">
        <v>3</v>
      </c>
      <c r="F14" s="245">
        <v>9255000</v>
      </c>
      <c r="G14" s="34">
        <f t="shared" si="0"/>
        <v>1.222696527675458</v>
      </c>
    </row>
    <row r="15" spans="1:7" ht="15.75" customHeight="1">
      <c r="A15" s="35">
        <v>12</v>
      </c>
      <c r="B15" s="36">
        <v>46215</v>
      </c>
      <c r="C15" s="234">
        <v>15000000</v>
      </c>
      <c r="D15" s="305">
        <f>'TQ Huy  CT'!O9</f>
        <v>4465834.5454545449</v>
      </c>
      <c r="E15" s="266">
        <v>2</v>
      </c>
      <c r="F15" s="245">
        <v>7030000</v>
      </c>
      <c r="G15" s="39">
        <f t="shared" si="0"/>
        <v>0.63525384714858391</v>
      </c>
    </row>
    <row r="16" spans="1:7" ht="14.4" customHeight="1">
      <c r="A16" s="23">
        <v>13</v>
      </c>
      <c r="B16" s="25">
        <v>46216</v>
      </c>
      <c r="C16" s="234">
        <v>15000000</v>
      </c>
      <c r="D16" s="304">
        <f>'TQ Huy  CT'!P9</f>
        <v>16295150.909090908</v>
      </c>
      <c r="E16" s="264">
        <v>5</v>
      </c>
      <c r="F16" s="245">
        <v>16515000</v>
      </c>
      <c r="G16" s="34">
        <f t="shared" si="0"/>
        <v>0.98668791456802352</v>
      </c>
    </row>
    <row r="17" spans="1:7" ht="14.4" customHeight="1">
      <c r="A17" s="35">
        <v>14</v>
      </c>
      <c r="B17" s="36">
        <v>46217</v>
      </c>
      <c r="C17" s="234">
        <v>15000000</v>
      </c>
      <c r="D17" s="305">
        <f>'TQ Huy  CT'!Q9</f>
        <v>3836414.5454545449</v>
      </c>
      <c r="E17" s="266">
        <v>5</v>
      </c>
      <c r="F17" s="245">
        <v>15585000</v>
      </c>
      <c r="G17" s="34">
        <f t="shared" si="0"/>
        <v>0.2461607023069968</v>
      </c>
    </row>
    <row r="18" spans="1:7" ht="14.4" customHeight="1">
      <c r="A18" s="23">
        <v>15</v>
      </c>
      <c r="B18" s="25">
        <v>46218</v>
      </c>
      <c r="C18" s="234">
        <v>12000000</v>
      </c>
      <c r="D18" s="304">
        <f>'TQ Huy  CT'!R9</f>
        <v>9917607.2727272715</v>
      </c>
      <c r="E18" s="264">
        <v>0</v>
      </c>
      <c r="F18" s="247">
        <v>0</v>
      </c>
      <c r="G18" s="34">
        <f t="shared" si="0"/>
        <v>0</v>
      </c>
    </row>
    <row r="19" spans="1:7" ht="14.4" customHeight="1">
      <c r="A19" s="35">
        <v>16</v>
      </c>
      <c r="B19" s="36">
        <v>46219</v>
      </c>
      <c r="C19" s="234">
        <v>12000000</v>
      </c>
      <c r="D19" s="305">
        <f>'TQ Huy  CT'!S9</f>
        <v>11458157.272727272</v>
      </c>
      <c r="E19" s="266">
        <v>4</v>
      </c>
      <c r="F19" s="245">
        <v>10995000</v>
      </c>
      <c r="G19" s="39">
        <f t="shared" si="0"/>
        <v>1.042124354045227</v>
      </c>
    </row>
    <row r="20" spans="1:7" ht="14.4" customHeight="1">
      <c r="A20" s="23">
        <v>17</v>
      </c>
      <c r="B20" s="25">
        <v>46220</v>
      </c>
      <c r="C20" s="234">
        <v>12000000</v>
      </c>
      <c r="D20" s="305">
        <f>'TQ Huy  CT'!T9</f>
        <v>6598888.1818181816</v>
      </c>
      <c r="E20" s="264">
        <v>4</v>
      </c>
      <c r="F20" s="247">
        <v>14795000</v>
      </c>
      <c r="G20" s="39">
        <f t="shared" si="0"/>
        <v>0.44602150603705182</v>
      </c>
    </row>
    <row r="21" spans="1:7" ht="14.4" customHeight="1">
      <c r="A21" s="35">
        <v>18</v>
      </c>
      <c r="B21" s="36">
        <v>46221</v>
      </c>
      <c r="C21" s="241"/>
      <c r="D21" s="305">
        <f>'TQ Huy  CT'!U9</f>
        <v>6078433.6363636358</v>
      </c>
      <c r="E21" s="266">
        <v>1</v>
      </c>
      <c r="F21" s="245">
        <v>3015000</v>
      </c>
      <c r="G21" s="34">
        <f t="shared" si="0"/>
        <v>2.0160642243328808</v>
      </c>
    </row>
    <row r="22" spans="1:7" ht="14.4" customHeight="1">
      <c r="A22" s="23">
        <v>19</v>
      </c>
      <c r="B22" s="25">
        <v>46222</v>
      </c>
      <c r="C22" s="234"/>
      <c r="D22" s="304">
        <f>'TQ Huy  CT'!V9</f>
        <v>14713877.272727272</v>
      </c>
      <c r="E22" s="264">
        <v>7</v>
      </c>
      <c r="F22" s="247">
        <v>24730000</v>
      </c>
      <c r="G22" s="34">
        <f t="shared" si="0"/>
        <v>0.59498088446127262</v>
      </c>
    </row>
    <row r="23" spans="1:7" ht="14.4" customHeight="1">
      <c r="A23" s="35">
        <v>20</v>
      </c>
      <c r="B23" s="36">
        <v>46223</v>
      </c>
      <c r="C23" s="241"/>
      <c r="D23" s="305">
        <f>'TQ Huy  CT'!W9</f>
        <v>6957442.7272727266</v>
      </c>
      <c r="E23" s="266">
        <v>5</v>
      </c>
      <c r="F23" s="245">
        <v>19260000</v>
      </c>
      <c r="G23" s="34">
        <f t="shared" si="0"/>
        <v>0.36123794014915506</v>
      </c>
    </row>
    <row r="24" spans="1:7" ht="14.4" customHeight="1">
      <c r="A24" s="23">
        <v>21</v>
      </c>
      <c r="B24" s="25">
        <v>46224</v>
      </c>
      <c r="C24" s="234"/>
      <c r="D24" s="304">
        <f>'TQ Huy  CT'!X9</f>
        <v>7752108.1818181816</v>
      </c>
      <c r="E24" s="271">
        <v>3</v>
      </c>
      <c r="F24" s="247">
        <v>8710000</v>
      </c>
      <c r="G24" s="34">
        <f t="shared" si="0"/>
        <v>0.89002390147166266</v>
      </c>
    </row>
    <row r="25" spans="1:7" ht="14.4" customHeight="1">
      <c r="A25" s="35">
        <v>22</v>
      </c>
      <c r="B25" s="36">
        <v>46225</v>
      </c>
      <c r="C25" s="241"/>
      <c r="D25" s="305">
        <f>'TQ Huy  CT'!Y9</f>
        <v>8760480</v>
      </c>
      <c r="E25" s="266">
        <v>7</v>
      </c>
      <c r="F25" s="245">
        <v>21760000</v>
      </c>
      <c r="G25" s="34">
        <f t="shared" si="0"/>
        <v>0.40259558823529412</v>
      </c>
    </row>
    <row r="26" spans="1:7" ht="14.4" customHeight="1">
      <c r="A26" s="23">
        <v>23</v>
      </c>
      <c r="B26" s="25">
        <v>46226</v>
      </c>
      <c r="C26" s="234"/>
      <c r="D26" s="304">
        <f>'TQ Huy  CT'!Z9</f>
        <v>6473571.8181818174</v>
      </c>
      <c r="E26" s="264">
        <v>5</v>
      </c>
      <c r="F26" s="247">
        <v>17325000</v>
      </c>
      <c r="G26" s="39">
        <f t="shared" si="0"/>
        <v>0.37365493900039348</v>
      </c>
    </row>
    <row r="27" spans="1:7" ht="14.4" customHeight="1">
      <c r="A27" s="35">
        <v>24</v>
      </c>
      <c r="B27" s="36">
        <v>46227</v>
      </c>
      <c r="C27" s="241"/>
      <c r="D27" s="305">
        <f>'TQ Huy  CT'!AA9</f>
        <v>10074405.454545453</v>
      </c>
      <c r="E27" s="266">
        <v>2</v>
      </c>
      <c r="F27" s="245">
        <v>6240000</v>
      </c>
      <c r="G27" s="34">
        <f t="shared" si="0"/>
        <v>1.6144880536130535</v>
      </c>
    </row>
    <row r="28" spans="1:7" ht="14.4" customHeight="1">
      <c r="A28" s="23">
        <v>25</v>
      </c>
      <c r="B28" s="25">
        <v>46228</v>
      </c>
      <c r="C28" s="234"/>
      <c r="D28" s="304">
        <f>'TQ Huy  CT'!AB9</f>
        <v>6473571.8181818174</v>
      </c>
      <c r="E28" s="264">
        <v>4</v>
      </c>
      <c r="F28" s="247">
        <v>14180000</v>
      </c>
      <c r="G28" s="34">
        <f t="shared" si="0"/>
        <v>0.45652833696627765</v>
      </c>
    </row>
    <row r="29" spans="1:7" ht="14.4" customHeight="1">
      <c r="A29" s="35">
        <v>26</v>
      </c>
      <c r="B29" s="36">
        <v>46229</v>
      </c>
      <c r="C29" s="241"/>
      <c r="D29" s="305">
        <f>'TQ Huy  CT'!AC9</f>
        <v>12450850.909090908</v>
      </c>
      <c r="E29" s="266">
        <v>3</v>
      </c>
      <c r="F29" s="245">
        <v>8970000</v>
      </c>
      <c r="G29" s="39">
        <f t="shared" si="0"/>
        <v>1.3880547278808149</v>
      </c>
    </row>
    <row r="30" spans="1:7" ht="14.4" customHeight="1">
      <c r="A30" s="23">
        <v>27</v>
      </c>
      <c r="B30" s="25">
        <v>46230</v>
      </c>
      <c r="C30" s="234"/>
      <c r="D30" s="304">
        <f>'TQ Huy  CT'!AD9</f>
        <v>13782514.545454545</v>
      </c>
      <c r="E30" s="264"/>
      <c r="F30" s="247">
        <v>16035000</v>
      </c>
      <c r="G30" s="34">
        <f t="shared" si="0"/>
        <v>0.85952694390112538</v>
      </c>
    </row>
    <row r="31" spans="1:7" ht="14.4" customHeight="1">
      <c r="A31" s="35">
        <v>28</v>
      </c>
      <c r="B31" s="36">
        <v>46231</v>
      </c>
      <c r="C31" s="241"/>
      <c r="D31" s="305">
        <f>'TQ Huy  CT'!AE9</f>
        <v>2360441.8181818179</v>
      </c>
      <c r="E31" s="266"/>
      <c r="F31" s="245">
        <v>5705000</v>
      </c>
      <c r="G31" s="39">
        <f t="shared" si="0"/>
        <v>0.41374966138156316</v>
      </c>
    </row>
    <row r="32" spans="1:7" ht="14.4" customHeight="1">
      <c r="A32" s="23">
        <v>29</v>
      </c>
      <c r="B32" s="25">
        <v>46232</v>
      </c>
      <c r="C32" s="234"/>
      <c r="D32" s="304">
        <f>'TQ Huy  CT'!AF9</f>
        <v>0</v>
      </c>
      <c r="E32" s="264"/>
      <c r="F32" s="247">
        <v>32015000</v>
      </c>
      <c r="G32" s="34">
        <f t="shared" si="0"/>
        <v>0</v>
      </c>
    </row>
    <row r="33" spans="1:7" ht="14.4" customHeight="1">
      <c r="A33" s="35">
        <v>30</v>
      </c>
      <c r="B33" s="36">
        <v>46233</v>
      </c>
      <c r="C33" s="241"/>
      <c r="D33" s="305">
        <f>'TQ Huy  CT'!AG9</f>
        <v>24979794.545454543</v>
      </c>
      <c r="E33" s="266"/>
      <c r="F33" s="245">
        <v>14350000</v>
      </c>
      <c r="G33" s="39">
        <f t="shared" si="0"/>
        <v>1.7407522331327208</v>
      </c>
    </row>
    <row r="34" spans="1:7" ht="14.4" customHeight="1">
      <c r="A34" s="23">
        <v>31</v>
      </c>
      <c r="B34" s="25">
        <v>46234</v>
      </c>
      <c r="C34" s="234"/>
      <c r="D34" s="304">
        <f>'TQ Huy  CT'!AH9</f>
        <v>19927070</v>
      </c>
      <c r="E34" s="264"/>
      <c r="F34" s="247">
        <v>12125000</v>
      </c>
      <c r="G34" s="34">
        <f t="shared" si="0"/>
        <v>1.6434696907216495</v>
      </c>
    </row>
    <row r="35" spans="1:7" ht="14.4" customHeight="1">
      <c r="A35" s="259"/>
      <c r="B35" s="36"/>
      <c r="C35" s="72"/>
      <c r="D35" s="241"/>
      <c r="E35" s="259"/>
      <c r="F35" s="245"/>
      <c r="G35" s="201"/>
    </row>
    <row r="36" spans="1:7" ht="13.2" customHeight="1">
      <c r="B36" s="73"/>
    </row>
    <row r="37" spans="1:7" ht="13.2" customHeight="1">
      <c r="B37" s="73"/>
    </row>
    <row r="38" spans="1:7" ht="13.2" customHeight="1">
      <c r="B38" s="73"/>
    </row>
    <row r="39" spans="1:7" ht="13.2" customHeight="1">
      <c r="B39" s="73"/>
    </row>
    <row r="40" spans="1:7" ht="13.2" customHeight="1">
      <c r="B40" s="73"/>
    </row>
    <row r="41" spans="1:7" ht="13.2" customHeight="1">
      <c r="B41" s="73"/>
    </row>
    <row r="42" spans="1:7" ht="13.2" customHeight="1">
      <c r="B42" s="73"/>
    </row>
    <row r="43" spans="1:7" ht="13.2" customHeight="1">
      <c r="B43" s="73"/>
    </row>
    <row r="44" spans="1:7" ht="13.2" customHeight="1">
      <c r="B44" s="73"/>
    </row>
    <row r="45" spans="1:7" ht="13.2" customHeight="1">
      <c r="B45" s="73"/>
    </row>
    <row r="46" spans="1:7" ht="13.2" customHeight="1">
      <c r="B46" s="73"/>
    </row>
    <row r="47" spans="1:7" ht="13.2" customHeight="1">
      <c r="B47" s="73"/>
    </row>
    <row r="48" spans="1:7" ht="13.2" customHeight="1">
      <c r="B48" s="73"/>
    </row>
    <row r="49" spans="2:2" ht="13.2" customHeight="1">
      <c r="B49" s="73"/>
    </row>
    <row r="50" spans="2:2" ht="13.2" customHeight="1">
      <c r="B50" s="73"/>
    </row>
    <row r="51" spans="2:2" ht="13.2" customHeight="1">
      <c r="B51" s="73"/>
    </row>
    <row r="52" spans="2:2" ht="13.2" customHeight="1">
      <c r="B52" s="73"/>
    </row>
    <row r="53" spans="2:2" ht="13.2" customHeight="1">
      <c r="B53" s="73"/>
    </row>
    <row r="54" spans="2:2" ht="13.2" customHeight="1">
      <c r="B54" s="73"/>
    </row>
    <row r="55" spans="2:2" ht="13.2" customHeight="1">
      <c r="B55" s="73"/>
    </row>
    <row r="56" spans="2:2" ht="13.2" customHeight="1">
      <c r="B56" s="73"/>
    </row>
    <row r="57" spans="2:2" ht="13.2" customHeight="1">
      <c r="B57" s="73"/>
    </row>
    <row r="58" spans="2:2" ht="13.2" customHeight="1">
      <c r="B58" s="73"/>
    </row>
    <row r="59" spans="2:2" ht="13.2" customHeight="1">
      <c r="B59" s="73"/>
    </row>
    <row r="60" spans="2:2" ht="13.2" customHeight="1">
      <c r="B60" s="73"/>
    </row>
    <row r="61" spans="2:2" ht="13.2" customHeight="1">
      <c r="B61" s="73"/>
    </row>
    <row r="62" spans="2:2" ht="13.2" customHeight="1">
      <c r="B62" s="73"/>
    </row>
    <row r="63" spans="2:2" ht="13.2" customHeight="1">
      <c r="B63" s="73"/>
    </row>
    <row r="64" spans="2:2" ht="13.2" customHeight="1">
      <c r="B64" s="73"/>
    </row>
    <row r="65" spans="2:2" ht="13.2" customHeight="1">
      <c r="B65" s="73"/>
    </row>
    <row r="66" spans="2:2" ht="13.2" customHeight="1">
      <c r="B66" s="73"/>
    </row>
    <row r="67" spans="2:2" ht="13.2" customHeight="1">
      <c r="B67" s="73"/>
    </row>
    <row r="68" spans="2:2" ht="13.2" customHeight="1">
      <c r="B68" s="73"/>
    </row>
    <row r="69" spans="2:2" ht="13.2" customHeight="1">
      <c r="B69" s="73"/>
    </row>
    <row r="70" spans="2:2" ht="13.2" customHeight="1">
      <c r="B70" s="73"/>
    </row>
    <row r="71" spans="2:2" ht="13.2" customHeight="1">
      <c r="B71" s="73"/>
    </row>
    <row r="72" spans="2:2" ht="13.2" customHeight="1">
      <c r="B72" s="73"/>
    </row>
    <row r="73" spans="2:2" ht="13.2" customHeight="1">
      <c r="B73" s="73"/>
    </row>
    <row r="74" spans="2:2" ht="13.2" customHeight="1">
      <c r="B74" s="73"/>
    </row>
    <row r="75" spans="2:2" ht="13.2" customHeight="1">
      <c r="B75" s="73"/>
    </row>
    <row r="76" spans="2:2" ht="13.2" customHeight="1">
      <c r="B76" s="73"/>
    </row>
    <row r="77" spans="2:2" ht="13.2" customHeight="1">
      <c r="B77" s="73"/>
    </row>
    <row r="78" spans="2:2" ht="13.2" customHeight="1">
      <c r="B78" s="73"/>
    </row>
    <row r="79" spans="2:2" ht="13.2" customHeight="1">
      <c r="B79" s="73"/>
    </row>
    <row r="80" spans="2:2" ht="13.2" customHeight="1">
      <c r="B80" s="73"/>
    </row>
    <row r="81" spans="2:2" ht="13.2" customHeight="1">
      <c r="B81" s="73"/>
    </row>
    <row r="82" spans="2:2" ht="13.2" customHeight="1">
      <c r="B82" s="73"/>
    </row>
    <row r="83" spans="2:2" ht="13.2" customHeight="1">
      <c r="B83" s="73"/>
    </row>
    <row r="84" spans="2:2" ht="13.2" customHeight="1">
      <c r="B84" s="73"/>
    </row>
    <row r="85" spans="2:2" ht="13.2" customHeight="1">
      <c r="B85" s="73"/>
    </row>
    <row r="86" spans="2:2" ht="13.2" customHeight="1">
      <c r="B86" s="73"/>
    </row>
    <row r="87" spans="2:2" ht="13.2" customHeight="1">
      <c r="B87" s="73"/>
    </row>
    <row r="88" spans="2:2" ht="13.2" customHeight="1">
      <c r="B88" s="73"/>
    </row>
    <row r="89" spans="2:2" ht="13.2" customHeight="1">
      <c r="B89" s="73"/>
    </row>
    <row r="90" spans="2:2" ht="13.2" customHeight="1">
      <c r="B90" s="73"/>
    </row>
    <row r="91" spans="2:2" ht="13.2" customHeight="1">
      <c r="B91" s="73"/>
    </row>
    <row r="92" spans="2:2" ht="13.2" customHeight="1">
      <c r="B92" s="73"/>
    </row>
    <row r="93" spans="2:2" ht="13.2" customHeight="1">
      <c r="B93" s="73"/>
    </row>
    <row r="94" spans="2:2" ht="13.2" customHeight="1">
      <c r="B94" s="73"/>
    </row>
    <row r="95" spans="2:2" ht="13.2" customHeight="1">
      <c r="B95" s="73"/>
    </row>
    <row r="96" spans="2:2" ht="13.2" customHeight="1">
      <c r="B96" s="73"/>
    </row>
    <row r="97" spans="2:2" ht="13.2" customHeight="1">
      <c r="B97" s="73"/>
    </row>
    <row r="98" spans="2:2" ht="13.2" customHeight="1">
      <c r="B98" s="73"/>
    </row>
    <row r="99" spans="2:2" ht="13.2" customHeight="1">
      <c r="B99" s="73"/>
    </row>
    <row r="100" spans="2:2" ht="13.2" customHeight="1">
      <c r="B100" s="73"/>
    </row>
    <row r="101" spans="2:2" ht="13.2" customHeight="1">
      <c r="B101" s="73"/>
    </row>
    <row r="102" spans="2:2" ht="13.2" customHeight="1">
      <c r="B102" s="73"/>
    </row>
    <row r="103" spans="2:2" ht="13.2" customHeight="1">
      <c r="B103" s="73"/>
    </row>
    <row r="104" spans="2:2" ht="13.2" customHeight="1">
      <c r="B104" s="73"/>
    </row>
    <row r="105" spans="2:2" ht="13.2" customHeight="1">
      <c r="B105" s="73"/>
    </row>
    <row r="106" spans="2:2" ht="13.2" customHeight="1">
      <c r="B106" s="73"/>
    </row>
    <row r="107" spans="2:2" ht="13.2" customHeight="1">
      <c r="B107" s="73"/>
    </row>
    <row r="108" spans="2:2" ht="13.2" customHeight="1">
      <c r="B108" s="73"/>
    </row>
    <row r="109" spans="2:2" ht="13.2" customHeight="1">
      <c r="B109" s="73"/>
    </row>
    <row r="110" spans="2:2" ht="13.2" customHeight="1">
      <c r="B110" s="73"/>
    </row>
    <row r="111" spans="2:2" ht="13.2" customHeight="1">
      <c r="B111" s="73"/>
    </row>
    <row r="112" spans="2:2" ht="13.2" customHeight="1">
      <c r="B112" s="73"/>
    </row>
    <row r="113" spans="2:2" ht="13.2" customHeight="1">
      <c r="B113" s="73"/>
    </row>
    <row r="114" spans="2:2" ht="13.2" customHeight="1">
      <c r="B114" s="73"/>
    </row>
    <row r="115" spans="2:2" ht="13.2" customHeight="1">
      <c r="B115" s="73"/>
    </row>
    <row r="116" spans="2:2" ht="13.2" customHeight="1">
      <c r="B116" s="73"/>
    </row>
    <row r="117" spans="2:2" ht="13.2" customHeight="1">
      <c r="B117" s="73"/>
    </row>
    <row r="118" spans="2:2" ht="13.2" customHeight="1">
      <c r="B118" s="73"/>
    </row>
    <row r="119" spans="2:2" ht="13.2" customHeight="1">
      <c r="B119" s="73"/>
    </row>
    <row r="120" spans="2:2" ht="13.2" customHeight="1">
      <c r="B120" s="73"/>
    </row>
    <row r="121" spans="2:2" ht="13.2" customHeight="1">
      <c r="B121" s="73"/>
    </row>
    <row r="122" spans="2:2" ht="13.2" customHeight="1">
      <c r="B122" s="73"/>
    </row>
    <row r="123" spans="2:2" ht="13.2" customHeight="1">
      <c r="B123" s="73"/>
    </row>
    <row r="124" spans="2:2" ht="13.2" customHeight="1">
      <c r="B124" s="73"/>
    </row>
    <row r="125" spans="2:2" ht="13.2" customHeight="1">
      <c r="B125" s="73"/>
    </row>
    <row r="126" spans="2:2" ht="13.2" customHeight="1">
      <c r="B126" s="73"/>
    </row>
    <row r="127" spans="2:2" ht="13.2" customHeight="1">
      <c r="B127" s="73"/>
    </row>
    <row r="128" spans="2:2" ht="13.2" customHeight="1">
      <c r="B128" s="73"/>
    </row>
    <row r="129" spans="2:2" ht="13.2" customHeight="1">
      <c r="B129" s="73"/>
    </row>
    <row r="130" spans="2:2" ht="13.2" customHeight="1">
      <c r="B130" s="73"/>
    </row>
    <row r="131" spans="2:2" ht="13.2" customHeight="1">
      <c r="B131" s="73"/>
    </row>
    <row r="132" spans="2:2" ht="13.2" customHeight="1">
      <c r="B132" s="73"/>
    </row>
    <row r="133" spans="2:2" ht="13.2" customHeight="1">
      <c r="B133" s="73"/>
    </row>
    <row r="134" spans="2:2" ht="13.2" customHeight="1">
      <c r="B134" s="73"/>
    </row>
    <row r="135" spans="2:2" ht="13.2" customHeight="1">
      <c r="B135" s="73"/>
    </row>
    <row r="136" spans="2:2" ht="13.2" customHeight="1">
      <c r="B136" s="73"/>
    </row>
    <row r="137" spans="2:2" ht="13.2" customHeight="1">
      <c r="B137" s="73"/>
    </row>
    <row r="138" spans="2:2" ht="13.2" customHeight="1">
      <c r="B138" s="73"/>
    </row>
    <row r="139" spans="2:2" ht="13.2" customHeight="1">
      <c r="B139" s="73"/>
    </row>
    <row r="140" spans="2:2" ht="13.2" customHeight="1">
      <c r="B140" s="73"/>
    </row>
    <row r="141" spans="2:2" ht="13.2" customHeight="1">
      <c r="B141" s="73"/>
    </row>
    <row r="142" spans="2:2" ht="13.2" customHeight="1">
      <c r="B142" s="73"/>
    </row>
    <row r="143" spans="2:2" ht="13.2" customHeight="1">
      <c r="B143" s="73"/>
    </row>
    <row r="144" spans="2:2" ht="13.2" customHeight="1">
      <c r="B144" s="73"/>
    </row>
    <row r="145" spans="2:2" ht="13.2" customHeight="1">
      <c r="B145" s="73"/>
    </row>
    <row r="146" spans="2:2" ht="13.2" customHeight="1">
      <c r="B146" s="73"/>
    </row>
    <row r="147" spans="2:2" ht="13.2" customHeight="1">
      <c r="B147" s="73"/>
    </row>
    <row r="148" spans="2:2" ht="13.2" customHeight="1">
      <c r="B148" s="73"/>
    </row>
    <row r="149" spans="2:2" ht="13.2" customHeight="1">
      <c r="B149" s="73"/>
    </row>
    <row r="150" spans="2:2" ht="13.2" customHeight="1">
      <c r="B150" s="73"/>
    </row>
    <row r="151" spans="2:2" ht="13.2" customHeight="1">
      <c r="B151" s="73"/>
    </row>
    <row r="152" spans="2:2" ht="13.2" customHeight="1">
      <c r="B152" s="73"/>
    </row>
    <row r="153" spans="2:2" ht="13.2" customHeight="1">
      <c r="B153" s="73"/>
    </row>
    <row r="154" spans="2:2" ht="13.2" customHeight="1">
      <c r="B154" s="73"/>
    </row>
    <row r="155" spans="2:2" ht="13.2" customHeight="1">
      <c r="B155" s="73"/>
    </row>
    <row r="156" spans="2:2" ht="13.2" customHeight="1">
      <c r="B156" s="73"/>
    </row>
    <row r="157" spans="2:2" ht="13.2" customHeight="1">
      <c r="B157" s="73"/>
    </row>
    <row r="158" spans="2:2" ht="13.2" customHeight="1">
      <c r="B158" s="73"/>
    </row>
    <row r="159" spans="2:2" ht="13.2" customHeight="1">
      <c r="B159" s="73"/>
    </row>
    <row r="160" spans="2:2" ht="13.2" customHeight="1">
      <c r="B160" s="73"/>
    </row>
    <row r="161" spans="2:2" ht="13.2" customHeight="1">
      <c r="B161" s="73"/>
    </row>
    <row r="162" spans="2:2" ht="13.2" customHeight="1">
      <c r="B162" s="73"/>
    </row>
    <row r="163" spans="2:2" ht="13.2" customHeight="1">
      <c r="B163" s="73"/>
    </row>
    <row r="164" spans="2:2" ht="13.2" customHeight="1">
      <c r="B164" s="73"/>
    </row>
    <row r="165" spans="2:2" ht="13.2" customHeight="1">
      <c r="B165" s="73"/>
    </row>
    <row r="166" spans="2:2" ht="13.2" customHeight="1">
      <c r="B166" s="73"/>
    </row>
    <row r="167" spans="2:2" ht="13.2" customHeight="1">
      <c r="B167" s="73"/>
    </row>
    <row r="168" spans="2:2" ht="13.2" customHeight="1">
      <c r="B168" s="73"/>
    </row>
    <row r="169" spans="2:2" ht="13.2" customHeight="1">
      <c r="B169" s="73"/>
    </row>
    <row r="170" spans="2:2" ht="13.2" customHeight="1">
      <c r="B170" s="73"/>
    </row>
    <row r="171" spans="2:2" ht="13.2" customHeight="1">
      <c r="B171" s="73"/>
    </row>
    <row r="172" spans="2:2" ht="13.2" customHeight="1">
      <c r="B172" s="73"/>
    </row>
    <row r="173" spans="2:2" ht="13.2" customHeight="1">
      <c r="B173" s="73"/>
    </row>
    <row r="174" spans="2:2" ht="13.2" customHeight="1">
      <c r="B174" s="73"/>
    </row>
    <row r="175" spans="2:2" ht="13.2" customHeight="1">
      <c r="B175" s="73"/>
    </row>
    <row r="176" spans="2:2" ht="13.2" customHeight="1">
      <c r="B176" s="73"/>
    </row>
    <row r="177" spans="2:2" ht="13.2" customHeight="1">
      <c r="B177" s="73"/>
    </row>
    <row r="178" spans="2:2" ht="13.2" customHeight="1">
      <c r="B178" s="73"/>
    </row>
    <row r="179" spans="2:2" ht="13.2" customHeight="1">
      <c r="B179" s="73"/>
    </row>
    <row r="180" spans="2:2" ht="13.2" customHeight="1">
      <c r="B180" s="73"/>
    </row>
    <row r="181" spans="2:2" ht="13.2" customHeight="1">
      <c r="B181" s="73"/>
    </row>
    <row r="182" spans="2:2" ht="13.2" customHeight="1">
      <c r="B182" s="73"/>
    </row>
    <row r="183" spans="2:2" ht="13.2" customHeight="1">
      <c r="B183" s="73"/>
    </row>
    <row r="184" spans="2:2" ht="13.2" customHeight="1">
      <c r="B184" s="73"/>
    </row>
    <row r="185" spans="2:2" ht="13.2" customHeight="1">
      <c r="B185" s="73"/>
    </row>
    <row r="186" spans="2:2" ht="13.2" customHeight="1">
      <c r="B186" s="73"/>
    </row>
    <row r="187" spans="2:2" ht="13.2" customHeight="1">
      <c r="B187" s="73"/>
    </row>
    <row r="188" spans="2:2" ht="13.2" customHeight="1">
      <c r="B188" s="73"/>
    </row>
    <row r="189" spans="2:2" ht="13.2" customHeight="1">
      <c r="B189" s="73"/>
    </row>
    <row r="190" spans="2:2" ht="13.2" customHeight="1">
      <c r="B190" s="73"/>
    </row>
    <row r="191" spans="2:2" ht="13.2" customHeight="1">
      <c r="B191" s="73"/>
    </row>
    <row r="192" spans="2:2" ht="13.2" customHeight="1">
      <c r="B192" s="73"/>
    </row>
    <row r="193" spans="2:2" ht="13.2" customHeight="1">
      <c r="B193" s="73"/>
    </row>
    <row r="194" spans="2:2" ht="13.2" customHeight="1">
      <c r="B194" s="73"/>
    </row>
    <row r="195" spans="2:2" ht="13.2" customHeight="1">
      <c r="B195" s="73"/>
    </row>
    <row r="196" spans="2:2" ht="13.2" customHeight="1">
      <c r="B196" s="73"/>
    </row>
    <row r="197" spans="2:2" ht="13.2" customHeight="1">
      <c r="B197" s="73"/>
    </row>
    <row r="198" spans="2:2" ht="13.2" customHeight="1">
      <c r="B198" s="73"/>
    </row>
    <row r="199" spans="2:2" ht="13.2" customHeight="1">
      <c r="B199" s="73"/>
    </row>
    <row r="200" spans="2:2" ht="13.2" customHeight="1">
      <c r="B200" s="73"/>
    </row>
    <row r="201" spans="2:2" ht="13.2" customHeight="1">
      <c r="B201" s="73"/>
    </row>
    <row r="202" spans="2:2" ht="13.2" customHeight="1">
      <c r="B202" s="73"/>
    </row>
    <row r="203" spans="2:2" ht="13.2" customHeight="1">
      <c r="B203" s="73"/>
    </row>
    <row r="204" spans="2:2" ht="13.2" customHeight="1">
      <c r="B204" s="73"/>
    </row>
    <row r="205" spans="2:2" ht="13.2" customHeight="1">
      <c r="B205" s="73"/>
    </row>
    <row r="206" spans="2:2" ht="13.2" customHeight="1">
      <c r="B206" s="73"/>
    </row>
    <row r="207" spans="2:2" ht="13.2" customHeight="1">
      <c r="B207" s="73"/>
    </row>
    <row r="208" spans="2:2" ht="13.2" customHeight="1">
      <c r="B208" s="73"/>
    </row>
    <row r="209" spans="2:2" ht="13.2" customHeight="1">
      <c r="B209" s="73"/>
    </row>
    <row r="210" spans="2:2" ht="13.2" customHeight="1">
      <c r="B210" s="73"/>
    </row>
    <row r="211" spans="2:2" ht="13.2" customHeight="1">
      <c r="B211" s="73"/>
    </row>
    <row r="212" spans="2:2" ht="13.2" customHeight="1">
      <c r="B212" s="73"/>
    </row>
    <row r="213" spans="2:2" ht="13.2" customHeight="1">
      <c r="B213" s="73"/>
    </row>
    <row r="214" spans="2:2" ht="13.2" customHeight="1">
      <c r="B214" s="73"/>
    </row>
    <row r="215" spans="2:2" ht="13.2" customHeight="1">
      <c r="B215" s="73"/>
    </row>
    <row r="216" spans="2:2" ht="13.2" customHeight="1">
      <c r="B216" s="73"/>
    </row>
    <row r="217" spans="2:2" ht="13.2" customHeight="1">
      <c r="B217" s="73"/>
    </row>
    <row r="218" spans="2:2" ht="13.2" customHeight="1">
      <c r="B218" s="73"/>
    </row>
    <row r="219" spans="2:2" ht="13.2" customHeight="1">
      <c r="B219" s="73"/>
    </row>
    <row r="220" spans="2:2" ht="13.2" customHeight="1">
      <c r="B220" s="73"/>
    </row>
    <row r="221" spans="2:2" ht="13.2" customHeight="1">
      <c r="B221" s="73"/>
    </row>
    <row r="222" spans="2:2" ht="13.2" customHeight="1">
      <c r="B222" s="73"/>
    </row>
    <row r="223" spans="2:2" ht="13.2" customHeight="1">
      <c r="B223" s="73"/>
    </row>
    <row r="224" spans="2:2" ht="13.2" customHeight="1">
      <c r="B224" s="73"/>
    </row>
    <row r="225" spans="2:2" ht="13.2" customHeight="1">
      <c r="B225" s="73"/>
    </row>
    <row r="226" spans="2:2" ht="13.2" customHeight="1">
      <c r="B226" s="73"/>
    </row>
    <row r="227" spans="2:2" ht="13.2" customHeight="1">
      <c r="B227" s="73"/>
    </row>
    <row r="228" spans="2:2" ht="13.2" customHeight="1">
      <c r="B228" s="73"/>
    </row>
    <row r="229" spans="2:2" ht="13.2" customHeight="1">
      <c r="B229" s="73"/>
    </row>
    <row r="230" spans="2:2" ht="13.2" customHeight="1">
      <c r="B230" s="73"/>
    </row>
    <row r="231" spans="2:2" ht="13.2" customHeight="1">
      <c r="B231" s="73"/>
    </row>
    <row r="232" spans="2:2" ht="13.2" customHeight="1">
      <c r="B232" s="73"/>
    </row>
    <row r="233" spans="2:2" ht="13.2" customHeight="1">
      <c r="B233" s="73"/>
    </row>
    <row r="234" spans="2:2" ht="13.2" customHeight="1">
      <c r="B234" s="73"/>
    </row>
    <row r="235" spans="2:2" ht="13.2" customHeight="1">
      <c r="B235" s="73"/>
    </row>
    <row r="236" spans="2:2" ht="13.2" customHeight="1">
      <c r="B236" s="73"/>
    </row>
    <row r="237" spans="2:2" ht="13.2" customHeight="1">
      <c r="B237" s="73"/>
    </row>
    <row r="238" spans="2:2" ht="13.2" customHeight="1">
      <c r="B238" s="73"/>
    </row>
    <row r="239" spans="2:2" ht="13.2" customHeight="1">
      <c r="B239" s="73"/>
    </row>
    <row r="240" spans="2:2" ht="13.2" customHeight="1">
      <c r="B240" s="73"/>
    </row>
    <row r="241" spans="2:2" ht="13.2" customHeight="1">
      <c r="B241" s="73"/>
    </row>
    <row r="242" spans="2:2" ht="13.2" customHeight="1">
      <c r="B242" s="73"/>
    </row>
    <row r="243" spans="2:2" ht="13.2" customHeight="1">
      <c r="B243" s="73"/>
    </row>
    <row r="244" spans="2:2" ht="13.2" customHeight="1">
      <c r="B244" s="73"/>
    </row>
    <row r="245" spans="2:2" ht="13.2" customHeight="1">
      <c r="B245" s="73"/>
    </row>
    <row r="246" spans="2:2" ht="13.2" customHeight="1">
      <c r="B246" s="73"/>
    </row>
    <row r="247" spans="2:2" ht="13.2" customHeight="1">
      <c r="B247" s="73"/>
    </row>
    <row r="248" spans="2:2" ht="13.2" customHeight="1">
      <c r="B248" s="73"/>
    </row>
    <row r="249" spans="2:2" ht="13.2" customHeight="1">
      <c r="B249" s="73"/>
    </row>
    <row r="250" spans="2:2" ht="13.2" customHeight="1">
      <c r="B250" s="73"/>
    </row>
    <row r="251" spans="2:2" ht="13.2" customHeight="1">
      <c r="B251" s="73"/>
    </row>
    <row r="252" spans="2:2" ht="13.2" customHeight="1">
      <c r="B252" s="73"/>
    </row>
    <row r="253" spans="2:2" ht="13.2" customHeight="1">
      <c r="B253" s="73"/>
    </row>
    <row r="254" spans="2:2" ht="13.2" customHeight="1">
      <c r="B254" s="73"/>
    </row>
    <row r="255" spans="2:2" ht="13.2" customHeight="1">
      <c r="B255" s="73"/>
    </row>
    <row r="256" spans="2:2" ht="13.2" customHeight="1">
      <c r="B256" s="73"/>
    </row>
    <row r="257" spans="2:2" ht="13.2" customHeight="1">
      <c r="B257" s="73"/>
    </row>
    <row r="258" spans="2:2" ht="13.2" customHeight="1">
      <c r="B258" s="73"/>
    </row>
    <row r="259" spans="2:2" ht="13.2" customHeight="1">
      <c r="B259" s="73"/>
    </row>
    <row r="260" spans="2:2" ht="13.2" customHeight="1">
      <c r="B260" s="73"/>
    </row>
    <row r="261" spans="2:2" ht="13.2" customHeight="1">
      <c r="B261" s="73"/>
    </row>
    <row r="262" spans="2:2" ht="13.2" customHeight="1">
      <c r="B262" s="73"/>
    </row>
    <row r="263" spans="2:2" ht="13.2" customHeight="1">
      <c r="B263" s="73"/>
    </row>
    <row r="264" spans="2:2" ht="13.2" customHeight="1">
      <c r="B264" s="73"/>
    </row>
    <row r="265" spans="2:2" ht="13.2" customHeight="1">
      <c r="B265" s="73"/>
    </row>
    <row r="266" spans="2:2" ht="13.2" customHeight="1">
      <c r="B266" s="73"/>
    </row>
    <row r="267" spans="2:2" ht="13.2" customHeight="1">
      <c r="B267" s="73"/>
    </row>
    <row r="268" spans="2:2" ht="13.2" customHeight="1">
      <c r="B268" s="73"/>
    </row>
    <row r="269" spans="2:2" ht="13.2" customHeight="1">
      <c r="B269" s="73"/>
    </row>
    <row r="270" spans="2:2" ht="13.2" customHeight="1">
      <c r="B270" s="73"/>
    </row>
    <row r="271" spans="2:2" ht="13.2" customHeight="1">
      <c r="B271" s="73"/>
    </row>
    <row r="272" spans="2:2" ht="13.2" customHeight="1">
      <c r="B272" s="73"/>
    </row>
    <row r="273" spans="2:2" ht="13.2" customHeight="1">
      <c r="B273" s="73"/>
    </row>
    <row r="274" spans="2:2" ht="13.2" customHeight="1">
      <c r="B274" s="73"/>
    </row>
    <row r="275" spans="2:2" ht="13.2" customHeight="1">
      <c r="B275" s="73"/>
    </row>
    <row r="276" spans="2:2" ht="13.2" customHeight="1">
      <c r="B276" s="73"/>
    </row>
    <row r="277" spans="2:2" ht="13.2" customHeight="1">
      <c r="B277" s="73"/>
    </row>
    <row r="278" spans="2:2" ht="13.2" customHeight="1">
      <c r="B278" s="73"/>
    </row>
    <row r="279" spans="2:2" ht="13.2" customHeight="1">
      <c r="B279" s="73"/>
    </row>
    <row r="280" spans="2:2" ht="13.2" customHeight="1">
      <c r="B280" s="73"/>
    </row>
    <row r="281" spans="2:2" ht="13.2" customHeight="1">
      <c r="B281" s="73"/>
    </row>
    <row r="282" spans="2:2" ht="13.2" customHeight="1">
      <c r="B282" s="73"/>
    </row>
    <row r="283" spans="2:2" ht="13.2" customHeight="1">
      <c r="B283" s="73"/>
    </row>
    <row r="284" spans="2:2" ht="13.2" customHeight="1">
      <c r="B284" s="73"/>
    </row>
    <row r="285" spans="2:2" ht="13.2" customHeight="1">
      <c r="B285" s="73"/>
    </row>
    <row r="286" spans="2:2" ht="13.2" customHeight="1">
      <c r="B286" s="73"/>
    </row>
    <row r="287" spans="2:2" ht="13.2" customHeight="1">
      <c r="B287" s="73"/>
    </row>
    <row r="288" spans="2:2" ht="13.2" customHeight="1">
      <c r="B288" s="73"/>
    </row>
    <row r="289" spans="2:2" ht="13.2" customHeight="1">
      <c r="B289" s="73"/>
    </row>
    <row r="290" spans="2:2" ht="13.2" customHeight="1">
      <c r="B290" s="73"/>
    </row>
    <row r="291" spans="2:2" ht="13.2" customHeight="1">
      <c r="B291" s="73"/>
    </row>
    <row r="292" spans="2:2" ht="13.2" customHeight="1">
      <c r="B292" s="73"/>
    </row>
    <row r="293" spans="2:2" ht="13.2" customHeight="1">
      <c r="B293" s="73"/>
    </row>
    <row r="294" spans="2:2" ht="13.2" customHeight="1">
      <c r="B294" s="73"/>
    </row>
    <row r="295" spans="2:2" ht="13.2" customHeight="1">
      <c r="B295" s="73"/>
    </row>
    <row r="296" spans="2:2" ht="13.2" customHeight="1">
      <c r="B296" s="73"/>
    </row>
    <row r="297" spans="2:2" ht="13.2" customHeight="1">
      <c r="B297" s="73"/>
    </row>
    <row r="298" spans="2:2" ht="13.2" customHeight="1">
      <c r="B298" s="73"/>
    </row>
    <row r="299" spans="2:2" ht="13.2" customHeight="1">
      <c r="B299" s="73"/>
    </row>
    <row r="300" spans="2:2" ht="13.2" customHeight="1">
      <c r="B300" s="73"/>
    </row>
    <row r="301" spans="2:2" ht="13.2" customHeight="1">
      <c r="B301" s="73"/>
    </row>
    <row r="302" spans="2:2" ht="13.2" customHeight="1">
      <c r="B302" s="73"/>
    </row>
    <row r="303" spans="2:2" ht="13.2" customHeight="1">
      <c r="B303" s="73"/>
    </row>
    <row r="304" spans="2:2" ht="13.2" customHeight="1">
      <c r="B304" s="73"/>
    </row>
    <row r="305" spans="2:2" ht="13.2" customHeight="1">
      <c r="B305" s="73"/>
    </row>
    <row r="306" spans="2:2" ht="13.2" customHeight="1">
      <c r="B306" s="73"/>
    </row>
    <row r="307" spans="2:2" ht="13.2" customHeight="1">
      <c r="B307" s="73"/>
    </row>
    <row r="308" spans="2:2" ht="13.2" customHeight="1">
      <c r="B308" s="73"/>
    </row>
    <row r="309" spans="2:2" ht="13.2" customHeight="1">
      <c r="B309" s="73"/>
    </row>
    <row r="310" spans="2:2" ht="13.2" customHeight="1">
      <c r="B310" s="73"/>
    </row>
    <row r="311" spans="2:2" ht="13.2" customHeight="1">
      <c r="B311" s="73"/>
    </row>
    <row r="312" spans="2:2" ht="13.2" customHeight="1">
      <c r="B312" s="73"/>
    </row>
    <row r="313" spans="2:2" ht="13.2" customHeight="1">
      <c r="B313" s="73"/>
    </row>
    <row r="314" spans="2:2" ht="13.2" customHeight="1">
      <c r="B314" s="73"/>
    </row>
    <row r="315" spans="2:2" ht="13.2" customHeight="1">
      <c r="B315" s="73"/>
    </row>
    <row r="316" spans="2:2" ht="13.2" customHeight="1">
      <c r="B316" s="73"/>
    </row>
    <row r="317" spans="2:2" ht="13.2" customHeight="1">
      <c r="B317" s="73"/>
    </row>
    <row r="318" spans="2:2" ht="13.2" customHeight="1">
      <c r="B318" s="73"/>
    </row>
    <row r="319" spans="2:2" ht="13.2" customHeight="1">
      <c r="B319" s="73"/>
    </row>
    <row r="320" spans="2:2" ht="13.2" customHeight="1">
      <c r="B320" s="73"/>
    </row>
    <row r="321" spans="2:2" ht="13.2" customHeight="1">
      <c r="B321" s="73"/>
    </row>
    <row r="322" spans="2:2" ht="13.2" customHeight="1">
      <c r="B322" s="73"/>
    </row>
    <row r="323" spans="2:2" ht="13.2" customHeight="1">
      <c r="B323" s="73"/>
    </row>
    <row r="324" spans="2:2" ht="13.2" customHeight="1">
      <c r="B324" s="73"/>
    </row>
    <row r="325" spans="2:2" ht="13.2" customHeight="1">
      <c r="B325" s="73"/>
    </row>
    <row r="326" spans="2:2" ht="13.2" customHeight="1">
      <c r="B326" s="73"/>
    </row>
    <row r="327" spans="2:2" ht="13.2" customHeight="1">
      <c r="B327" s="73"/>
    </row>
    <row r="328" spans="2:2" ht="13.2" customHeight="1">
      <c r="B328" s="73"/>
    </row>
    <row r="329" spans="2:2" ht="13.2" customHeight="1">
      <c r="B329" s="73"/>
    </row>
    <row r="330" spans="2:2" ht="13.2" customHeight="1">
      <c r="B330" s="73"/>
    </row>
    <row r="331" spans="2:2" ht="13.2" customHeight="1">
      <c r="B331" s="73"/>
    </row>
    <row r="332" spans="2:2" ht="13.2" customHeight="1">
      <c r="B332" s="73"/>
    </row>
    <row r="333" spans="2:2" ht="13.2" customHeight="1">
      <c r="B333" s="73"/>
    </row>
    <row r="334" spans="2:2" ht="13.2" customHeight="1">
      <c r="B334" s="73"/>
    </row>
    <row r="335" spans="2:2" ht="13.2" customHeight="1">
      <c r="B335" s="73"/>
    </row>
    <row r="336" spans="2:2" ht="13.2" customHeight="1">
      <c r="B336" s="73"/>
    </row>
    <row r="337" spans="2:2" ht="13.2" customHeight="1">
      <c r="B337" s="73"/>
    </row>
    <row r="338" spans="2:2" ht="13.2" customHeight="1">
      <c r="B338" s="73"/>
    </row>
    <row r="339" spans="2:2" ht="13.2" customHeight="1">
      <c r="B339" s="73"/>
    </row>
    <row r="340" spans="2:2" ht="13.2" customHeight="1">
      <c r="B340" s="73"/>
    </row>
    <row r="341" spans="2:2" ht="13.2" customHeight="1">
      <c r="B341" s="73"/>
    </row>
    <row r="342" spans="2:2" ht="13.2" customHeight="1">
      <c r="B342" s="73"/>
    </row>
    <row r="343" spans="2:2" ht="13.2" customHeight="1">
      <c r="B343" s="73"/>
    </row>
    <row r="344" spans="2:2" ht="13.2" customHeight="1">
      <c r="B344" s="73"/>
    </row>
    <row r="345" spans="2:2" ht="13.2" customHeight="1">
      <c r="B345" s="73"/>
    </row>
    <row r="346" spans="2:2" ht="13.2" customHeight="1">
      <c r="B346" s="73"/>
    </row>
    <row r="347" spans="2:2" ht="13.2" customHeight="1">
      <c r="B347" s="73"/>
    </row>
    <row r="348" spans="2:2" ht="13.2" customHeight="1">
      <c r="B348" s="73"/>
    </row>
    <row r="349" spans="2:2" ht="13.2" customHeight="1">
      <c r="B349" s="73"/>
    </row>
    <row r="350" spans="2:2" ht="13.2" customHeight="1">
      <c r="B350" s="73"/>
    </row>
    <row r="351" spans="2:2" ht="13.2" customHeight="1">
      <c r="B351" s="73"/>
    </row>
    <row r="352" spans="2:2" ht="13.2" customHeight="1">
      <c r="B352" s="73"/>
    </row>
    <row r="353" spans="2:2" ht="13.2" customHeight="1">
      <c r="B353" s="73"/>
    </row>
    <row r="354" spans="2:2" ht="13.2" customHeight="1">
      <c r="B354" s="73"/>
    </row>
    <row r="355" spans="2:2" ht="13.2" customHeight="1">
      <c r="B355" s="73"/>
    </row>
    <row r="356" spans="2:2" ht="13.2" customHeight="1">
      <c r="B356" s="73"/>
    </row>
    <row r="357" spans="2:2" ht="13.2" customHeight="1">
      <c r="B357" s="73"/>
    </row>
    <row r="358" spans="2:2" ht="13.2" customHeight="1">
      <c r="B358" s="73"/>
    </row>
    <row r="359" spans="2:2" ht="13.2" customHeight="1">
      <c r="B359" s="73"/>
    </row>
    <row r="360" spans="2:2" ht="13.2" customHeight="1">
      <c r="B360" s="73"/>
    </row>
    <row r="361" spans="2:2" ht="13.2" customHeight="1">
      <c r="B361" s="73"/>
    </row>
    <row r="362" spans="2:2" ht="13.2" customHeight="1">
      <c r="B362" s="73"/>
    </row>
    <row r="363" spans="2:2" ht="13.2" customHeight="1">
      <c r="B363" s="73"/>
    </row>
    <row r="364" spans="2:2" ht="13.2" customHeight="1">
      <c r="B364" s="73"/>
    </row>
    <row r="365" spans="2:2" ht="13.2" customHeight="1">
      <c r="B365" s="73"/>
    </row>
    <row r="366" spans="2:2" ht="13.2" customHeight="1">
      <c r="B366" s="73"/>
    </row>
    <row r="367" spans="2:2" ht="13.2" customHeight="1">
      <c r="B367" s="73"/>
    </row>
    <row r="368" spans="2:2" ht="13.2" customHeight="1">
      <c r="B368" s="73"/>
    </row>
    <row r="369" spans="2:2" ht="13.2" customHeight="1">
      <c r="B369" s="73"/>
    </row>
    <row r="370" spans="2:2" ht="13.2" customHeight="1">
      <c r="B370" s="73"/>
    </row>
    <row r="371" spans="2:2" ht="13.2" customHeight="1">
      <c r="B371" s="73"/>
    </row>
    <row r="372" spans="2:2" ht="13.2" customHeight="1">
      <c r="B372" s="73"/>
    </row>
    <row r="373" spans="2:2" ht="13.2" customHeight="1">
      <c r="B373" s="73"/>
    </row>
    <row r="374" spans="2:2" ht="13.2" customHeight="1">
      <c r="B374" s="73"/>
    </row>
    <row r="375" spans="2:2" ht="13.2" customHeight="1">
      <c r="B375" s="73"/>
    </row>
    <row r="376" spans="2:2" ht="13.2" customHeight="1">
      <c r="B376" s="73"/>
    </row>
    <row r="377" spans="2:2" ht="13.2" customHeight="1">
      <c r="B377" s="73"/>
    </row>
    <row r="378" spans="2:2" ht="13.2" customHeight="1">
      <c r="B378" s="73"/>
    </row>
    <row r="379" spans="2:2" ht="13.2" customHeight="1">
      <c r="B379" s="73"/>
    </row>
    <row r="380" spans="2:2" ht="13.2" customHeight="1">
      <c r="B380" s="73"/>
    </row>
    <row r="381" spans="2:2" ht="13.2" customHeight="1">
      <c r="B381" s="73"/>
    </row>
    <row r="382" spans="2:2" ht="13.2" customHeight="1">
      <c r="B382" s="73"/>
    </row>
    <row r="383" spans="2:2" ht="13.2" customHeight="1">
      <c r="B383" s="73"/>
    </row>
    <row r="384" spans="2:2" ht="13.2" customHeight="1">
      <c r="B384" s="73"/>
    </row>
    <row r="385" spans="2:2" ht="13.2" customHeight="1">
      <c r="B385" s="73"/>
    </row>
    <row r="386" spans="2:2" ht="13.2" customHeight="1">
      <c r="B386" s="73"/>
    </row>
    <row r="387" spans="2:2" ht="13.2" customHeight="1">
      <c r="B387" s="73"/>
    </row>
    <row r="388" spans="2:2" ht="13.2" customHeight="1">
      <c r="B388" s="73"/>
    </row>
    <row r="389" spans="2:2" ht="13.2" customHeight="1">
      <c r="B389" s="73"/>
    </row>
    <row r="390" spans="2:2" ht="13.2" customHeight="1">
      <c r="B390" s="73"/>
    </row>
    <row r="391" spans="2:2" ht="13.2" customHeight="1">
      <c r="B391" s="73"/>
    </row>
    <row r="392" spans="2:2" ht="13.2" customHeight="1">
      <c r="B392" s="73"/>
    </row>
    <row r="393" spans="2:2" ht="13.2" customHeight="1">
      <c r="B393" s="73"/>
    </row>
    <row r="394" spans="2:2" ht="13.2" customHeight="1">
      <c r="B394" s="73"/>
    </row>
    <row r="395" spans="2:2" ht="13.2" customHeight="1">
      <c r="B395" s="73"/>
    </row>
    <row r="396" spans="2:2" ht="13.2" customHeight="1">
      <c r="B396" s="73"/>
    </row>
    <row r="397" spans="2:2" ht="13.2" customHeight="1">
      <c r="B397" s="73"/>
    </row>
    <row r="398" spans="2:2" ht="13.2" customHeight="1">
      <c r="B398" s="73"/>
    </row>
    <row r="399" spans="2:2" ht="13.2" customHeight="1">
      <c r="B399" s="73"/>
    </row>
    <row r="400" spans="2:2" ht="13.2" customHeight="1">
      <c r="B400" s="73"/>
    </row>
    <row r="401" spans="2:2" ht="13.2" customHeight="1">
      <c r="B401" s="73"/>
    </row>
    <row r="402" spans="2:2" ht="13.2" customHeight="1">
      <c r="B402" s="73"/>
    </row>
    <row r="403" spans="2:2" ht="13.2" customHeight="1">
      <c r="B403" s="73"/>
    </row>
    <row r="404" spans="2:2" ht="13.2" customHeight="1">
      <c r="B404" s="73"/>
    </row>
    <row r="405" spans="2:2" ht="13.2" customHeight="1">
      <c r="B405" s="73"/>
    </row>
    <row r="406" spans="2:2" ht="13.2" customHeight="1">
      <c r="B406" s="73"/>
    </row>
    <row r="407" spans="2:2" ht="13.2" customHeight="1">
      <c r="B407" s="73"/>
    </row>
    <row r="408" spans="2:2" ht="13.2" customHeight="1">
      <c r="B408" s="73"/>
    </row>
    <row r="409" spans="2:2" ht="13.2" customHeight="1">
      <c r="B409" s="73"/>
    </row>
    <row r="410" spans="2:2" ht="13.2" customHeight="1">
      <c r="B410" s="73"/>
    </row>
    <row r="411" spans="2:2" ht="13.2" customHeight="1">
      <c r="B411" s="73"/>
    </row>
    <row r="412" spans="2:2" ht="13.2" customHeight="1">
      <c r="B412" s="73"/>
    </row>
    <row r="413" spans="2:2" ht="13.2" customHeight="1">
      <c r="B413" s="73"/>
    </row>
    <row r="414" spans="2:2" ht="13.2" customHeight="1">
      <c r="B414" s="73"/>
    </row>
    <row r="415" spans="2:2" ht="13.2" customHeight="1">
      <c r="B415" s="73"/>
    </row>
    <row r="416" spans="2:2" ht="13.2" customHeight="1">
      <c r="B416" s="73"/>
    </row>
    <row r="417" spans="2:2" ht="13.2" customHeight="1">
      <c r="B417" s="73"/>
    </row>
    <row r="418" spans="2:2" ht="13.2" customHeight="1">
      <c r="B418" s="73"/>
    </row>
    <row r="419" spans="2:2" ht="13.2" customHeight="1">
      <c r="B419" s="73"/>
    </row>
    <row r="420" spans="2:2" ht="13.2" customHeight="1">
      <c r="B420" s="73"/>
    </row>
    <row r="421" spans="2:2" ht="13.2" customHeight="1">
      <c r="B421" s="73"/>
    </row>
    <row r="422" spans="2:2" ht="13.2" customHeight="1">
      <c r="B422" s="73"/>
    </row>
    <row r="423" spans="2:2" ht="13.2" customHeight="1">
      <c r="B423" s="73"/>
    </row>
    <row r="424" spans="2:2" ht="13.2" customHeight="1">
      <c r="B424" s="73"/>
    </row>
    <row r="425" spans="2:2" ht="13.2" customHeight="1">
      <c r="B425" s="73"/>
    </row>
    <row r="426" spans="2:2" ht="13.2" customHeight="1">
      <c r="B426" s="73"/>
    </row>
    <row r="427" spans="2:2" ht="13.2" customHeight="1">
      <c r="B427" s="73"/>
    </row>
    <row r="428" spans="2:2" ht="13.2" customHeight="1">
      <c r="B428" s="73"/>
    </row>
    <row r="429" spans="2:2" ht="13.2" customHeight="1">
      <c r="B429" s="73"/>
    </row>
    <row r="430" spans="2:2" ht="13.2" customHeight="1">
      <c r="B430" s="73"/>
    </row>
    <row r="431" spans="2:2" ht="13.2" customHeight="1">
      <c r="B431" s="73"/>
    </row>
    <row r="432" spans="2:2" ht="13.2" customHeight="1">
      <c r="B432" s="73"/>
    </row>
    <row r="433" spans="2:2" ht="13.2" customHeight="1">
      <c r="B433" s="73"/>
    </row>
    <row r="434" spans="2:2" ht="13.2" customHeight="1">
      <c r="B434" s="73"/>
    </row>
    <row r="435" spans="2:2" ht="13.2" customHeight="1">
      <c r="B435" s="73"/>
    </row>
    <row r="436" spans="2:2" ht="13.2" customHeight="1">
      <c r="B436" s="73"/>
    </row>
    <row r="437" spans="2:2" ht="13.2" customHeight="1">
      <c r="B437" s="73"/>
    </row>
    <row r="438" spans="2:2" ht="13.2" customHeight="1">
      <c r="B438" s="73"/>
    </row>
    <row r="439" spans="2:2" ht="13.2" customHeight="1">
      <c r="B439" s="73"/>
    </row>
    <row r="440" spans="2:2" ht="13.2" customHeight="1">
      <c r="B440" s="73"/>
    </row>
    <row r="441" spans="2:2" ht="13.2" customHeight="1">
      <c r="B441" s="73"/>
    </row>
    <row r="442" spans="2:2" ht="13.2" customHeight="1">
      <c r="B442" s="73"/>
    </row>
    <row r="443" spans="2:2" ht="13.2" customHeight="1">
      <c r="B443" s="73"/>
    </row>
    <row r="444" spans="2:2" ht="13.2" customHeight="1">
      <c r="B444" s="73"/>
    </row>
    <row r="445" spans="2:2" ht="13.2" customHeight="1">
      <c r="B445" s="73"/>
    </row>
    <row r="446" spans="2:2" ht="13.2" customHeight="1">
      <c r="B446" s="73"/>
    </row>
    <row r="447" spans="2:2" ht="13.2" customHeight="1">
      <c r="B447" s="73"/>
    </row>
    <row r="448" spans="2:2" ht="13.2" customHeight="1">
      <c r="B448" s="73"/>
    </row>
    <row r="449" spans="2:2" ht="13.2" customHeight="1">
      <c r="B449" s="73"/>
    </row>
    <row r="450" spans="2:2" ht="13.2" customHeight="1">
      <c r="B450" s="73"/>
    </row>
    <row r="451" spans="2:2" ht="13.2" customHeight="1">
      <c r="B451" s="73"/>
    </row>
    <row r="452" spans="2:2" ht="13.2" customHeight="1">
      <c r="B452" s="73"/>
    </row>
    <row r="453" spans="2:2" ht="13.2" customHeight="1">
      <c r="B453" s="73"/>
    </row>
    <row r="454" spans="2:2" ht="13.2" customHeight="1">
      <c r="B454" s="73"/>
    </row>
    <row r="455" spans="2:2" ht="13.2" customHeight="1">
      <c r="B455" s="73"/>
    </row>
    <row r="456" spans="2:2" ht="13.2" customHeight="1">
      <c r="B456" s="73"/>
    </row>
    <row r="457" spans="2:2" ht="13.2" customHeight="1">
      <c r="B457" s="73"/>
    </row>
    <row r="458" spans="2:2" ht="13.2" customHeight="1">
      <c r="B458" s="73"/>
    </row>
    <row r="459" spans="2:2" ht="13.2" customHeight="1">
      <c r="B459" s="73"/>
    </row>
    <row r="460" spans="2:2" ht="13.2" customHeight="1">
      <c r="B460" s="73"/>
    </row>
    <row r="461" spans="2:2" ht="13.2" customHeight="1">
      <c r="B461" s="73"/>
    </row>
    <row r="462" spans="2:2" ht="13.2" customHeight="1">
      <c r="B462" s="73"/>
    </row>
    <row r="463" spans="2:2" ht="13.2" customHeight="1">
      <c r="B463" s="73"/>
    </row>
    <row r="464" spans="2:2" ht="13.2" customHeight="1">
      <c r="B464" s="73"/>
    </row>
    <row r="465" spans="2:2" ht="13.2" customHeight="1">
      <c r="B465" s="73"/>
    </row>
    <row r="466" spans="2:2" ht="13.2" customHeight="1">
      <c r="B466" s="73"/>
    </row>
    <row r="467" spans="2:2" ht="13.2" customHeight="1">
      <c r="B467" s="73"/>
    </row>
    <row r="468" spans="2:2" ht="13.2" customHeight="1">
      <c r="B468" s="73"/>
    </row>
    <row r="469" spans="2:2" ht="13.2" customHeight="1">
      <c r="B469" s="73"/>
    </row>
    <row r="470" spans="2:2" ht="13.2" customHeight="1">
      <c r="B470" s="73"/>
    </row>
    <row r="471" spans="2:2" ht="13.2" customHeight="1">
      <c r="B471" s="73"/>
    </row>
    <row r="472" spans="2:2" ht="13.2" customHeight="1">
      <c r="B472" s="73"/>
    </row>
    <row r="473" spans="2:2" ht="13.2" customHeight="1">
      <c r="B473" s="73"/>
    </row>
    <row r="474" spans="2:2" ht="13.2" customHeight="1">
      <c r="B474" s="73"/>
    </row>
    <row r="475" spans="2:2" ht="13.2" customHeight="1">
      <c r="B475" s="73"/>
    </row>
    <row r="476" spans="2:2" ht="13.2" customHeight="1">
      <c r="B476" s="73"/>
    </row>
    <row r="477" spans="2:2" ht="13.2" customHeight="1">
      <c r="B477" s="73"/>
    </row>
    <row r="478" spans="2:2" ht="13.2" customHeight="1">
      <c r="B478" s="73"/>
    </row>
    <row r="479" spans="2:2" ht="13.2" customHeight="1">
      <c r="B479" s="73"/>
    </row>
    <row r="480" spans="2:2" ht="13.2" customHeight="1">
      <c r="B480" s="73"/>
    </row>
    <row r="481" spans="2:2" ht="13.2" customHeight="1">
      <c r="B481" s="73"/>
    </row>
    <row r="482" spans="2:2" ht="13.2" customHeight="1">
      <c r="B482" s="73"/>
    </row>
    <row r="483" spans="2:2" ht="13.2" customHeight="1">
      <c r="B483" s="73"/>
    </row>
    <row r="484" spans="2:2" ht="13.2" customHeight="1">
      <c r="B484" s="73"/>
    </row>
    <row r="485" spans="2:2" ht="13.2" customHeight="1">
      <c r="B485" s="73"/>
    </row>
    <row r="486" spans="2:2" ht="13.2" customHeight="1">
      <c r="B486" s="73"/>
    </row>
    <row r="487" spans="2:2" ht="13.2" customHeight="1">
      <c r="B487" s="73"/>
    </row>
    <row r="488" spans="2:2" ht="13.2" customHeight="1">
      <c r="B488" s="73"/>
    </row>
    <row r="489" spans="2:2" ht="13.2" customHeight="1">
      <c r="B489" s="73"/>
    </row>
    <row r="490" spans="2:2" ht="13.2" customHeight="1">
      <c r="B490" s="73"/>
    </row>
    <row r="491" spans="2:2" ht="13.2" customHeight="1">
      <c r="B491" s="73"/>
    </row>
    <row r="492" spans="2:2" ht="13.2" customHeight="1">
      <c r="B492" s="73"/>
    </row>
    <row r="493" spans="2:2" ht="13.2" customHeight="1">
      <c r="B493" s="73"/>
    </row>
    <row r="494" spans="2:2" ht="13.2" customHeight="1">
      <c r="B494" s="73"/>
    </row>
    <row r="495" spans="2:2" ht="13.2" customHeight="1">
      <c r="B495" s="73"/>
    </row>
    <row r="496" spans="2:2" ht="13.2" customHeight="1">
      <c r="B496" s="73"/>
    </row>
    <row r="497" spans="2:2" ht="13.2" customHeight="1">
      <c r="B497" s="73"/>
    </row>
    <row r="498" spans="2:2" ht="13.2" customHeight="1">
      <c r="B498" s="73"/>
    </row>
    <row r="499" spans="2:2" ht="13.2" customHeight="1">
      <c r="B499" s="73"/>
    </row>
    <row r="500" spans="2:2" ht="13.2" customHeight="1">
      <c r="B500" s="73"/>
    </row>
    <row r="501" spans="2:2" ht="13.2" customHeight="1">
      <c r="B501" s="73"/>
    </row>
    <row r="502" spans="2:2" ht="13.2" customHeight="1">
      <c r="B502" s="73"/>
    </row>
    <row r="503" spans="2:2" ht="13.2" customHeight="1">
      <c r="B503" s="73"/>
    </row>
    <row r="504" spans="2:2" ht="13.2" customHeight="1">
      <c r="B504" s="73"/>
    </row>
    <row r="505" spans="2:2" ht="13.2" customHeight="1">
      <c r="B505" s="73"/>
    </row>
    <row r="506" spans="2:2" ht="13.2" customHeight="1">
      <c r="B506" s="73"/>
    </row>
    <row r="507" spans="2:2" ht="13.2" customHeight="1">
      <c r="B507" s="73"/>
    </row>
    <row r="508" spans="2:2" ht="13.2" customHeight="1">
      <c r="B508" s="73"/>
    </row>
    <row r="509" spans="2:2" ht="13.2" customHeight="1">
      <c r="B509" s="73"/>
    </row>
    <row r="510" spans="2:2" ht="13.2" customHeight="1">
      <c r="B510" s="73"/>
    </row>
    <row r="511" spans="2:2" ht="13.2" customHeight="1">
      <c r="B511" s="73"/>
    </row>
    <row r="512" spans="2:2" ht="13.2" customHeight="1">
      <c r="B512" s="73"/>
    </row>
    <row r="513" spans="2:2" ht="13.2" customHeight="1">
      <c r="B513" s="73"/>
    </row>
    <row r="514" spans="2:2" ht="13.2" customHeight="1">
      <c r="B514" s="73"/>
    </row>
    <row r="515" spans="2:2" ht="13.2" customHeight="1">
      <c r="B515" s="73"/>
    </row>
    <row r="516" spans="2:2" ht="13.2" customHeight="1">
      <c r="B516" s="73"/>
    </row>
    <row r="517" spans="2:2" ht="13.2" customHeight="1">
      <c r="B517" s="73"/>
    </row>
    <row r="518" spans="2:2" ht="13.2" customHeight="1">
      <c r="B518" s="73"/>
    </row>
    <row r="519" spans="2:2" ht="13.2" customHeight="1">
      <c r="B519" s="73"/>
    </row>
    <row r="520" spans="2:2" ht="13.2" customHeight="1">
      <c r="B520" s="73"/>
    </row>
    <row r="521" spans="2:2" ht="13.2" customHeight="1">
      <c r="B521" s="73"/>
    </row>
    <row r="522" spans="2:2" ht="13.2" customHeight="1">
      <c r="B522" s="73"/>
    </row>
    <row r="523" spans="2:2" ht="13.2" customHeight="1">
      <c r="B523" s="73"/>
    </row>
    <row r="524" spans="2:2" ht="13.2" customHeight="1">
      <c r="B524" s="73"/>
    </row>
    <row r="525" spans="2:2" ht="13.2" customHeight="1">
      <c r="B525" s="73"/>
    </row>
    <row r="526" spans="2:2" ht="13.2" customHeight="1">
      <c r="B526" s="73"/>
    </row>
    <row r="527" spans="2:2" ht="13.2" customHeight="1">
      <c r="B527" s="73"/>
    </row>
    <row r="528" spans="2:2" ht="13.2" customHeight="1">
      <c r="B528" s="73"/>
    </row>
    <row r="529" spans="2:2" ht="13.2" customHeight="1">
      <c r="B529" s="73"/>
    </row>
    <row r="530" spans="2:2" ht="13.2" customHeight="1">
      <c r="B530" s="73"/>
    </row>
    <row r="531" spans="2:2" ht="13.2" customHeight="1">
      <c r="B531" s="73"/>
    </row>
    <row r="532" spans="2:2" ht="13.2" customHeight="1">
      <c r="B532" s="73"/>
    </row>
    <row r="533" spans="2:2" ht="13.2" customHeight="1">
      <c r="B533" s="73"/>
    </row>
    <row r="534" spans="2:2" ht="13.2" customHeight="1">
      <c r="B534" s="73"/>
    </row>
    <row r="535" spans="2:2" ht="13.2" customHeight="1">
      <c r="B535" s="73"/>
    </row>
    <row r="536" spans="2:2" ht="13.2" customHeight="1">
      <c r="B536" s="73"/>
    </row>
    <row r="537" spans="2:2" ht="13.2" customHeight="1">
      <c r="B537" s="73"/>
    </row>
    <row r="538" spans="2:2" ht="13.2" customHeight="1">
      <c r="B538" s="73"/>
    </row>
    <row r="539" spans="2:2" ht="13.2" customHeight="1">
      <c r="B539" s="73"/>
    </row>
    <row r="540" spans="2:2" ht="13.2" customHeight="1">
      <c r="B540" s="73"/>
    </row>
    <row r="541" spans="2:2" ht="13.2" customHeight="1">
      <c r="B541" s="73"/>
    </row>
    <row r="542" spans="2:2" ht="13.2" customHeight="1">
      <c r="B542" s="73"/>
    </row>
    <row r="543" spans="2:2" ht="13.2" customHeight="1">
      <c r="B543" s="73"/>
    </row>
    <row r="544" spans="2:2" ht="13.2" customHeight="1">
      <c r="B544" s="73"/>
    </row>
    <row r="545" spans="2:2" ht="13.2" customHeight="1">
      <c r="B545" s="73"/>
    </row>
    <row r="546" spans="2:2" ht="13.2" customHeight="1">
      <c r="B546" s="73"/>
    </row>
    <row r="547" spans="2:2" ht="13.2" customHeight="1">
      <c r="B547" s="73"/>
    </row>
    <row r="548" spans="2:2" ht="13.2" customHeight="1">
      <c r="B548" s="73"/>
    </row>
    <row r="549" spans="2:2" ht="13.2" customHeight="1">
      <c r="B549" s="73"/>
    </row>
    <row r="550" spans="2:2" ht="13.2" customHeight="1">
      <c r="B550" s="73"/>
    </row>
    <row r="551" spans="2:2" ht="13.2" customHeight="1">
      <c r="B551" s="73"/>
    </row>
    <row r="552" spans="2:2" ht="13.2" customHeight="1">
      <c r="B552" s="73"/>
    </row>
    <row r="553" spans="2:2" ht="13.2" customHeight="1">
      <c r="B553" s="73"/>
    </row>
    <row r="554" spans="2:2" ht="13.2" customHeight="1">
      <c r="B554" s="73"/>
    </row>
    <row r="555" spans="2:2" ht="13.2" customHeight="1">
      <c r="B555" s="73"/>
    </row>
    <row r="556" spans="2:2" ht="13.2" customHeight="1">
      <c r="B556" s="73"/>
    </row>
    <row r="557" spans="2:2" ht="13.2" customHeight="1">
      <c r="B557" s="73"/>
    </row>
    <row r="558" spans="2:2" ht="13.2" customHeight="1">
      <c r="B558" s="73"/>
    </row>
    <row r="559" spans="2:2" ht="13.2" customHeight="1">
      <c r="B559" s="73"/>
    </row>
    <row r="560" spans="2:2" ht="13.2" customHeight="1">
      <c r="B560" s="73"/>
    </row>
    <row r="561" spans="2:2" ht="13.2" customHeight="1">
      <c r="B561" s="73"/>
    </row>
    <row r="562" spans="2:2" ht="13.2" customHeight="1">
      <c r="B562" s="73"/>
    </row>
    <row r="563" spans="2:2" ht="13.2" customHeight="1">
      <c r="B563" s="73"/>
    </row>
    <row r="564" spans="2:2" ht="13.2" customHeight="1">
      <c r="B564" s="73"/>
    </row>
    <row r="565" spans="2:2" ht="13.2" customHeight="1">
      <c r="B565" s="73"/>
    </row>
    <row r="566" spans="2:2" ht="13.2" customHeight="1">
      <c r="B566" s="73"/>
    </row>
    <row r="567" spans="2:2" ht="13.2" customHeight="1">
      <c r="B567" s="73"/>
    </row>
    <row r="568" spans="2:2" ht="13.2" customHeight="1">
      <c r="B568" s="73"/>
    </row>
    <row r="569" spans="2:2" ht="13.2" customHeight="1">
      <c r="B569" s="73"/>
    </row>
    <row r="570" spans="2:2" ht="13.2" customHeight="1">
      <c r="B570" s="73"/>
    </row>
    <row r="571" spans="2:2" ht="13.2" customHeight="1">
      <c r="B571" s="73"/>
    </row>
    <row r="572" spans="2:2" ht="13.2" customHeight="1">
      <c r="B572" s="73"/>
    </row>
    <row r="573" spans="2:2" ht="13.2" customHeight="1">
      <c r="B573" s="73"/>
    </row>
    <row r="574" spans="2:2" ht="13.2" customHeight="1">
      <c r="B574" s="73"/>
    </row>
    <row r="575" spans="2:2" ht="13.2" customHeight="1">
      <c r="B575" s="73"/>
    </row>
    <row r="576" spans="2:2" ht="13.2" customHeight="1">
      <c r="B576" s="73"/>
    </row>
    <row r="577" spans="2:2" ht="13.2" customHeight="1">
      <c r="B577" s="73"/>
    </row>
    <row r="578" spans="2:2" ht="13.2" customHeight="1">
      <c r="B578" s="73"/>
    </row>
    <row r="579" spans="2:2" ht="13.2" customHeight="1">
      <c r="B579" s="73"/>
    </row>
    <row r="580" spans="2:2" ht="13.2" customHeight="1">
      <c r="B580" s="73"/>
    </row>
    <row r="581" spans="2:2" ht="13.2" customHeight="1">
      <c r="B581" s="73"/>
    </row>
    <row r="582" spans="2:2" ht="13.2" customHeight="1">
      <c r="B582" s="73"/>
    </row>
    <row r="583" spans="2:2" ht="13.2" customHeight="1">
      <c r="B583" s="73"/>
    </row>
    <row r="584" spans="2:2" ht="13.2" customHeight="1">
      <c r="B584" s="73"/>
    </row>
    <row r="585" spans="2:2" ht="13.2" customHeight="1">
      <c r="B585" s="73"/>
    </row>
    <row r="586" spans="2:2" ht="13.2" customHeight="1">
      <c r="B586" s="73"/>
    </row>
    <row r="587" spans="2:2" ht="13.2" customHeight="1">
      <c r="B587" s="73"/>
    </row>
    <row r="588" spans="2:2" ht="13.2" customHeight="1">
      <c r="B588" s="73"/>
    </row>
    <row r="589" spans="2:2" ht="13.2" customHeight="1">
      <c r="B589" s="73"/>
    </row>
    <row r="590" spans="2:2" ht="13.2" customHeight="1">
      <c r="B590" s="73"/>
    </row>
    <row r="591" spans="2:2" ht="13.2" customHeight="1">
      <c r="B591" s="73"/>
    </row>
    <row r="592" spans="2:2" ht="13.2" customHeight="1">
      <c r="B592" s="73"/>
    </row>
    <row r="593" spans="2:2" ht="13.2" customHeight="1">
      <c r="B593" s="73"/>
    </row>
    <row r="594" spans="2:2" ht="13.2" customHeight="1">
      <c r="B594" s="73"/>
    </row>
    <row r="595" spans="2:2" ht="13.2" customHeight="1">
      <c r="B595" s="73"/>
    </row>
    <row r="596" spans="2:2" ht="13.2" customHeight="1">
      <c r="B596" s="73"/>
    </row>
    <row r="597" spans="2:2" ht="13.2" customHeight="1">
      <c r="B597" s="73"/>
    </row>
    <row r="598" spans="2:2" ht="13.2" customHeight="1">
      <c r="B598" s="73"/>
    </row>
    <row r="599" spans="2:2" ht="13.2" customHeight="1">
      <c r="B599" s="73"/>
    </row>
    <row r="600" spans="2:2" ht="13.2" customHeight="1">
      <c r="B600" s="73"/>
    </row>
    <row r="601" spans="2:2" ht="13.2" customHeight="1">
      <c r="B601" s="73"/>
    </row>
    <row r="602" spans="2:2" ht="13.2" customHeight="1">
      <c r="B602" s="73"/>
    </row>
    <row r="603" spans="2:2" ht="13.2" customHeight="1">
      <c r="B603" s="73"/>
    </row>
    <row r="604" spans="2:2" ht="13.2" customHeight="1">
      <c r="B604" s="73"/>
    </row>
    <row r="605" spans="2:2" ht="13.2" customHeight="1">
      <c r="B605" s="73"/>
    </row>
    <row r="606" spans="2:2" ht="13.2" customHeight="1">
      <c r="B606" s="73"/>
    </row>
    <row r="607" spans="2:2" ht="13.2" customHeight="1">
      <c r="B607" s="73"/>
    </row>
    <row r="608" spans="2:2" ht="13.2" customHeight="1">
      <c r="B608" s="73"/>
    </row>
    <row r="609" spans="2:2" ht="13.2" customHeight="1">
      <c r="B609" s="73"/>
    </row>
    <row r="610" spans="2:2" ht="13.2" customHeight="1">
      <c r="B610" s="73"/>
    </row>
    <row r="611" spans="2:2" ht="13.2" customHeight="1">
      <c r="B611" s="73"/>
    </row>
    <row r="612" spans="2:2" ht="13.2" customHeight="1">
      <c r="B612" s="73"/>
    </row>
    <row r="613" spans="2:2" ht="13.2" customHeight="1">
      <c r="B613" s="73"/>
    </row>
    <row r="614" spans="2:2" ht="13.2" customHeight="1">
      <c r="B614" s="73"/>
    </row>
    <row r="615" spans="2:2" ht="13.2" customHeight="1">
      <c r="B615" s="73"/>
    </row>
    <row r="616" spans="2:2" ht="13.2" customHeight="1">
      <c r="B616" s="73"/>
    </row>
    <row r="617" spans="2:2" ht="13.2" customHeight="1">
      <c r="B617" s="73"/>
    </row>
    <row r="618" spans="2:2" ht="13.2" customHeight="1">
      <c r="B618" s="73"/>
    </row>
    <row r="619" spans="2:2" ht="13.2" customHeight="1">
      <c r="B619" s="73"/>
    </row>
    <row r="620" spans="2:2" ht="13.2" customHeight="1">
      <c r="B620" s="73"/>
    </row>
    <row r="621" spans="2:2" ht="13.2" customHeight="1">
      <c r="B621" s="73"/>
    </row>
    <row r="622" spans="2:2" ht="13.2" customHeight="1">
      <c r="B622" s="73"/>
    </row>
    <row r="623" spans="2:2" ht="13.2" customHeight="1">
      <c r="B623" s="73"/>
    </row>
    <row r="624" spans="2:2" ht="13.2" customHeight="1">
      <c r="B624" s="73"/>
    </row>
    <row r="625" spans="2:2" ht="13.2" customHeight="1">
      <c r="B625" s="73"/>
    </row>
    <row r="626" spans="2:2" ht="13.2" customHeight="1">
      <c r="B626" s="73"/>
    </row>
    <row r="627" spans="2:2" ht="13.2" customHeight="1">
      <c r="B627" s="73"/>
    </row>
    <row r="628" spans="2:2" ht="13.2" customHeight="1">
      <c r="B628" s="73"/>
    </row>
    <row r="629" spans="2:2" ht="13.2" customHeight="1">
      <c r="B629" s="73"/>
    </row>
    <row r="630" spans="2:2" ht="13.2" customHeight="1">
      <c r="B630" s="73"/>
    </row>
    <row r="631" spans="2:2" ht="13.2" customHeight="1">
      <c r="B631" s="73"/>
    </row>
    <row r="632" spans="2:2" ht="13.2" customHeight="1">
      <c r="B632" s="73"/>
    </row>
    <row r="633" spans="2:2" ht="13.2" customHeight="1">
      <c r="B633" s="73"/>
    </row>
    <row r="634" spans="2:2" ht="13.2" customHeight="1">
      <c r="B634" s="73"/>
    </row>
    <row r="635" spans="2:2" ht="13.2" customHeight="1">
      <c r="B635" s="73"/>
    </row>
    <row r="636" spans="2:2" ht="13.2" customHeight="1">
      <c r="B636" s="73"/>
    </row>
    <row r="637" spans="2:2" ht="13.2" customHeight="1">
      <c r="B637" s="73"/>
    </row>
    <row r="638" spans="2:2" ht="13.2" customHeight="1">
      <c r="B638" s="73"/>
    </row>
    <row r="639" spans="2:2" ht="13.2" customHeight="1">
      <c r="B639" s="73"/>
    </row>
    <row r="640" spans="2:2" ht="13.2" customHeight="1">
      <c r="B640" s="73"/>
    </row>
    <row r="641" spans="2:2" ht="13.2" customHeight="1">
      <c r="B641" s="73"/>
    </row>
    <row r="642" spans="2:2" ht="13.2" customHeight="1">
      <c r="B642" s="73"/>
    </row>
    <row r="643" spans="2:2" ht="13.2" customHeight="1">
      <c r="B643" s="73"/>
    </row>
    <row r="644" spans="2:2" ht="13.2" customHeight="1">
      <c r="B644" s="73"/>
    </row>
    <row r="645" spans="2:2" ht="13.2" customHeight="1">
      <c r="B645" s="73"/>
    </row>
    <row r="646" spans="2:2" ht="13.2" customHeight="1">
      <c r="B646" s="73"/>
    </row>
    <row r="647" spans="2:2" ht="13.2" customHeight="1">
      <c r="B647" s="73"/>
    </row>
    <row r="648" spans="2:2" ht="13.2" customHeight="1">
      <c r="B648" s="73"/>
    </row>
    <row r="649" spans="2:2" ht="13.2" customHeight="1">
      <c r="B649" s="73"/>
    </row>
    <row r="650" spans="2:2" ht="13.2" customHeight="1">
      <c r="B650" s="73"/>
    </row>
    <row r="651" spans="2:2" ht="13.2" customHeight="1">
      <c r="B651" s="73"/>
    </row>
    <row r="652" spans="2:2" ht="13.2" customHeight="1">
      <c r="B652" s="73"/>
    </row>
    <row r="653" spans="2:2" ht="13.2" customHeight="1">
      <c r="B653" s="73"/>
    </row>
    <row r="654" spans="2:2" ht="13.2" customHeight="1">
      <c r="B654" s="73"/>
    </row>
    <row r="655" spans="2:2" ht="13.2" customHeight="1">
      <c r="B655" s="73"/>
    </row>
    <row r="656" spans="2:2" ht="13.2" customHeight="1">
      <c r="B656" s="73"/>
    </row>
    <row r="657" spans="2:2" ht="13.2" customHeight="1">
      <c r="B657" s="73"/>
    </row>
    <row r="658" spans="2:2" ht="13.2" customHeight="1">
      <c r="B658" s="73"/>
    </row>
    <row r="659" spans="2:2" ht="13.2" customHeight="1">
      <c r="B659" s="73"/>
    </row>
    <row r="660" spans="2:2" ht="13.2" customHeight="1">
      <c r="B660" s="73"/>
    </row>
    <row r="661" spans="2:2" ht="13.2" customHeight="1">
      <c r="B661" s="73"/>
    </row>
    <row r="662" spans="2:2" ht="13.2" customHeight="1">
      <c r="B662" s="73"/>
    </row>
    <row r="663" spans="2:2" ht="13.2" customHeight="1">
      <c r="B663" s="73"/>
    </row>
    <row r="664" spans="2:2" ht="13.2" customHeight="1">
      <c r="B664" s="73"/>
    </row>
    <row r="665" spans="2:2" ht="13.2" customHeight="1">
      <c r="B665" s="73"/>
    </row>
    <row r="666" spans="2:2" ht="13.2" customHeight="1">
      <c r="B666" s="73"/>
    </row>
    <row r="667" spans="2:2" ht="13.2" customHeight="1">
      <c r="B667" s="73"/>
    </row>
    <row r="668" spans="2:2" ht="13.2" customHeight="1">
      <c r="B668" s="73"/>
    </row>
    <row r="669" spans="2:2" ht="13.2" customHeight="1">
      <c r="B669" s="73"/>
    </row>
    <row r="670" spans="2:2" ht="13.2" customHeight="1">
      <c r="B670" s="73"/>
    </row>
    <row r="671" spans="2:2" ht="13.2" customHeight="1">
      <c r="B671" s="73"/>
    </row>
    <row r="672" spans="2:2" ht="13.2" customHeight="1">
      <c r="B672" s="73"/>
    </row>
    <row r="673" spans="2:2" ht="13.2" customHeight="1">
      <c r="B673" s="73"/>
    </row>
    <row r="674" spans="2:2" ht="13.2" customHeight="1">
      <c r="B674" s="73"/>
    </row>
    <row r="675" spans="2:2" ht="13.2" customHeight="1">
      <c r="B675" s="73"/>
    </row>
    <row r="676" spans="2:2" ht="13.2" customHeight="1">
      <c r="B676" s="73"/>
    </row>
    <row r="677" spans="2:2" ht="13.2" customHeight="1">
      <c r="B677" s="73"/>
    </row>
    <row r="678" spans="2:2" ht="13.2" customHeight="1">
      <c r="B678" s="73"/>
    </row>
    <row r="679" spans="2:2" ht="13.2" customHeight="1">
      <c r="B679" s="73"/>
    </row>
    <row r="680" spans="2:2" ht="13.2" customHeight="1">
      <c r="B680" s="73"/>
    </row>
    <row r="681" spans="2:2" ht="13.2" customHeight="1">
      <c r="B681" s="73"/>
    </row>
    <row r="682" spans="2:2" ht="13.2" customHeight="1">
      <c r="B682" s="73"/>
    </row>
    <row r="683" spans="2:2" ht="13.2" customHeight="1">
      <c r="B683" s="73"/>
    </row>
    <row r="684" spans="2:2" ht="13.2" customHeight="1">
      <c r="B684" s="73"/>
    </row>
    <row r="685" spans="2:2" ht="13.2" customHeight="1">
      <c r="B685" s="73"/>
    </row>
    <row r="686" spans="2:2" ht="13.2" customHeight="1">
      <c r="B686" s="73"/>
    </row>
    <row r="687" spans="2:2" ht="13.2" customHeight="1">
      <c r="B687" s="73"/>
    </row>
    <row r="688" spans="2:2" ht="13.2" customHeight="1">
      <c r="B688" s="73"/>
    </row>
    <row r="689" spans="2:2" ht="13.2" customHeight="1">
      <c r="B689" s="73"/>
    </row>
    <row r="690" spans="2:2" ht="13.2" customHeight="1">
      <c r="B690" s="73"/>
    </row>
    <row r="691" spans="2:2" ht="13.2" customHeight="1">
      <c r="B691" s="73"/>
    </row>
    <row r="692" spans="2:2" ht="13.2" customHeight="1">
      <c r="B692" s="73"/>
    </row>
    <row r="693" spans="2:2" ht="13.2" customHeight="1">
      <c r="B693" s="73"/>
    </row>
    <row r="694" spans="2:2" ht="13.2" customHeight="1">
      <c r="B694" s="73"/>
    </row>
    <row r="695" spans="2:2" ht="13.2" customHeight="1">
      <c r="B695" s="73"/>
    </row>
    <row r="696" spans="2:2" ht="13.2" customHeight="1">
      <c r="B696" s="73"/>
    </row>
    <row r="697" spans="2:2" ht="13.2" customHeight="1">
      <c r="B697" s="73"/>
    </row>
    <row r="698" spans="2:2" ht="13.2" customHeight="1">
      <c r="B698" s="73"/>
    </row>
    <row r="699" spans="2:2" ht="13.2" customHeight="1">
      <c r="B699" s="73"/>
    </row>
    <row r="700" spans="2:2" ht="13.2" customHeight="1">
      <c r="B700" s="73"/>
    </row>
    <row r="701" spans="2:2" ht="13.2" customHeight="1">
      <c r="B701" s="73"/>
    </row>
    <row r="702" spans="2:2" ht="13.2" customHeight="1">
      <c r="B702" s="73"/>
    </row>
    <row r="703" spans="2:2" ht="13.2" customHeight="1">
      <c r="B703" s="73"/>
    </row>
    <row r="704" spans="2:2" ht="13.2" customHeight="1">
      <c r="B704" s="73"/>
    </row>
    <row r="705" spans="2:2" ht="13.2" customHeight="1">
      <c r="B705" s="73"/>
    </row>
    <row r="706" spans="2:2" ht="13.2" customHeight="1">
      <c r="B706" s="73"/>
    </row>
    <row r="707" spans="2:2" ht="13.2" customHeight="1">
      <c r="B707" s="73"/>
    </row>
    <row r="708" spans="2:2" ht="13.2" customHeight="1">
      <c r="B708" s="73"/>
    </row>
    <row r="709" spans="2:2" ht="13.2" customHeight="1">
      <c r="B709" s="73"/>
    </row>
    <row r="710" spans="2:2" ht="13.2" customHeight="1">
      <c r="B710" s="73"/>
    </row>
    <row r="711" spans="2:2" ht="13.2" customHeight="1">
      <c r="B711" s="73"/>
    </row>
    <row r="712" spans="2:2" ht="13.2" customHeight="1">
      <c r="B712" s="73"/>
    </row>
    <row r="713" spans="2:2" ht="13.2" customHeight="1">
      <c r="B713" s="73"/>
    </row>
    <row r="714" spans="2:2" ht="13.2" customHeight="1">
      <c r="B714" s="73"/>
    </row>
    <row r="715" spans="2:2" ht="13.2" customHeight="1">
      <c r="B715" s="73"/>
    </row>
    <row r="716" spans="2:2" ht="13.2" customHeight="1">
      <c r="B716" s="73"/>
    </row>
    <row r="717" spans="2:2" ht="13.2" customHeight="1">
      <c r="B717" s="73"/>
    </row>
    <row r="718" spans="2:2" ht="13.2" customHeight="1">
      <c r="B718" s="73"/>
    </row>
    <row r="719" spans="2:2" ht="13.2" customHeight="1">
      <c r="B719" s="73"/>
    </row>
    <row r="720" spans="2:2" ht="13.2" customHeight="1">
      <c r="B720" s="73"/>
    </row>
    <row r="721" spans="2:2" ht="13.2" customHeight="1">
      <c r="B721" s="73"/>
    </row>
    <row r="722" spans="2:2" ht="13.2" customHeight="1">
      <c r="B722" s="73"/>
    </row>
    <row r="723" spans="2:2" ht="13.2" customHeight="1">
      <c r="B723" s="73"/>
    </row>
    <row r="724" spans="2:2" ht="13.2" customHeight="1">
      <c r="B724" s="73"/>
    </row>
    <row r="725" spans="2:2" ht="13.2" customHeight="1">
      <c r="B725" s="73"/>
    </row>
    <row r="726" spans="2:2" ht="13.2" customHeight="1">
      <c r="B726" s="73"/>
    </row>
    <row r="727" spans="2:2" ht="13.2" customHeight="1">
      <c r="B727" s="73"/>
    </row>
    <row r="728" spans="2:2" ht="13.2" customHeight="1">
      <c r="B728" s="73"/>
    </row>
    <row r="729" spans="2:2" ht="13.2" customHeight="1">
      <c r="B729" s="73"/>
    </row>
    <row r="730" spans="2:2" ht="13.2" customHeight="1">
      <c r="B730" s="73"/>
    </row>
    <row r="731" spans="2:2" ht="13.2" customHeight="1">
      <c r="B731" s="73"/>
    </row>
    <row r="732" spans="2:2" ht="13.2" customHeight="1">
      <c r="B732" s="73"/>
    </row>
    <row r="733" spans="2:2" ht="13.2" customHeight="1">
      <c r="B733" s="73"/>
    </row>
    <row r="734" spans="2:2" ht="13.2" customHeight="1">
      <c r="B734" s="73"/>
    </row>
    <row r="735" spans="2:2" ht="13.2" customHeight="1">
      <c r="B735" s="73"/>
    </row>
    <row r="736" spans="2:2" ht="13.2" customHeight="1">
      <c r="B736" s="73"/>
    </row>
    <row r="737" spans="2:2" ht="13.2" customHeight="1">
      <c r="B737" s="73"/>
    </row>
    <row r="738" spans="2:2" ht="13.2" customHeight="1">
      <c r="B738" s="73"/>
    </row>
    <row r="739" spans="2:2" ht="13.2" customHeight="1">
      <c r="B739" s="73"/>
    </row>
    <row r="740" spans="2:2" ht="13.2" customHeight="1">
      <c r="B740" s="73"/>
    </row>
    <row r="741" spans="2:2" ht="13.2" customHeight="1">
      <c r="B741" s="73"/>
    </row>
    <row r="742" spans="2:2" ht="13.2" customHeight="1">
      <c r="B742" s="73"/>
    </row>
    <row r="743" spans="2:2" ht="13.2" customHeight="1">
      <c r="B743" s="73"/>
    </row>
    <row r="744" spans="2:2" ht="13.2" customHeight="1">
      <c r="B744" s="73"/>
    </row>
    <row r="745" spans="2:2" ht="13.2" customHeight="1">
      <c r="B745" s="73"/>
    </row>
    <row r="746" spans="2:2" ht="13.2" customHeight="1">
      <c r="B746" s="73"/>
    </row>
    <row r="747" spans="2:2" ht="13.2" customHeight="1">
      <c r="B747" s="73"/>
    </row>
    <row r="748" spans="2:2" ht="13.2" customHeight="1">
      <c r="B748" s="73"/>
    </row>
    <row r="749" spans="2:2" ht="13.2" customHeight="1">
      <c r="B749" s="73"/>
    </row>
    <row r="750" spans="2:2" ht="13.2" customHeight="1">
      <c r="B750" s="73"/>
    </row>
    <row r="751" spans="2:2" ht="13.2" customHeight="1">
      <c r="B751" s="73"/>
    </row>
    <row r="752" spans="2:2" ht="13.2" customHeight="1">
      <c r="B752" s="73"/>
    </row>
    <row r="753" spans="2:2" ht="13.2" customHeight="1">
      <c r="B753" s="73"/>
    </row>
    <row r="754" spans="2:2" ht="13.2" customHeight="1">
      <c r="B754" s="73"/>
    </row>
    <row r="755" spans="2:2" ht="13.2" customHeight="1">
      <c r="B755" s="73"/>
    </row>
    <row r="756" spans="2:2" ht="13.2" customHeight="1">
      <c r="B756" s="73"/>
    </row>
    <row r="757" spans="2:2" ht="13.2" customHeight="1">
      <c r="B757" s="73"/>
    </row>
    <row r="758" spans="2:2" ht="13.2" customHeight="1">
      <c r="B758" s="73"/>
    </row>
    <row r="759" spans="2:2" ht="13.2" customHeight="1">
      <c r="B759" s="73"/>
    </row>
    <row r="760" spans="2:2" ht="13.2" customHeight="1">
      <c r="B760" s="73"/>
    </row>
    <row r="761" spans="2:2" ht="13.2" customHeight="1">
      <c r="B761" s="73"/>
    </row>
    <row r="762" spans="2:2" ht="13.2" customHeight="1">
      <c r="B762" s="73"/>
    </row>
    <row r="763" spans="2:2" ht="13.2" customHeight="1">
      <c r="B763" s="73"/>
    </row>
    <row r="764" spans="2:2" ht="13.2" customHeight="1">
      <c r="B764" s="73"/>
    </row>
    <row r="765" spans="2:2" ht="13.2" customHeight="1">
      <c r="B765" s="73"/>
    </row>
    <row r="766" spans="2:2" ht="13.2" customHeight="1">
      <c r="B766" s="73"/>
    </row>
    <row r="767" spans="2:2" ht="13.2" customHeight="1">
      <c r="B767" s="73"/>
    </row>
    <row r="768" spans="2:2" ht="13.2" customHeight="1">
      <c r="B768" s="73"/>
    </row>
    <row r="769" spans="2:2" ht="13.2" customHeight="1">
      <c r="B769" s="73"/>
    </row>
    <row r="770" spans="2:2" ht="13.2" customHeight="1">
      <c r="B770" s="73"/>
    </row>
    <row r="771" spans="2:2" ht="13.2" customHeight="1">
      <c r="B771" s="73"/>
    </row>
    <row r="772" spans="2:2" ht="13.2" customHeight="1">
      <c r="B772" s="73"/>
    </row>
    <row r="773" spans="2:2" ht="13.2" customHeight="1">
      <c r="B773" s="73"/>
    </row>
    <row r="774" spans="2:2" ht="13.2" customHeight="1">
      <c r="B774" s="73"/>
    </row>
    <row r="775" spans="2:2" ht="13.2" customHeight="1">
      <c r="B775" s="73"/>
    </row>
    <row r="776" spans="2:2" ht="13.2" customHeight="1">
      <c r="B776" s="73"/>
    </row>
    <row r="777" spans="2:2" ht="13.2" customHeight="1">
      <c r="B777" s="73"/>
    </row>
    <row r="778" spans="2:2" ht="13.2" customHeight="1">
      <c r="B778" s="73"/>
    </row>
    <row r="779" spans="2:2" ht="13.2" customHeight="1">
      <c r="B779" s="73"/>
    </row>
    <row r="780" spans="2:2" ht="13.2" customHeight="1">
      <c r="B780" s="73"/>
    </row>
    <row r="781" spans="2:2" ht="13.2" customHeight="1">
      <c r="B781" s="73"/>
    </row>
    <row r="782" spans="2:2" ht="13.2" customHeight="1">
      <c r="B782" s="73"/>
    </row>
    <row r="783" spans="2:2" ht="13.2" customHeight="1">
      <c r="B783" s="73"/>
    </row>
    <row r="784" spans="2:2" ht="13.2" customHeight="1">
      <c r="B784" s="73"/>
    </row>
    <row r="785" spans="2:2" ht="13.2" customHeight="1">
      <c r="B785" s="73"/>
    </row>
    <row r="786" spans="2:2" ht="13.2" customHeight="1">
      <c r="B786" s="73"/>
    </row>
    <row r="787" spans="2:2" ht="13.2" customHeight="1">
      <c r="B787" s="73"/>
    </row>
    <row r="788" spans="2:2" ht="13.2" customHeight="1">
      <c r="B788" s="73"/>
    </row>
    <row r="789" spans="2:2" ht="13.2" customHeight="1">
      <c r="B789" s="73"/>
    </row>
    <row r="790" spans="2:2" ht="13.2" customHeight="1">
      <c r="B790" s="73"/>
    </row>
    <row r="791" spans="2:2" ht="13.2" customHeight="1">
      <c r="B791" s="73"/>
    </row>
    <row r="792" spans="2:2" ht="13.2" customHeight="1">
      <c r="B792" s="73"/>
    </row>
    <row r="793" spans="2:2" ht="13.2" customHeight="1">
      <c r="B793" s="73"/>
    </row>
    <row r="794" spans="2:2" ht="13.2" customHeight="1">
      <c r="B794" s="73"/>
    </row>
    <row r="795" spans="2:2" ht="13.2" customHeight="1">
      <c r="B795" s="73"/>
    </row>
    <row r="796" spans="2:2" ht="13.2" customHeight="1">
      <c r="B796" s="73"/>
    </row>
    <row r="797" spans="2:2" ht="13.2" customHeight="1">
      <c r="B797" s="73"/>
    </row>
    <row r="798" spans="2:2" ht="13.2" customHeight="1">
      <c r="B798" s="73"/>
    </row>
    <row r="799" spans="2:2" ht="13.2" customHeight="1">
      <c r="B799" s="73"/>
    </row>
    <row r="800" spans="2:2" ht="13.2" customHeight="1">
      <c r="B800" s="73"/>
    </row>
    <row r="801" spans="2:2" ht="13.2" customHeight="1">
      <c r="B801" s="73"/>
    </row>
    <row r="802" spans="2:2" ht="13.2" customHeight="1">
      <c r="B802" s="73"/>
    </row>
    <row r="803" spans="2:2" ht="13.2" customHeight="1">
      <c r="B803" s="73"/>
    </row>
    <row r="804" spans="2:2" ht="13.2" customHeight="1">
      <c r="B804" s="73"/>
    </row>
    <row r="805" spans="2:2" ht="13.2" customHeight="1">
      <c r="B805" s="73"/>
    </row>
    <row r="806" spans="2:2" ht="13.2" customHeight="1">
      <c r="B806" s="73"/>
    </row>
    <row r="807" spans="2:2" ht="13.2" customHeight="1">
      <c r="B807" s="73"/>
    </row>
    <row r="808" spans="2:2" ht="13.2" customHeight="1">
      <c r="B808" s="73"/>
    </row>
    <row r="809" spans="2:2" ht="13.2" customHeight="1">
      <c r="B809" s="73"/>
    </row>
    <row r="810" spans="2:2" ht="13.2" customHeight="1">
      <c r="B810" s="73"/>
    </row>
    <row r="811" spans="2:2" ht="13.2" customHeight="1">
      <c r="B811" s="73"/>
    </row>
    <row r="812" spans="2:2" ht="13.2" customHeight="1">
      <c r="B812" s="73"/>
    </row>
    <row r="813" spans="2:2" ht="13.2" customHeight="1">
      <c r="B813" s="73"/>
    </row>
    <row r="814" spans="2:2" ht="13.2" customHeight="1">
      <c r="B814" s="73"/>
    </row>
    <row r="815" spans="2:2" ht="13.2" customHeight="1">
      <c r="B815" s="73"/>
    </row>
    <row r="816" spans="2:2" ht="13.2" customHeight="1">
      <c r="B816" s="73"/>
    </row>
    <row r="817" spans="2:2" ht="13.2" customHeight="1">
      <c r="B817" s="73"/>
    </row>
    <row r="818" spans="2:2" ht="13.2" customHeight="1">
      <c r="B818" s="73"/>
    </row>
    <row r="819" spans="2:2" ht="13.2" customHeight="1">
      <c r="B819" s="73"/>
    </row>
    <row r="820" spans="2:2" ht="13.2" customHeight="1">
      <c r="B820" s="73"/>
    </row>
    <row r="821" spans="2:2" ht="13.2" customHeight="1">
      <c r="B821" s="73"/>
    </row>
    <row r="822" spans="2:2" ht="13.2" customHeight="1">
      <c r="B822" s="73"/>
    </row>
    <row r="823" spans="2:2" ht="13.2" customHeight="1">
      <c r="B823" s="73"/>
    </row>
    <row r="824" spans="2:2" ht="13.2" customHeight="1">
      <c r="B824" s="73"/>
    </row>
    <row r="825" spans="2:2" ht="13.2" customHeight="1">
      <c r="B825" s="73"/>
    </row>
    <row r="826" spans="2:2" ht="13.2" customHeight="1">
      <c r="B826" s="73"/>
    </row>
    <row r="827" spans="2:2" ht="13.2" customHeight="1">
      <c r="B827" s="73"/>
    </row>
    <row r="828" spans="2:2" ht="13.2" customHeight="1">
      <c r="B828" s="73"/>
    </row>
    <row r="829" spans="2:2" ht="13.2" customHeight="1">
      <c r="B829" s="73"/>
    </row>
    <row r="830" spans="2:2" ht="13.2" customHeight="1">
      <c r="B830" s="73"/>
    </row>
    <row r="831" spans="2:2" ht="13.2" customHeight="1">
      <c r="B831" s="73"/>
    </row>
    <row r="832" spans="2:2" ht="13.2" customHeight="1">
      <c r="B832" s="73"/>
    </row>
    <row r="833" spans="2:2" ht="13.2" customHeight="1">
      <c r="B833" s="73"/>
    </row>
    <row r="834" spans="2:2" ht="13.2" customHeight="1">
      <c r="B834" s="73"/>
    </row>
    <row r="835" spans="2:2" ht="13.2" customHeight="1">
      <c r="B835" s="73"/>
    </row>
    <row r="836" spans="2:2" ht="13.2" customHeight="1">
      <c r="B836" s="73"/>
    </row>
    <row r="837" spans="2:2" ht="13.2" customHeight="1">
      <c r="B837" s="73"/>
    </row>
    <row r="838" spans="2:2" ht="13.2" customHeight="1">
      <c r="B838" s="73"/>
    </row>
    <row r="839" spans="2:2" ht="13.2" customHeight="1">
      <c r="B839" s="73"/>
    </row>
    <row r="840" spans="2:2" ht="13.2" customHeight="1">
      <c r="B840" s="73"/>
    </row>
    <row r="841" spans="2:2" ht="13.2" customHeight="1">
      <c r="B841" s="73"/>
    </row>
    <row r="842" spans="2:2" ht="13.2" customHeight="1">
      <c r="B842" s="73"/>
    </row>
    <row r="843" spans="2:2" ht="13.2" customHeight="1">
      <c r="B843" s="73"/>
    </row>
    <row r="844" spans="2:2" ht="13.2" customHeight="1">
      <c r="B844" s="73"/>
    </row>
    <row r="845" spans="2:2" ht="13.2" customHeight="1">
      <c r="B845" s="73"/>
    </row>
    <row r="846" spans="2:2" ht="13.2" customHeight="1">
      <c r="B846" s="73"/>
    </row>
    <row r="847" spans="2:2" ht="13.2" customHeight="1">
      <c r="B847" s="73"/>
    </row>
    <row r="848" spans="2:2" ht="13.2" customHeight="1">
      <c r="B848" s="73"/>
    </row>
    <row r="849" spans="2:2" ht="13.2" customHeight="1">
      <c r="B849" s="73"/>
    </row>
    <row r="850" spans="2:2" ht="13.2" customHeight="1">
      <c r="B850" s="73"/>
    </row>
    <row r="851" spans="2:2" ht="13.2" customHeight="1">
      <c r="B851" s="73"/>
    </row>
    <row r="852" spans="2:2" ht="13.2" customHeight="1">
      <c r="B852" s="73"/>
    </row>
    <row r="853" spans="2:2" ht="13.2" customHeight="1">
      <c r="B853" s="73"/>
    </row>
    <row r="854" spans="2:2" ht="13.2" customHeight="1">
      <c r="B854" s="73"/>
    </row>
    <row r="855" spans="2:2" ht="13.2" customHeight="1">
      <c r="B855" s="73"/>
    </row>
    <row r="856" spans="2:2" ht="13.2" customHeight="1">
      <c r="B856" s="73"/>
    </row>
    <row r="857" spans="2:2" ht="13.2" customHeight="1">
      <c r="B857" s="73"/>
    </row>
    <row r="858" spans="2:2" ht="13.2" customHeight="1">
      <c r="B858" s="73"/>
    </row>
    <row r="859" spans="2:2" ht="13.2" customHeight="1">
      <c r="B859" s="73"/>
    </row>
    <row r="860" spans="2:2" ht="13.2" customHeight="1">
      <c r="B860" s="73"/>
    </row>
    <row r="861" spans="2:2" ht="13.2" customHeight="1">
      <c r="B861" s="73"/>
    </row>
    <row r="862" spans="2:2" ht="13.2" customHeight="1">
      <c r="B862" s="73"/>
    </row>
    <row r="863" spans="2:2" ht="13.2" customHeight="1">
      <c r="B863" s="73"/>
    </row>
    <row r="864" spans="2:2" ht="13.2" customHeight="1">
      <c r="B864" s="73"/>
    </row>
    <row r="865" spans="2:2" ht="13.2" customHeight="1">
      <c r="B865" s="73"/>
    </row>
    <row r="866" spans="2:2" ht="13.2" customHeight="1">
      <c r="B866" s="73"/>
    </row>
    <row r="867" spans="2:2" ht="13.2" customHeight="1">
      <c r="B867" s="73"/>
    </row>
    <row r="868" spans="2:2" ht="13.2" customHeight="1">
      <c r="B868" s="73"/>
    </row>
    <row r="869" spans="2:2" ht="13.2" customHeight="1">
      <c r="B869" s="73"/>
    </row>
    <row r="870" spans="2:2" ht="13.2" customHeight="1">
      <c r="B870" s="73"/>
    </row>
    <row r="871" spans="2:2" ht="13.2" customHeight="1">
      <c r="B871" s="73"/>
    </row>
    <row r="872" spans="2:2" ht="13.2" customHeight="1">
      <c r="B872" s="73"/>
    </row>
    <row r="873" spans="2:2" ht="13.2" customHeight="1">
      <c r="B873" s="73"/>
    </row>
    <row r="874" spans="2:2" ht="13.2" customHeight="1">
      <c r="B874" s="73"/>
    </row>
    <row r="875" spans="2:2" ht="13.2" customHeight="1">
      <c r="B875" s="73"/>
    </row>
    <row r="876" spans="2:2" ht="13.2" customHeight="1">
      <c r="B876" s="73"/>
    </row>
    <row r="877" spans="2:2" ht="13.2" customHeight="1">
      <c r="B877" s="73"/>
    </row>
    <row r="878" spans="2:2" ht="13.2" customHeight="1">
      <c r="B878" s="73"/>
    </row>
    <row r="879" spans="2:2" ht="13.2" customHeight="1">
      <c r="B879" s="73"/>
    </row>
    <row r="880" spans="2:2" ht="13.2" customHeight="1">
      <c r="B880" s="73"/>
    </row>
    <row r="881" spans="2:2" ht="13.2" customHeight="1">
      <c r="B881" s="73"/>
    </row>
    <row r="882" spans="2:2" ht="13.2" customHeight="1">
      <c r="B882" s="73"/>
    </row>
    <row r="883" spans="2:2" ht="13.2" customHeight="1">
      <c r="B883" s="73"/>
    </row>
    <row r="884" spans="2:2" ht="13.2" customHeight="1">
      <c r="B884" s="73"/>
    </row>
    <row r="885" spans="2:2" ht="13.2" customHeight="1">
      <c r="B885" s="73"/>
    </row>
    <row r="886" spans="2:2" ht="13.2" customHeight="1">
      <c r="B886" s="73"/>
    </row>
    <row r="887" spans="2:2" ht="13.2" customHeight="1">
      <c r="B887" s="73"/>
    </row>
    <row r="888" spans="2:2" ht="13.2" customHeight="1">
      <c r="B888" s="73"/>
    </row>
    <row r="889" spans="2:2" ht="13.2" customHeight="1">
      <c r="B889" s="73"/>
    </row>
    <row r="890" spans="2:2" ht="13.2" customHeight="1">
      <c r="B890" s="73"/>
    </row>
    <row r="891" spans="2:2" ht="13.2" customHeight="1">
      <c r="B891" s="73"/>
    </row>
    <row r="892" spans="2:2" ht="13.2" customHeight="1">
      <c r="B892" s="73"/>
    </row>
    <row r="893" spans="2:2" ht="13.2" customHeight="1">
      <c r="B893" s="73"/>
    </row>
    <row r="894" spans="2:2" ht="13.2" customHeight="1">
      <c r="B894" s="73"/>
    </row>
    <row r="895" spans="2:2" ht="13.2" customHeight="1">
      <c r="B895" s="73"/>
    </row>
    <row r="896" spans="2:2" ht="13.2" customHeight="1">
      <c r="B896" s="73"/>
    </row>
    <row r="897" spans="2:2" ht="13.2" customHeight="1">
      <c r="B897" s="73"/>
    </row>
    <row r="898" spans="2:2" ht="13.2" customHeight="1">
      <c r="B898" s="73"/>
    </row>
    <row r="899" spans="2:2" ht="13.2" customHeight="1">
      <c r="B899" s="73"/>
    </row>
    <row r="900" spans="2:2" ht="13.2" customHeight="1">
      <c r="B900" s="73"/>
    </row>
    <row r="901" spans="2:2" ht="13.2" customHeight="1">
      <c r="B901" s="73"/>
    </row>
    <row r="902" spans="2:2" ht="13.2" customHeight="1">
      <c r="B902" s="73"/>
    </row>
    <row r="903" spans="2:2" ht="13.2" customHeight="1">
      <c r="B903" s="73"/>
    </row>
    <row r="904" spans="2:2" ht="13.2" customHeight="1">
      <c r="B904" s="73"/>
    </row>
    <row r="905" spans="2:2" ht="13.2" customHeight="1">
      <c r="B905" s="73"/>
    </row>
    <row r="906" spans="2:2" ht="13.2" customHeight="1">
      <c r="B906" s="73"/>
    </row>
    <row r="907" spans="2:2" ht="13.2" customHeight="1">
      <c r="B907" s="73"/>
    </row>
    <row r="908" spans="2:2" ht="13.2" customHeight="1">
      <c r="B908" s="73"/>
    </row>
    <row r="909" spans="2:2" ht="13.2" customHeight="1">
      <c r="B909" s="73"/>
    </row>
    <row r="910" spans="2:2" ht="13.2" customHeight="1">
      <c r="B910" s="73"/>
    </row>
    <row r="911" spans="2:2" ht="13.2" customHeight="1">
      <c r="B911" s="73"/>
    </row>
    <row r="912" spans="2:2" ht="13.2" customHeight="1">
      <c r="B912" s="73"/>
    </row>
    <row r="913" spans="2:2" ht="13.2" customHeight="1">
      <c r="B913" s="73"/>
    </row>
    <row r="914" spans="2:2" ht="13.2" customHeight="1">
      <c r="B914" s="73"/>
    </row>
    <row r="915" spans="2:2" ht="13.2" customHeight="1">
      <c r="B915" s="73"/>
    </row>
    <row r="916" spans="2:2" ht="13.2" customHeight="1">
      <c r="B916" s="73"/>
    </row>
    <row r="917" spans="2:2" ht="13.2" customHeight="1">
      <c r="B917" s="73"/>
    </row>
    <row r="918" spans="2:2" ht="13.2" customHeight="1">
      <c r="B918" s="73"/>
    </row>
    <row r="919" spans="2:2" ht="13.2" customHeight="1">
      <c r="B919" s="73"/>
    </row>
    <row r="920" spans="2:2" ht="13.2" customHeight="1">
      <c r="B920" s="73"/>
    </row>
    <row r="921" spans="2:2" ht="13.2" customHeight="1">
      <c r="B921" s="73"/>
    </row>
    <row r="922" spans="2:2" ht="13.2" customHeight="1">
      <c r="B922" s="73"/>
    </row>
    <row r="923" spans="2:2" ht="13.2" customHeight="1">
      <c r="B923" s="73"/>
    </row>
    <row r="924" spans="2:2" ht="13.2" customHeight="1">
      <c r="B924" s="73"/>
    </row>
    <row r="925" spans="2:2" ht="13.2" customHeight="1">
      <c r="B925" s="73"/>
    </row>
    <row r="926" spans="2:2" ht="13.2" customHeight="1">
      <c r="B926" s="73"/>
    </row>
    <row r="927" spans="2:2" ht="13.2" customHeight="1">
      <c r="B927" s="73"/>
    </row>
    <row r="928" spans="2:2" ht="13.2" customHeight="1">
      <c r="B928" s="73"/>
    </row>
    <row r="929" spans="2:2" ht="13.2" customHeight="1">
      <c r="B929" s="73"/>
    </row>
    <row r="930" spans="2:2" ht="13.2" customHeight="1">
      <c r="B930" s="73"/>
    </row>
    <row r="931" spans="2:2" ht="13.2" customHeight="1">
      <c r="B931" s="73"/>
    </row>
    <row r="932" spans="2:2" ht="13.2" customHeight="1">
      <c r="B932" s="73"/>
    </row>
    <row r="933" spans="2:2" ht="13.2" customHeight="1">
      <c r="B933" s="73"/>
    </row>
    <row r="934" spans="2:2" ht="13.2" customHeight="1">
      <c r="B934" s="73"/>
    </row>
    <row r="935" spans="2:2" ht="13.2" customHeight="1">
      <c r="B935" s="73"/>
    </row>
    <row r="936" spans="2:2" ht="13.2" customHeight="1">
      <c r="B936" s="73"/>
    </row>
    <row r="937" spans="2:2" ht="13.2" customHeight="1">
      <c r="B937" s="73"/>
    </row>
    <row r="938" spans="2:2" ht="13.2" customHeight="1">
      <c r="B938" s="73"/>
    </row>
    <row r="939" spans="2:2" ht="13.2" customHeight="1">
      <c r="B939" s="73"/>
    </row>
    <row r="940" spans="2:2" ht="13.2" customHeight="1">
      <c r="B940" s="73"/>
    </row>
    <row r="941" spans="2:2" ht="13.2" customHeight="1">
      <c r="B941" s="73"/>
    </row>
    <row r="942" spans="2:2" ht="13.2" customHeight="1">
      <c r="B942" s="73"/>
    </row>
    <row r="943" spans="2:2" ht="13.2" customHeight="1">
      <c r="B943" s="73"/>
    </row>
    <row r="944" spans="2:2" ht="13.2" customHeight="1">
      <c r="B944" s="73"/>
    </row>
    <row r="945" spans="2:2" ht="13.2" customHeight="1">
      <c r="B945" s="73"/>
    </row>
    <row r="946" spans="2:2" ht="13.2" customHeight="1">
      <c r="B946" s="73"/>
    </row>
    <row r="947" spans="2:2" ht="13.2" customHeight="1">
      <c r="B947" s="73"/>
    </row>
    <row r="948" spans="2:2" ht="13.2" customHeight="1">
      <c r="B948" s="73"/>
    </row>
    <row r="949" spans="2:2" ht="13.2" customHeight="1">
      <c r="B949" s="73"/>
    </row>
    <row r="950" spans="2:2" ht="13.2" customHeight="1">
      <c r="B950" s="73"/>
    </row>
    <row r="951" spans="2:2" ht="13.2" customHeight="1">
      <c r="B951" s="73"/>
    </row>
    <row r="952" spans="2:2" ht="13.2" customHeight="1">
      <c r="B952" s="73"/>
    </row>
    <row r="953" spans="2:2" ht="13.2" customHeight="1">
      <c r="B953" s="73"/>
    </row>
    <row r="954" spans="2:2" ht="13.2" customHeight="1">
      <c r="B954" s="73"/>
    </row>
    <row r="955" spans="2:2" ht="13.2" customHeight="1">
      <c r="B955" s="73"/>
    </row>
    <row r="956" spans="2:2" ht="13.2" customHeight="1">
      <c r="B956" s="73"/>
    </row>
    <row r="957" spans="2:2" ht="13.2" customHeight="1">
      <c r="B957" s="73"/>
    </row>
    <row r="958" spans="2:2" ht="13.2" customHeight="1">
      <c r="B958" s="73"/>
    </row>
    <row r="959" spans="2:2" ht="13.2" customHeight="1">
      <c r="B959" s="73"/>
    </row>
    <row r="960" spans="2:2" ht="13.2" customHeight="1">
      <c r="B960" s="73"/>
    </row>
    <row r="961" spans="2:2" ht="13.2" customHeight="1">
      <c r="B961" s="73"/>
    </row>
    <row r="962" spans="2:2" ht="13.2" customHeight="1">
      <c r="B962" s="73"/>
    </row>
    <row r="963" spans="2:2" ht="13.2" customHeight="1">
      <c r="B963" s="73"/>
    </row>
    <row r="964" spans="2:2" ht="13.2" customHeight="1">
      <c r="B964" s="73"/>
    </row>
    <row r="965" spans="2:2" ht="13.2" customHeight="1">
      <c r="B965" s="73"/>
    </row>
    <row r="966" spans="2:2" ht="13.2" customHeight="1">
      <c r="B966" s="73"/>
    </row>
    <row r="967" spans="2:2" ht="13.2" customHeight="1">
      <c r="B967" s="73"/>
    </row>
    <row r="968" spans="2:2" ht="13.2" customHeight="1">
      <c r="B968" s="73"/>
    </row>
    <row r="969" spans="2:2" ht="13.2" customHeight="1">
      <c r="B969" s="73"/>
    </row>
    <row r="970" spans="2:2" ht="13.2" customHeight="1">
      <c r="B970" s="73"/>
    </row>
    <row r="971" spans="2:2" ht="13.2" customHeight="1">
      <c r="B971" s="73"/>
    </row>
    <row r="972" spans="2:2" ht="13.2" customHeight="1">
      <c r="B972" s="73"/>
    </row>
    <row r="973" spans="2:2" ht="13.2" customHeight="1">
      <c r="B973" s="73"/>
    </row>
    <row r="974" spans="2:2" ht="13.2" customHeight="1">
      <c r="B974" s="73"/>
    </row>
    <row r="975" spans="2:2" ht="13.2" customHeight="1">
      <c r="B975" s="73"/>
    </row>
    <row r="976" spans="2:2" ht="13.2" customHeight="1">
      <c r="B976" s="73"/>
    </row>
    <row r="977" spans="2:2" ht="13.2" customHeight="1">
      <c r="B977" s="73"/>
    </row>
    <row r="978" spans="2:2" ht="13.2" customHeight="1">
      <c r="B978" s="73"/>
    </row>
    <row r="979" spans="2:2" ht="13.2" customHeight="1">
      <c r="B979" s="73"/>
    </row>
    <row r="980" spans="2:2" ht="13.2" customHeight="1">
      <c r="B980" s="73"/>
    </row>
    <row r="981" spans="2:2" ht="13.2" customHeight="1">
      <c r="B981" s="73"/>
    </row>
    <row r="982" spans="2:2" ht="13.2" customHeight="1">
      <c r="B982" s="73"/>
    </row>
    <row r="983" spans="2:2" ht="13.2" customHeight="1">
      <c r="B983" s="73"/>
    </row>
    <row r="984" spans="2:2" ht="13.2" customHeight="1">
      <c r="B984" s="73"/>
    </row>
    <row r="985" spans="2:2" ht="13.2" customHeight="1">
      <c r="B985" s="73"/>
    </row>
    <row r="986" spans="2:2" ht="13.2" customHeight="1">
      <c r="B986" s="73"/>
    </row>
    <row r="987" spans="2:2" ht="13.2" customHeight="1">
      <c r="B987" s="73"/>
    </row>
    <row r="988" spans="2:2" ht="13.2" customHeight="1">
      <c r="B988" s="73"/>
    </row>
    <row r="989" spans="2:2" ht="13.2" customHeight="1">
      <c r="B989" s="73"/>
    </row>
    <row r="990" spans="2:2" ht="13.2" customHeight="1">
      <c r="B990" s="73"/>
    </row>
    <row r="991" spans="2:2" ht="13.2" customHeight="1">
      <c r="B991" s="73"/>
    </row>
    <row r="992" spans="2:2" ht="13.2" customHeight="1">
      <c r="B992" s="73"/>
    </row>
    <row r="993" spans="2:2" ht="13.2" customHeight="1">
      <c r="B993" s="73"/>
    </row>
    <row r="994" spans="2:2" ht="13.2" customHeight="1">
      <c r="B994" s="73"/>
    </row>
    <row r="995" spans="2:2" ht="13.2" customHeight="1">
      <c r="B995" s="73"/>
    </row>
    <row r="996" spans="2:2" ht="13.2" customHeight="1">
      <c r="B996" s="73"/>
    </row>
    <row r="997" spans="2:2" ht="13.2" customHeight="1">
      <c r="B997" s="73"/>
    </row>
    <row r="998" spans="2:2" ht="13.2" customHeight="1">
      <c r="B998" s="73"/>
    </row>
    <row r="999" spans="2:2" ht="13.2" customHeight="1">
      <c r="B999" s="73"/>
    </row>
  </sheetData>
  <mergeCells count="3">
    <mergeCell ref="A1:D1"/>
    <mergeCell ref="A2:A3"/>
    <mergeCell ref="B2:B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123"/>
  <sheetViews>
    <sheetView workbookViewId="0">
      <pane xSplit="3" topLeftCell="D1" activePane="topRight" state="frozen"/>
      <selection pane="topRight" activeCell="E2" sqref="E2"/>
    </sheetView>
  </sheetViews>
  <sheetFormatPr defaultColWidth="12.6640625" defaultRowHeight="15.75" customHeight="1"/>
  <cols>
    <col min="1" max="1" width="5.33203125" style="323" customWidth="1"/>
    <col min="2" max="2" width="20.109375" style="323" customWidth="1"/>
    <col min="10" max="10" width="34" style="323" customWidth="1"/>
    <col min="11" max="11" width="20" style="323" customWidth="1"/>
  </cols>
  <sheetData>
    <row r="1" spans="1:35" ht="15.75" customHeight="1">
      <c r="A1" s="279"/>
      <c r="B1" s="279"/>
      <c r="C1" s="279"/>
      <c r="D1" s="6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ht="15.75" customHeight="1">
      <c r="A2" s="365" t="s">
        <v>0</v>
      </c>
      <c r="B2" s="366" t="s">
        <v>7</v>
      </c>
      <c r="C2" s="364" t="s">
        <v>8</v>
      </c>
      <c r="D2" s="11" t="s">
        <v>9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27"/>
      <c r="AI2" s="7"/>
    </row>
    <row r="3" spans="1:35" ht="15.75" customHeight="1">
      <c r="A3" s="362"/>
      <c r="B3" s="362"/>
      <c r="C3" s="362"/>
      <c r="D3" s="30">
        <v>46204</v>
      </c>
      <c r="E3" s="30">
        <v>46205</v>
      </c>
      <c r="F3" s="30">
        <v>46206</v>
      </c>
      <c r="G3" s="30">
        <v>46207</v>
      </c>
      <c r="H3" s="30">
        <v>46208</v>
      </c>
      <c r="I3" s="30">
        <v>46209</v>
      </c>
      <c r="J3" s="30">
        <v>46210</v>
      </c>
      <c r="K3" s="30">
        <v>46211</v>
      </c>
      <c r="L3" s="30">
        <v>46212</v>
      </c>
      <c r="M3" s="30">
        <v>46213</v>
      </c>
      <c r="N3" s="30">
        <v>46214</v>
      </c>
      <c r="O3" s="30">
        <v>46215</v>
      </c>
      <c r="P3" s="30">
        <v>46216</v>
      </c>
      <c r="Q3" s="30">
        <v>46217</v>
      </c>
      <c r="R3" s="30">
        <v>46218</v>
      </c>
      <c r="S3" s="30">
        <v>46219</v>
      </c>
      <c r="T3" s="30">
        <v>46220</v>
      </c>
      <c r="U3" s="30">
        <v>46221</v>
      </c>
      <c r="V3" s="30">
        <v>46222</v>
      </c>
      <c r="W3" s="30">
        <v>46223</v>
      </c>
      <c r="X3" s="30">
        <v>46224</v>
      </c>
      <c r="Y3" s="30">
        <v>46225</v>
      </c>
      <c r="Z3" s="30">
        <v>46226</v>
      </c>
      <c r="AA3" s="30">
        <v>46227</v>
      </c>
      <c r="AB3" s="30">
        <v>46228</v>
      </c>
      <c r="AC3" s="30">
        <v>46229</v>
      </c>
      <c r="AD3" s="30">
        <v>46230</v>
      </c>
      <c r="AE3" s="30">
        <v>46231</v>
      </c>
      <c r="AF3" s="30">
        <v>46232</v>
      </c>
      <c r="AG3" s="30">
        <v>46233</v>
      </c>
      <c r="AH3" s="30">
        <v>46234</v>
      </c>
      <c r="AI3" s="7"/>
    </row>
    <row r="4" spans="1:35" ht="15.75" customHeight="1">
      <c r="A4" s="281">
        <v>1</v>
      </c>
      <c r="B4" s="259" t="s">
        <v>378</v>
      </c>
      <c r="C4" s="259">
        <v>8384</v>
      </c>
      <c r="D4" s="192">
        <v>4455359</v>
      </c>
      <c r="E4" s="193">
        <v>1375339</v>
      </c>
      <c r="F4" s="192">
        <v>13061686</v>
      </c>
      <c r="G4" s="193">
        <v>6253724</v>
      </c>
      <c r="H4" s="194">
        <v>13061686</v>
      </c>
      <c r="I4" s="273">
        <v>13061686</v>
      </c>
      <c r="J4" s="193">
        <v>0</v>
      </c>
      <c r="K4" s="193">
        <v>11862605</v>
      </c>
      <c r="L4" s="192">
        <v>0</v>
      </c>
      <c r="M4" s="193">
        <v>0</v>
      </c>
      <c r="N4" s="192">
        <v>11862605</v>
      </c>
      <c r="O4" s="192">
        <v>0</v>
      </c>
      <c r="P4" s="193">
        <v>10443848</v>
      </c>
      <c r="Q4" s="193">
        <v>0</v>
      </c>
      <c r="R4" s="192">
        <v>0</v>
      </c>
      <c r="S4" s="193">
        <v>11055376</v>
      </c>
      <c r="T4" s="274">
        <v>0</v>
      </c>
      <c r="U4" s="192">
        <v>0</v>
      </c>
      <c r="V4" s="275">
        <v>8563628</v>
      </c>
      <c r="W4" s="193">
        <v>0</v>
      </c>
      <c r="X4" s="197">
        <v>0</v>
      </c>
      <c r="Y4" s="197">
        <v>9636528</v>
      </c>
      <c r="Z4" s="193"/>
      <c r="AA4" s="198"/>
      <c r="AB4" s="199">
        <v>0</v>
      </c>
      <c r="AC4" s="198">
        <v>11099450</v>
      </c>
      <c r="AD4" s="276">
        <v>8039837</v>
      </c>
      <c r="AE4" s="277"/>
      <c r="AF4" s="198"/>
      <c r="AG4" s="199">
        <v>11099450</v>
      </c>
      <c r="AH4" s="198">
        <v>10971181</v>
      </c>
      <c r="AI4" s="7"/>
    </row>
    <row r="5" spans="1:35" ht="15.75" customHeight="1">
      <c r="A5" s="281">
        <v>2</v>
      </c>
      <c r="B5" s="259" t="s">
        <v>87</v>
      </c>
      <c r="C5" s="259">
        <v>8384</v>
      </c>
      <c r="D5" s="193">
        <v>2868276</v>
      </c>
      <c r="E5" s="193">
        <v>0</v>
      </c>
      <c r="F5" s="275">
        <v>8671214</v>
      </c>
      <c r="G5" s="193">
        <v>0</v>
      </c>
      <c r="H5" s="193">
        <v>2546138</v>
      </c>
      <c r="I5" s="193">
        <v>4645179</v>
      </c>
      <c r="J5" s="193">
        <v>6777645</v>
      </c>
      <c r="K5" s="193">
        <v>0</v>
      </c>
      <c r="L5" s="193">
        <v>0</v>
      </c>
      <c r="M5" s="278">
        <v>6777645</v>
      </c>
      <c r="N5" s="193">
        <v>0</v>
      </c>
      <c r="O5" s="279"/>
      <c r="P5" s="193">
        <v>6322564</v>
      </c>
      <c r="Q5" s="193">
        <v>0</v>
      </c>
      <c r="R5" s="193">
        <v>6689312</v>
      </c>
      <c r="S5" s="193">
        <v>0</v>
      </c>
      <c r="T5" s="193"/>
      <c r="U5" s="193">
        <v>6686277</v>
      </c>
      <c r="V5" s="193">
        <v>0</v>
      </c>
      <c r="W5" s="193">
        <v>7653187</v>
      </c>
      <c r="X5" s="193">
        <v>0</v>
      </c>
      <c r="Y5" s="193">
        <v>0</v>
      </c>
      <c r="Z5" s="198"/>
      <c r="AA5" s="278">
        <v>8485360</v>
      </c>
      <c r="AB5" s="199">
        <v>0</v>
      </c>
      <c r="AC5" s="199">
        <v>0</v>
      </c>
      <c r="AD5" s="198"/>
      <c r="AE5" s="198"/>
      <c r="AF5" s="198"/>
      <c r="AG5" s="199">
        <v>8039837</v>
      </c>
      <c r="AH5" s="198">
        <v>4021221</v>
      </c>
      <c r="AI5" s="7"/>
    </row>
    <row r="6" spans="1:35" ht="15.75" customHeight="1">
      <c r="A6" s="281">
        <v>3</v>
      </c>
      <c r="B6" s="259" t="s">
        <v>90</v>
      </c>
      <c r="C6" s="259">
        <v>8384</v>
      </c>
      <c r="D6" s="193">
        <v>0</v>
      </c>
      <c r="E6" s="193">
        <v>1471777</v>
      </c>
      <c r="F6" s="193">
        <v>2635008</v>
      </c>
      <c r="G6" s="193">
        <v>1521881</v>
      </c>
      <c r="H6" s="193">
        <v>2367289</v>
      </c>
      <c r="I6" s="193">
        <v>1329044</v>
      </c>
      <c r="J6" s="193">
        <v>1536246</v>
      </c>
      <c r="K6" s="193">
        <v>2067105</v>
      </c>
      <c r="L6" s="193">
        <v>2855090</v>
      </c>
      <c r="M6" s="193">
        <v>0</v>
      </c>
      <c r="N6" s="193"/>
      <c r="O6" s="193">
        <v>2855090</v>
      </c>
      <c r="P6" s="193">
        <v>0</v>
      </c>
      <c r="Q6" s="193">
        <v>2855090</v>
      </c>
      <c r="R6" s="193">
        <v>2855090</v>
      </c>
      <c r="S6" s="193">
        <v>0</v>
      </c>
      <c r="T6" s="193">
        <v>5710180</v>
      </c>
      <c r="U6" s="193">
        <v>0</v>
      </c>
      <c r="V6" s="193">
        <v>4524443</v>
      </c>
      <c r="W6" s="193">
        <v>0</v>
      </c>
      <c r="X6" s="193">
        <v>4524443</v>
      </c>
      <c r="Y6" s="259">
        <v>0</v>
      </c>
      <c r="Z6" s="201">
        <v>4524443</v>
      </c>
      <c r="AA6" s="198"/>
      <c r="AB6" s="201">
        <v>4524443</v>
      </c>
      <c r="AC6" s="280">
        <v>0</v>
      </c>
      <c r="AD6" s="203">
        <v>4524443</v>
      </c>
      <c r="AE6" s="198"/>
      <c r="AF6" s="201"/>
      <c r="AG6" s="201">
        <v>4524443</v>
      </c>
      <c r="AH6" s="201">
        <v>3540539</v>
      </c>
      <c r="AI6" s="7"/>
    </row>
    <row r="7" spans="1:35" ht="15.75" customHeight="1">
      <c r="A7" s="281">
        <v>4</v>
      </c>
      <c r="B7" s="259" t="s">
        <v>93</v>
      </c>
      <c r="C7" s="259">
        <v>8384</v>
      </c>
      <c r="D7" s="193">
        <v>0</v>
      </c>
      <c r="E7" s="193">
        <v>0</v>
      </c>
      <c r="F7" s="193">
        <v>95361</v>
      </c>
      <c r="G7" s="193">
        <v>0</v>
      </c>
      <c r="H7" s="193">
        <v>0</v>
      </c>
      <c r="I7" s="193">
        <v>0</v>
      </c>
      <c r="J7" s="193">
        <v>0</v>
      </c>
      <c r="K7" s="193">
        <v>0</v>
      </c>
      <c r="L7" s="193">
        <v>0</v>
      </c>
      <c r="M7" s="193">
        <v>0</v>
      </c>
      <c r="N7" s="193">
        <v>0</v>
      </c>
      <c r="O7" s="193">
        <v>0</v>
      </c>
      <c r="P7" s="193">
        <v>0</v>
      </c>
      <c r="Q7" s="193">
        <v>0</v>
      </c>
      <c r="R7" s="193"/>
      <c r="S7" s="193">
        <v>0</v>
      </c>
      <c r="T7" s="193">
        <v>0</v>
      </c>
      <c r="U7" s="193">
        <v>0</v>
      </c>
      <c r="V7" s="193">
        <v>0</v>
      </c>
      <c r="W7" s="193">
        <v>0</v>
      </c>
      <c r="X7" s="193">
        <v>0</v>
      </c>
      <c r="Y7" s="201"/>
      <c r="Z7" s="201"/>
      <c r="AA7" s="201"/>
      <c r="AB7" s="198"/>
      <c r="AC7" s="201"/>
      <c r="AD7" s="203"/>
      <c r="AE7" s="199"/>
      <c r="AF7" s="201"/>
      <c r="AG7" s="204"/>
      <c r="AH7" s="201"/>
      <c r="AI7" s="7"/>
    </row>
    <row r="8" spans="1:35" ht="15.75" customHeight="1">
      <c r="A8" s="281">
        <v>5</v>
      </c>
      <c r="B8" s="259" t="s">
        <v>379</v>
      </c>
      <c r="C8" s="259">
        <v>8384</v>
      </c>
      <c r="D8" s="193">
        <v>0</v>
      </c>
      <c r="E8" s="193">
        <v>0</v>
      </c>
      <c r="F8" s="193">
        <v>0</v>
      </c>
      <c r="G8" s="193">
        <v>0</v>
      </c>
      <c r="H8" s="193">
        <v>0</v>
      </c>
      <c r="I8" s="193">
        <v>0</v>
      </c>
      <c r="J8" s="193">
        <v>1695712</v>
      </c>
      <c r="K8" s="193">
        <v>836456</v>
      </c>
      <c r="L8" s="193">
        <v>1181921</v>
      </c>
      <c r="M8" s="193">
        <v>1682160</v>
      </c>
      <c r="N8" s="193">
        <v>585057</v>
      </c>
      <c r="O8" s="203">
        <v>2057328</v>
      </c>
      <c r="P8" s="282">
        <v>1158254</v>
      </c>
      <c r="Q8" s="193">
        <v>1364966</v>
      </c>
      <c r="R8" s="193">
        <v>1364966</v>
      </c>
      <c r="S8" s="193">
        <v>1548597</v>
      </c>
      <c r="T8" s="193">
        <v>1548597</v>
      </c>
      <c r="U8" s="193">
        <v>0</v>
      </c>
      <c r="V8" s="193">
        <v>3097194</v>
      </c>
      <c r="W8" s="193">
        <v>0</v>
      </c>
      <c r="X8" s="193">
        <v>4002876</v>
      </c>
      <c r="Y8" s="201">
        <v>0</v>
      </c>
      <c r="Z8" s="201">
        <v>2596486</v>
      </c>
      <c r="AA8" s="283">
        <v>2596486</v>
      </c>
      <c r="AB8" s="198">
        <v>2596486</v>
      </c>
      <c r="AC8" s="198">
        <v>2596486</v>
      </c>
      <c r="AD8" s="203">
        <v>2596486</v>
      </c>
      <c r="AE8" s="199">
        <v>2596486</v>
      </c>
      <c r="AF8" s="201"/>
      <c r="AG8" s="204">
        <v>3814044</v>
      </c>
      <c r="AH8" s="201">
        <v>3386836</v>
      </c>
      <c r="AI8" s="7"/>
    </row>
    <row r="9" spans="1:35" ht="15.75" customHeight="1">
      <c r="A9" s="46" t="s">
        <v>10</v>
      </c>
      <c r="B9" s="47"/>
      <c r="C9" s="47">
        <f>+D9+E9+F9+G9+H9+I9+J9+K9+L9+M9+N9+O9++P9+Q9+R9+S9+T9+U9+V9+W9+X9+Y9+Z9+AA9+AB9+AC9+AD9+AE9+AF9+AG9+AH9</f>
        <v>310757428.18181813</v>
      </c>
      <c r="D9" s="47">
        <f>SUM(D4:D7) /1.1</f>
        <v>6657849.9999999991</v>
      </c>
      <c r="E9" s="47">
        <f>SUM(E4:E7) /1.1</f>
        <v>2588287.2727272725</v>
      </c>
      <c r="F9" s="47">
        <f>SUM(F4:F7) /1.1</f>
        <v>22239335.454545453</v>
      </c>
      <c r="G9" s="47">
        <f>SUM(G4:G7) /1.1</f>
        <v>7068731.8181818174</v>
      </c>
      <c r="H9" s="47">
        <f>SUM(H4:H7) /1.1</f>
        <v>16341011.818181816</v>
      </c>
      <c r="I9" s="47">
        <f t="shared" ref="I9:AH9" si="0">SUM(I4:I8) /1.1</f>
        <v>17305371.818181816</v>
      </c>
      <c r="J9" s="47">
        <f t="shared" si="0"/>
        <v>9099639.0909090899</v>
      </c>
      <c r="K9" s="47">
        <f t="shared" si="0"/>
        <v>13423787.272727272</v>
      </c>
      <c r="L9" s="47">
        <f t="shared" si="0"/>
        <v>3670009.9999999995</v>
      </c>
      <c r="M9" s="47">
        <f t="shared" si="0"/>
        <v>7690731.8181818174</v>
      </c>
      <c r="N9" s="47">
        <f t="shared" si="0"/>
        <v>11316056.363636363</v>
      </c>
      <c r="O9" s="47">
        <f t="shared" si="0"/>
        <v>4465834.5454545449</v>
      </c>
      <c r="P9" s="47">
        <f t="shared" si="0"/>
        <v>16295150.909090908</v>
      </c>
      <c r="Q9" s="47">
        <f t="shared" si="0"/>
        <v>3836414.5454545449</v>
      </c>
      <c r="R9" s="47">
        <f t="shared" si="0"/>
        <v>9917607.2727272715</v>
      </c>
      <c r="S9" s="47">
        <f t="shared" si="0"/>
        <v>11458157.272727272</v>
      </c>
      <c r="T9" s="47">
        <f t="shared" si="0"/>
        <v>6598888.1818181816</v>
      </c>
      <c r="U9" s="47">
        <f t="shared" si="0"/>
        <v>6078433.6363636358</v>
      </c>
      <c r="V9" s="47">
        <f t="shared" si="0"/>
        <v>14713877.272727272</v>
      </c>
      <c r="W9" s="47">
        <f t="shared" si="0"/>
        <v>6957442.7272727266</v>
      </c>
      <c r="X9" s="47">
        <f t="shared" si="0"/>
        <v>7752108.1818181816</v>
      </c>
      <c r="Y9" s="47">
        <f t="shared" si="0"/>
        <v>8760480</v>
      </c>
      <c r="Z9" s="47">
        <f t="shared" si="0"/>
        <v>6473571.8181818174</v>
      </c>
      <c r="AA9" s="47">
        <f t="shared" si="0"/>
        <v>10074405.454545453</v>
      </c>
      <c r="AB9" s="47">
        <f t="shared" si="0"/>
        <v>6473571.8181818174</v>
      </c>
      <c r="AC9" s="47">
        <f t="shared" si="0"/>
        <v>12450850.909090908</v>
      </c>
      <c r="AD9" s="47">
        <f t="shared" si="0"/>
        <v>13782514.545454545</v>
      </c>
      <c r="AE9" s="47">
        <f t="shared" si="0"/>
        <v>2360441.8181818179</v>
      </c>
      <c r="AF9" s="47">
        <f t="shared" si="0"/>
        <v>0</v>
      </c>
      <c r="AG9" s="47">
        <f t="shared" si="0"/>
        <v>24979794.545454543</v>
      </c>
      <c r="AH9" s="47">
        <f t="shared" si="0"/>
        <v>19927070</v>
      </c>
      <c r="AI9" s="7"/>
    </row>
    <row r="10" spans="1:35" ht="15.75" customHeight="1">
      <c r="A10" s="279" t="s">
        <v>11</v>
      </c>
      <c r="B10" s="279"/>
      <c r="C10" s="279"/>
      <c r="D10" s="6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spans="1:35" ht="15.75" customHeight="1">
      <c r="A11" s="67" t="s">
        <v>12</v>
      </c>
      <c r="B11" s="279"/>
      <c r="C11" s="279"/>
      <c r="D11" s="70">
        <f t="shared" ref="D11:AH11" si="1">D9-D10</f>
        <v>6657849.9999999991</v>
      </c>
      <c r="E11" s="70">
        <f t="shared" si="1"/>
        <v>2588287.2727272725</v>
      </c>
      <c r="F11" s="70">
        <f t="shared" si="1"/>
        <v>22239335.454545453</v>
      </c>
      <c r="G11" s="70">
        <f t="shared" si="1"/>
        <v>7068731.8181818174</v>
      </c>
      <c r="H11" s="70">
        <f t="shared" si="1"/>
        <v>16341011.818181816</v>
      </c>
      <c r="I11" s="70">
        <f t="shared" si="1"/>
        <v>17305371.818181816</v>
      </c>
      <c r="J11" s="70">
        <f t="shared" si="1"/>
        <v>9099639.0909090899</v>
      </c>
      <c r="K11" s="70">
        <f t="shared" si="1"/>
        <v>13423787.272727272</v>
      </c>
      <c r="L11" s="70">
        <f t="shared" si="1"/>
        <v>3670009.9999999995</v>
      </c>
      <c r="M11" s="70">
        <f t="shared" si="1"/>
        <v>7690731.8181818174</v>
      </c>
      <c r="N11" s="70">
        <f t="shared" si="1"/>
        <v>11316056.363636363</v>
      </c>
      <c r="O11" s="70">
        <f t="shared" si="1"/>
        <v>4465834.5454545449</v>
      </c>
      <c r="P11" s="70">
        <f t="shared" si="1"/>
        <v>16295150.909090908</v>
      </c>
      <c r="Q11" s="70">
        <f t="shared" si="1"/>
        <v>3836414.5454545449</v>
      </c>
      <c r="R11" s="70">
        <f t="shared" si="1"/>
        <v>9917607.2727272715</v>
      </c>
      <c r="S11" s="70">
        <f t="shared" si="1"/>
        <v>11458157.272727272</v>
      </c>
      <c r="T11" s="70">
        <f t="shared" si="1"/>
        <v>6598888.1818181816</v>
      </c>
      <c r="U11" s="70">
        <f t="shared" si="1"/>
        <v>6078433.6363636358</v>
      </c>
      <c r="V11" s="70">
        <f t="shared" si="1"/>
        <v>14713877.272727272</v>
      </c>
      <c r="W11" s="70">
        <f t="shared" si="1"/>
        <v>6957442.7272727266</v>
      </c>
      <c r="X11" s="70">
        <f t="shared" si="1"/>
        <v>7752108.1818181816</v>
      </c>
      <c r="Y11" s="70">
        <f t="shared" si="1"/>
        <v>8760480</v>
      </c>
      <c r="Z11" s="70">
        <f t="shared" si="1"/>
        <v>6473571.8181818174</v>
      </c>
      <c r="AA11" s="70">
        <f t="shared" si="1"/>
        <v>10074405.454545453</v>
      </c>
      <c r="AB11" s="70">
        <f t="shared" si="1"/>
        <v>6473571.8181818174</v>
      </c>
      <c r="AC11" s="70">
        <f t="shared" si="1"/>
        <v>12450850.909090908</v>
      </c>
      <c r="AD11" s="70">
        <f t="shared" si="1"/>
        <v>13782514.545454545</v>
      </c>
      <c r="AE11" s="70">
        <f t="shared" si="1"/>
        <v>2360441.8181818179</v>
      </c>
      <c r="AF11" s="70">
        <f t="shared" si="1"/>
        <v>0</v>
      </c>
      <c r="AG11" s="70">
        <f t="shared" si="1"/>
        <v>24979794.545454543</v>
      </c>
      <c r="AH11" s="70">
        <f t="shared" si="1"/>
        <v>19927070</v>
      </c>
      <c r="AI11" s="7"/>
    </row>
    <row r="12" spans="1:35" ht="13.2"/>
    <row r="13" spans="1:35" ht="13.2"/>
    <row r="14" spans="1:35" ht="13.8">
      <c r="B14" s="74" t="s">
        <v>13</v>
      </c>
      <c r="D14" s="74"/>
    </row>
    <row r="15" spans="1:35" ht="15.75" customHeight="1">
      <c r="B15" s="75" t="s">
        <v>14</v>
      </c>
      <c r="C15" s="75" t="s">
        <v>15</v>
      </c>
      <c r="D15" s="75" t="s">
        <v>16</v>
      </c>
      <c r="E15" s="76" t="s">
        <v>17</v>
      </c>
      <c r="G15" s="325" t="s">
        <v>18</v>
      </c>
      <c r="J15" t="s">
        <v>167</v>
      </c>
      <c r="K15" t="s">
        <v>168</v>
      </c>
    </row>
    <row r="16" spans="1:35" ht="13.2" customHeight="1">
      <c r="B16" s="284">
        <v>46204</v>
      </c>
      <c r="C16" s="285" t="s">
        <v>380</v>
      </c>
      <c r="D16" s="285" t="s">
        <v>381</v>
      </c>
      <c r="E16" s="286">
        <v>1356069</v>
      </c>
      <c r="F16" s="284" t="s">
        <v>171</v>
      </c>
      <c r="G16" s="286">
        <v>1356069</v>
      </c>
      <c r="H16" s="285" t="s">
        <v>380</v>
      </c>
      <c r="I16" s="285" t="s">
        <v>381</v>
      </c>
      <c r="J16" s="285" t="s">
        <v>382</v>
      </c>
      <c r="K16" s="285" t="s">
        <v>173</v>
      </c>
    </row>
    <row r="17" spans="2:11" ht="13.2" customHeight="1">
      <c r="B17" s="284">
        <v>46204</v>
      </c>
      <c r="C17" s="285" t="s">
        <v>380</v>
      </c>
      <c r="D17" s="285" t="s">
        <v>383</v>
      </c>
      <c r="E17" s="286">
        <v>3099290</v>
      </c>
      <c r="F17" s="284" t="s">
        <v>171</v>
      </c>
      <c r="G17" s="286">
        <v>3099290</v>
      </c>
      <c r="H17" s="285" t="s">
        <v>380</v>
      </c>
      <c r="I17" s="285" t="s">
        <v>383</v>
      </c>
      <c r="J17" s="285" t="s">
        <v>382</v>
      </c>
      <c r="K17" s="285" t="s">
        <v>173</v>
      </c>
    </row>
    <row r="18" spans="2:11" ht="13.2" customHeight="1">
      <c r="B18" s="284">
        <v>46204</v>
      </c>
      <c r="C18" s="285" t="s">
        <v>380</v>
      </c>
      <c r="D18" s="285" t="s">
        <v>384</v>
      </c>
      <c r="E18" s="286">
        <v>2864569</v>
      </c>
      <c r="F18" s="284" t="s">
        <v>171</v>
      </c>
      <c r="G18" s="286">
        <v>2864569</v>
      </c>
      <c r="H18" s="285" t="s">
        <v>380</v>
      </c>
      <c r="I18" s="285" t="s">
        <v>384</v>
      </c>
      <c r="J18" s="285" t="s">
        <v>382</v>
      </c>
      <c r="K18" s="285" t="s">
        <v>173</v>
      </c>
    </row>
    <row r="19" spans="2:11" ht="13.2" customHeight="1">
      <c r="B19" s="284">
        <v>46205</v>
      </c>
      <c r="C19" s="285" t="s">
        <v>380</v>
      </c>
      <c r="D19" s="285" t="s">
        <v>385</v>
      </c>
      <c r="E19" s="286">
        <v>1375339</v>
      </c>
      <c r="F19" s="284" t="s">
        <v>178</v>
      </c>
      <c r="G19" s="286">
        <v>1375339</v>
      </c>
      <c r="H19" s="285" t="s">
        <v>380</v>
      </c>
      <c r="I19" s="285" t="s">
        <v>385</v>
      </c>
      <c r="J19" s="285" t="s">
        <v>382</v>
      </c>
      <c r="K19" s="285" t="s">
        <v>173</v>
      </c>
    </row>
    <row r="20" spans="2:11" ht="13.2" customHeight="1">
      <c r="B20" s="284">
        <v>46206</v>
      </c>
      <c r="C20" s="285" t="s">
        <v>380</v>
      </c>
      <c r="D20" s="285" t="s">
        <v>386</v>
      </c>
      <c r="E20" s="286">
        <v>13061686</v>
      </c>
      <c r="F20" s="284" t="s">
        <v>181</v>
      </c>
      <c r="G20" s="286">
        <v>13061686</v>
      </c>
      <c r="H20" s="285" t="s">
        <v>380</v>
      </c>
      <c r="I20" s="285" t="s">
        <v>386</v>
      </c>
      <c r="J20" s="285" t="s">
        <v>382</v>
      </c>
      <c r="K20" s="285" t="s">
        <v>173</v>
      </c>
    </row>
    <row r="21" spans="2:11" ht="13.2" customHeight="1">
      <c r="B21" s="284">
        <v>46207</v>
      </c>
      <c r="C21" s="285" t="s">
        <v>380</v>
      </c>
      <c r="D21" s="285" t="s">
        <v>387</v>
      </c>
      <c r="E21" s="286">
        <v>6253724</v>
      </c>
      <c r="F21" s="284" t="s">
        <v>332</v>
      </c>
      <c r="G21" s="286">
        <v>6253724</v>
      </c>
      <c r="H21" s="285" t="s">
        <v>380</v>
      </c>
      <c r="I21" s="285" t="s">
        <v>387</v>
      </c>
      <c r="J21" s="285" t="s">
        <v>382</v>
      </c>
      <c r="K21" s="285" t="s">
        <v>173</v>
      </c>
    </row>
    <row r="22" spans="2:11" ht="13.2" customHeight="1">
      <c r="B22" s="284">
        <v>46208</v>
      </c>
      <c r="C22" s="285" t="s">
        <v>380</v>
      </c>
      <c r="D22" s="285" t="s">
        <v>388</v>
      </c>
      <c r="E22" s="286">
        <v>13061686</v>
      </c>
      <c r="F22" s="284" t="s">
        <v>183</v>
      </c>
      <c r="G22" s="286">
        <v>13061686</v>
      </c>
      <c r="H22" s="285" t="s">
        <v>380</v>
      </c>
      <c r="I22" s="285" t="s">
        <v>388</v>
      </c>
      <c r="J22" s="285" t="s">
        <v>382</v>
      </c>
      <c r="K22" s="285" t="s">
        <v>173</v>
      </c>
    </row>
    <row r="23" spans="2:11" ht="13.2" customHeight="1">
      <c r="B23" s="284">
        <v>46209</v>
      </c>
      <c r="C23" s="285" t="s">
        <v>380</v>
      </c>
      <c r="D23" s="285" t="s">
        <v>389</v>
      </c>
      <c r="E23" s="286">
        <v>13061686</v>
      </c>
      <c r="F23" s="284" t="s">
        <v>187</v>
      </c>
      <c r="G23" s="286">
        <v>13061686</v>
      </c>
      <c r="H23" s="285" t="s">
        <v>380</v>
      </c>
      <c r="I23" s="285" t="s">
        <v>389</v>
      </c>
      <c r="J23" s="285" t="s">
        <v>382</v>
      </c>
      <c r="K23" s="285" t="s">
        <v>173</v>
      </c>
    </row>
    <row r="24" spans="2:11" ht="13.2" customHeight="1">
      <c r="B24" s="284">
        <v>46211</v>
      </c>
      <c r="C24" s="285" t="s">
        <v>380</v>
      </c>
      <c r="D24" s="285" t="s">
        <v>390</v>
      </c>
      <c r="E24" s="286">
        <v>11862605</v>
      </c>
      <c r="F24" s="284" t="s">
        <v>192</v>
      </c>
      <c r="G24" s="286">
        <v>11862605</v>
      </c>
      <c r="H24" s="285" t="s">
        <v>380</v>
      </c>
      <c r="I24" s="285" t="s">
        <v>390</v>
      </c>
      <c r="J24" s="285" t="s">
        <v>382</v>
      </c>
      <c r="K24" s="285" t="s">
        <v>173</v>
      </c>
    </row>
    <row r="25" spans="2:11" ht="13.2" customHeight="1">
      <c r="B25" s="284">
        <v>46214</v>
      </c>
      <c r="C25" s="285" t="s">
        <v>380</v>
      </c>
      <c r="D25" s="285" t="s">
        <v>391</v>
      </c>
      <c r="E25" s="286">
        <v>11862605</v>
      </c>
      <c r="F25" s="284" t="s">
        <v>198</v>
      </c>
      <c r="G25" s="286">
        <v>11862605</v>
      </c>
      <c r="H25" s="285" t="s">
        <v>380</v>
      </c>
      <c r="I25" s="285" t="s">
        <v>391</v>
      </c>
      <c r="J25" s="285" t="s">
        <v>382</v>
      </c>
      <c r="K25" s="285" t="s">
        <v>173</v>
      </c>
    </row>
    <row r="26" spans="2:11" ht="13.2" customHeight="1">
      <c r="B26" s="284">
        <v>46216</v>
      </c>
      <c r="C26" s="285" t="s">
        <v>380</v>
      </c>
      <c r="D26" s="285" t="s">
        <v>392</v>
      </c>
      <c r="E26" s="286">
        <v>10443848</v>
      </c>
      <c r="F26" s="284" t="s">
        <v>202</v>
      </c>
      <c r="G26" s="286">
        <v>10443848</v>
      </c>
      <c r="H26" s="285" t="s">
        <v>380</v>
      </c>
      <c r="I26" s="285" t="s">
        <v>392</v>
      </c>
      <c r="J26" s="285" t="s">
        <v>382</v>
      </c>
      <c r="K26" s="285" t="s">
        <v>173</v>
      </c>
    </row>
    <row r="27" spans="2:11" ht="13.2" customHeight="1">
      <c r="B27" s="284">
        <v>46219</v>
      </c>
      <c r="C27" s="285" t="s">
        <v>380</v>
      </c>
      <c r="D27" s="285" t="s">
        <v>393</v>
      </c>
      <c r="E27" s="286">
        <v>11055376</v>
      </c>
      <c r="F27" s="284" t="s">
        <v>206</v>
      </c>
      <c r="G27" s="286">
        <v>11055376</v>
      </c>
      <c r="H27" s="285" t="s">
        <v>380</v>
      </c>
      <c r="I27" s="285" t="s">
        <v>393</v>
      </c>
      <c r="J27" s="285" t="s">
        <v>382</v>
      </c>
      <c r="K27" s="285" t="s">
        <v>173</v>
      </c>
    </row>
    <row r="28" spans="2:11" ht="13.2" customHeight="1">
      <c r="B28" s="284">
        <v>46222</v>
      </c>
      <c r="C28" s="285" t="s">
        <v>380</v>
      </c>
      <c r="D28" s="285" t="s">
        <v>394</v>
      </c>
      <c r="E28" s="286">
        <v>8563628</v>
      </c>
      <c r="F28" s="284" t="s">
        <v>210</v>
      </c>
      <c r="G28" s="286">
        <v>8563628</v>
      </c>
      <c r="H28" s="285" t="s">
        <v>380</v>
      </c>
      <c r="I28" s="285" t="s">
        <v>394</v>
      </c>
      <c r="J28" s="285" t="s">
        <v>382</v>
      </c>
      <c r="K28" s="285" t="s">
        <v>173</v>
      </c>
    </row>
    <row r="29" spans="2:11" ht="13.2" customHeight="1">
      <c r="B29" s="284">
        <v>46225</v>
      </c>
      <c r="C29" s="285" t="s">
        <v>380</v>
      </c>
      <c r="D29" s="285" t="s">
        <v>395</v>
      </c>
      <c r="E29" s="286">
        <v>9636528</v>
      </c>
      <c r="F29" s="284" t="s">
        <v>216</v>
      </c>
      <c r="G29" s="286">
        <v>9636528</v>
      </c>
      <c r="H29" s="285" t="s">
        <v>380</v>
      </c>
      <c r="I29" s="285" t="s">
        <v>395</v>
      </c>
      <c r="J29" s="285" t="s">
        <v>382</v>
      </c>
      <c r="K29" s="285" t="s">
        <v>173</v>
      </c>
    </row>
    <row r="30" spans="2:11" ht="13.2" customHeight="1">
      <c r="B30" s="284">
        <v>46229</v>
      </c>
      <c r="C30" s="285" t="s">
        <v>380</v>
      </c>
      <c r="D30" s="285" t="s">
        <v>396</v>
      </c>
      <c r="E30" s="286">
        <v>11099450</v>
      </c>
      <c r="F30" s="284" t="s">
        <v>222</v>
      </c>
      <c r="G30" s="286">
        <v>11099450</v>
      </c>
      <c r="H30" s="285" t="s">
        <v>380</v>
      </c>
      <c r="I30" s="285" t="s">
        <v>396</v>
      </c>
      <c r="J30" s="285" t="s">
        <v>382</v>
      </c>
      <c r="K30" s="285" t="s">
        <v>173</v>
      </c>
    </row>
    <row r="31" spans="2:11" ht="13.2" customHeight="1">
      <c r="B31" s="284">
        <v>46233</v>
      </c>
      <c r="C31" s="285" t="s">
        <v>380</v>
      </c>
      <c r="D31" s="285" t="s">
        <v>397</v>
      </c>
      <c r="E31" s="286">
        <v>11099450</v>
      </c>
      <c r="F31" s="284" t="s">
        <v>229</v>
      </c>
      <c r="G31" s="286">
        <v>11099450</v>
      </c>
      <c r="H31" s="285" t="s">
        <v>380</v>
      </c>
      <c r="I31" s="285" t="s">
        <v>397</v>
      </c>
      <c r="J31" s="285" t="s">
        <v>382</v>
      </c>
      <c r="K31" s="285" t="s">
        <v>173</v>
      </c>
    </row>
    <row r="32" spans="2:11" ht="13.2" customHeight="1">
      <c r="B32" s="284">
        <v>46234</v>
      </c>
      <c r="C32" s="285" t="s">
        <v>380</v>
      </c>
      <c r="D32" s="285" t="s">
        <v>398</v>
      </c>
      <c r="E32" s="286">
        <v>10971181</v>
      </c>
      <c r="F32" s="284" t="s">
        <v>233</v>
      </c>
      <c r="G32" s="286">
        <v>10971181</v>
      </c>
      <c r="H32" s="285" t="s">
        <v>380</v>
      </c>
      <c r="I32" s="285" t="s">
        <v>398</v>
      </c>
      <c r="J32" s="285" t="s">
        <v>382</v>
      </c>
      <c r="K32" s="285" t="s">
        <v>173</v>
      </c>
    </row>
    <row r="33" spans="2:11" ht="13.2" customHeight="1">
      <c r="B33" s="54"/>
      <c r="C33" s="54"/>
      <c r="D33" s="54"/>
      <c r="E33" s="54"/>
    </row>
    <row r="34" spans="2:11" ht="13.2" customHeight="1">
      <c r="B34" s="289">
        <v>46204</v>
      </c>
      <c r="C34" s="290" t="s">
        <v>380</v>
      </c>
      <c r="D34" s="290" t="s">
        <v>399</v>
      </c>
      <c r="E34" s="291">
        <v>1042147</v>
      </c>
      <c r="F34" s="339" t="s">
        <v>171</v>
      </c>
      <c r="G34" s="340">
        <v>1042147</v>
      </c>
      <c r="H34" s="341" t="s">
        <v>380</v>
      </c>
      <c r="I34" s="341" t="s">
        <v>399</v>
      </c>
      <c r="J34" s="341" t="s">
        <v>400</v>
      </c>
      <c r="K34" s="341" t="s">
        <v>173</v>
      </c>
    </row>
    <row r="35" spans="2:11" ht="13.2" customHeight="1">
      <c r="B35" s="289">
        <v>46204</v>
      </c>
      <c r="C35" s="290" t="s">
        <v>380</v>
      </c>
      <c r="D35" s="290" t="s">
        <v>401</v>
      </c>
      <c r="E35" s="291">
        <v>1061193</v>
      </c>
      <c r="F35" s="339" t="s">
        <v>171</v>
      </c>
      <c r="G35" s="340">
        <v>1061193</v>
      </c>
      <c r="H35" s="341" t="s">
        <v>380</v>
      </c>
      <c r="I35" s="341" t="s">
        <v>401</v>
      </c>
      <c r="J35" s="341" t="s">
        <v>400</v>
      </c>
      <c r="K35" s="341" t="s">
        <v>173</v>
      </c>
    </row>
    <row r="36" spans="2:11" ht="13.2" customHeight="1">
      <c r="B36" s="289">
        <v>46204</v>
      </c>
      <c r="C36" s="290" t="s">
        <v>380</v>
      </c>
      <c r="D36" s="290" t="s">
        <v>402</v>
      </c>
      <c r="E36" s="291">
        <v>764936</v>
      </c>
      <c r="F36" s="339" t="s">
        <v>171</v>
      </c>
      <c r="G36" s="340">
        <v>764936</v>
      </c>
      <c r="H36" s="341" t="s">
        <v>380</v>
      </c>
      <c r="I36" s="341" t="s">
        <v>402</v>
      </c>
      <c r="J36" s="341" t="s">
        <v>400</v>
      </c>
      <c r="K36" s="341" t="s">
        <v>173</v>
      </c>
    </row>
    <row r="37" spans="2:11" ht="13.2" customHeight="1">
      <c r="B37" s="289">
        <v>46206</v>
      </c>
      <c r="C37" s="290" t="s">
        <v>380</v>
      </c>
      <c r="D37" s="290" t="s">
        <v>403</v>
      </c>
      <c r="E37" s="291">
        <v>2714917</v>
      </c>
      <c r="F37" s="339" t="s">
        <v>181</v>
      </c>
      <c r="G37" s="340">
        <v>2714917</v>
      </c>
      <c r="H37" s="341" t="s">
        <v>380</v>
      </c>
      <c r="I37" s="341" t="s">
        <v>403</v>
      </c>
      <c r="J37" s="341" t="s">
        <v>400</v>
      </c>
      <c r="K37" s="341" t="s">
        <v>173</v>
      </c>
    </row>
    <row r="38" spans="2:11" ht="13.2" customHeight="1">
      <c r="B38" s="289">
        <v>46206</v>
      </c>
      <c r="C38" s="290" t="s">
        <v>380</v>
      </c>
      <c r="D38" s="290" t="s">
        <v>404</v>
      </c>
      <c r="E38" s="291">
        <v>5956297</v>
      </c>
      <c r="F38" s="339" t="s">
        <v>181</v>
      </c>
      <c r="G38" s="340">
        <v>5956297</v>
      </c>
      <c r="H38" s="341" t="s">
        <v>380</v>
      </c>
      <c r="I38" s="341" t="s">
        <v>404</v>
      </c>
      <c r="J38" s="341" t="s">
        <v>400</v>
      </c>
      <c r="K38" s="341" t="s">
        <v>173</v>
      </c>
    </row>
    <row r="39" spans="2:11" ht="13.2" customHeight="1">
      <c r="B39" s="289">
        <v>46208</v>
      </c>
      <c r="C39" s="290" t="s">
        <v>380</v>
      </c>
      <c r="D39" s="290" t="s">
        <v>405</v>
      </c>
      <c r="E39" s="291">
        <v>1697425</v>
      </c>
      <c r="F39" s="339" t="s">
        <v>183</v>
      </c>
      <c r="G39" s="340">
        <v>1697425</v>
      </c>
      <c r="H39" s="341" t="s">
        <v>380</v>
      </c>
      <c r="I39" s="341" t="s">
        <v>405</v>
      </c>
      <c r="J39" s="341" t="s">
        <v>400</v>
      </c>
      <c r="K39" s="341" t="s">
        <v>173</v>
      </c>
    </row>
    <row r="40" spans="2:11" ht="13.2" customHeight="1">
      <c r="B40" s="289">
        <v>46208</v>
      </c>
      <c r="C40" s="290" t="s">
        <v>380</v>
      </c>
      <c r="D40" s="290" t="s">
        <v>406</v>
      </c>
      <c r="E40" s="291">
        <v>848713</v>
      </c>
      <c r="F40" s="339" t="s">
        <v>183</v>
      </c>
      <c r="G40" s="340">
        <v>848713</v>
      </c>
      <c r="H40" s="341" t="s">
        <v>380</v>
      </c>
      <c r="I40" s="341" t="s">
        <v>406</v>
      </c>
      <c r="J40" s="341" t="s">
        <v>400</v>
      </c>
      <c r="K40" s="341" t="s">
        <v>173</v>
      </c>
    </row>
    <row r="41" spans="2:11" ht="13.2" customHeight="1">
      <c r="B41" s="289">
        <v>46209</v>
      </c>
      <c r="C41" s="290" t="s">
        <v>380</v>
      </c>
      <c r="D41" s="290" t="s">
        <v>407</v>
      </c>
      <c r="E41" s="291">
        <v>4645179</v>
      </c>
      <c r="F41" s="339" t="s">
        <v>187</v>
      </c>
      <c r="G41" s="340">
        <v>4645179</v>
      </c>
      <c r="H41" s="341" t="s">
        <v>380</v>
      </c>
      <c r="I41" s="341" t="s">
        <v>407</v>
      </c>
      <c r="J41" s="341" t="s">
        <v>400</v>
      </c>
      <c r="K41" s="341" t="s">
        <v>173</v>
      </c>
    </row>
    <row r="42" spans="2:11" ht="13.2" customHeight="1">
      <c r="B42" s="289">
        <v>46210</v>
      </c>
      <c r="C42" s="290" t="s">
        <v>380</v>
      </c>
      <c r="D42" s="290" t="s">
        <v>408</v>
      </c>
      <c r="E42" s="291">
        <v>6777645</v>
      </c>
      <c r="F42" s="339" t="s">
        <v>190</v>
      </c>
      <c r="G42" s="340">
        <v>6777645</v>
      </c>
      <c r="H42" s="341" t="s">
        <v>380</v>
      </c>
      <c r="I42" s="341" t="s">
        <v>408</v>
      </c>
      <c r="J42" s="341" t="s">
        <v>400</v>
      </c>
      <c r="K42" s="341" t="s">
        <v>173</v>
      </c>
    </row>
    <row r="43" spans="2:11" ht="13.2" customHeight="1">
      <c r="B43" s="289">
        <v>46213</v>
      </c>
      <c r="C43" s="290" t="s">
        <v>380</v>
      </c>
      <c r="D43" s="290" t="s">
        <v>409</v>
      </c>
      <c r="E43" s="291">
        <v>6777645</v>
      </c>
      <c r="F43" s="339" t="s">
        <v>196</v>
      </c>
      <c r="G43" s="340">
        <v>6777645</v>
      </c>
      <c r="H43" s="341" t="s">
        <v>380</v>
      </c>
      <c r="I43" s="341" t="s">
        <v>409</v>
      </c>
      <c r="J43" s="341" t="s">
        <v>400</v>
      </c>
      <c r="K43" s="341" t="s">
        <v>173</v>
      </c>
    </row>
    <row r="44" spans="2:11" ht="13.2" customHeight="1">
      <c r="B44" s="289">
        <v>46216</v>
      </c>
      <c r="C44" s="290" t="s">
        <v>380</v>
      </c>
      <c r="D44" s="290" t="s">
        <v>410</v>
      </c>
      <c r="E44" s="291">
        <v>6322564</v>
      </c>
      <c r="F44" s="339" t="s">
        <v>202</v>
      </c>
      <c r="G44" s="340">
        <v>6322564</v>
      </c>
      <c r="H44" s="341" t="s">
        <v>380</v>
      </c>
      <c r="I44" s="341" t="s">
        <v>410</v>
      </c>
      <c r="J44" s="341" t="s">
        <v>400</v>
      </c>
      <c r="K44" s="341" t="s">
        <v>173</v>
      </c>
    </row>
    <row r="45" spans="2:11" ht="13.2" customHeight="1">
      <c r="B45" s="289">
        <v>46218</v>
      </c>
      <c r="C45" s="290" t="s">
        <v>380</v>
      </c>
      <c r="D45" s="290" t="s">
        <v>411</v>
      </c>
      <c r="E45" s="291">
        <v>5853148</v>
      </c>
      <c r="F45" s="339" t="s">
        <v>356</v>
      </c>
      <c r="G45" s="340">
        <v>5853148</v>
      </c>
      <c r="H45" s="341" t="s">
        <v>380</v>
      </c>
      <c r="I45" s="341" t="s">
        <v>411</v>
      </c>
      <c r="J45" s="341" t="s">
        <v>400</v>
      </c>
      <c r="K45" s="341" t="s">
        <v>173</v>
      </c>
    </row>
    <row r="46" spans="2:11" ht="13.2" customHeight="1">
      <c r="B46" s="289">
        <v>46218</v>
      </c>
      <c r="C46" s="290" t="s">
        <v>380</v>
      </c>
      <c r="D46" s="290" t="s">
        <v>412</v>
      </c>
      <c r="E46" s="291">
        <v>836164</v>
      </c>
      <c r="F46" s="339" t="s">
        <v>356</v>
      </c>
      <c r="G46" s="340">
        <v>836164</v>
      </c>
      <c r="H46" s="341" t="s">
        <v>380</v>
      </c>
      <c r="I46" s="341" t="s">
        <v>412</v>
      </c>
      <c r="J46" s="341" t="s">
        <v>400</v>
      </c>
      <c r="K46" s="341" t="s">
        <v>173</v>
      </c>
    </row>
    <row r="47" spans="2:11" ht="13.2" customHeight="1">
      <c r="B47" s="289">
        <v>46221</v>
      </c>
      <c r="C47" s="290" t="s">
        <v>380</v>
      </c>
      <c r="D47" s="290" t="s">
        <v>413</v>
      </c>
      <c r="E47" s="291">
        <v>6686277</v>
      </c>
      <c r="F47" s="339" t="s">
        <v>208</v>
      </c>
      <c r="G47" s="340">
        <v>6686277</v>
      </c>
      <c r="H47" s="341" t="s">
        <v>380</v>
      </c>
      <c r="I47" s="341" t="s">
        <v>413</v>
      </c>
      <c r="J47" s="341" t="s">
        <v>400</v>
      </c>
      <c r="K47" s="341" t="s">
        <v>173</v>
      </c>
    </row>
    <row r="48" spans="2:11" ht="13.2" customHeight="1">
      <c r="B48" s="289">
        <v>46223</v>
      </c>
      <c r="C48" s="290" t="s">
        <v>380</v>
      </c>
      <c r="D48" s="290" t="s">
        <v>414</v>
      </c>
      <c r="E48" s="291">
        <v>7653187</v>
      </c>
      <c r="F48" s="339" t="s">
        <v>212</v>
      </c>
      <c r="G48" s="340">
        <v>7653187</v>
      </c>
      <c r="H48" s="341" t="s">
        <v>380</v>
      </c>
      <c r="I48" s="341" t="s">
        <v>414</v>
      </c>
      <c r="J48" s="341" t="s">
        <v>400</v>
      </c>
      <c r="K48" s="341" t="s">
        <v>173</v>
      </c>
    </row>
    <row r="49" spans="2:11" ht="13.2" customHeight="1">
      <c r="B49" s="289">
        <v>46227</v>
      </c>
      <c r="C49" s="290" t="s">
        <v>380</v>
      </c>
      <c r="D49" s="290" t="s">
        <v>415</v>
      </c>
      <c r="E49" s="291">
        <v>8485360</v>
      </c>
      <c r="F49" s="339" t="s">
        <v>218</v>
      </c>
      <c r="G49" s="340">
        <v>8485360</v>
      </c>
      <c r="H49" s="341" t="s">
        <v>380</v>
      </c>
      <c r="I49" s="341" t="s">
        <v>415</v>
      </c>
      <c r="J49" s="341" t="s">
        <v>400</v>
      </c>
      <c r="K49" s="341" t="s">
        <v>173</v>
      </c>
    </row>
    <row r="50" spans="2:11" ht="13.2" customHeight="1">
      <c r="B50" s="289">
        <v>46227</v>
      </c>
      <c r="C50" s="290" t="s">
        <v>416</v>
      </c>
      <c r="D50" s="290" t="s">
        <v>417</v>
      </c>
      <c r="E50" s="291">
        <v>76</v>
      </c>
      <c r="F50" s="339"/>
      <c r="G50" s="340"/>
      <c r="H50" s="341"/>
      <c r="I50" s="341"/>
      <c r="J50" s="341"/>
      <c r="K50" s="341" t="s">
        <v>291</v>
      </c>
    </row>
    <row r="51" spans="2:11" ht="13.2" customHeight="1">
      <c r="B51" s="289">
        <v>46230</v>
      </c>
      <c r="C51" s="290" t="s">
        <v>380</v>
      </c>
      <c r="D51" s="290" t="s">
        <v>418</v>
      </c>
      <c r="E51" s="291">
        <v>8039837</v>
      </c>
      <c r="F51" s="339" t="s">
        <v>373</v>
      </c>
      <c r="G51" s="340">
        <v>8039837</v>
      </c>
      <c r="H51" s="341" t="s">
        <v>380</v>
      </c>
      <c r="I51" s="341" t="s">
        <v>418</v>
      </c>
      <c r="J51" s="341" t="s">
        <v>400</v>
      </c>
      <c r="K51" s="341" t="s">
        <v>173</v>
      </c>
    </row>
    <row r="52" spans="2:11" ht="13.2" customHeight="1">
      <c r="B52" s="289">
        <v>46233</v>
      </c>
      <c r="C52" s="290" t="s">
        <v>380</v>
      </c>
      <c r="D52" s="290" t="s">
        <v>419</v>
      </c>
      <c r="E52" s="291">
        <v>8039837</v>
      </c>
      <c r="F52" s="339" t="s">
        <v>229</v>
      </c>
      <c r="G52" s="340">
        <v>8039837</v>
      </c>
      <c r="H52" s="341" t="s">
        <v>380</v>
      </c>
      <c r="I52" s="341" t="s">
        <v>419</v>
      </c>
      <c r="J52" s="341" t="s">
        <v>400</v>
      </c>
      <c r="K52" s="341" t="s">
        <v>173</v>
      </c>
    </row>
    <row r="53" spans="2:11" ht="13.2" customHeight="1">
      <c r="B53" s="289">
        <v>46234</v>
      </c>
      <c r="C53" s="290" t="s">
        <v>380</v>
      </c>
      <c r="D53" s="290" t="s">
        <v>420</v>
      </c>
      <c r="E53" s="291">
        <v>4021221</v>
      </c>
      <c r="F53" s="339" t="s">
        <v>233</v>
      </c>
      <c r="G53" s="340">
        <v>4021221</v>
      </c>
      <c r="H53" s="341" t="s">
        <v>380</v>
      </c>
      <c r="I53" s="341" t="s">
        <v>420</v>
      </c>
      <c r="J53" s="341" t="s">
        <v>400</v>
      </c>
      <c r="K53" s="341" t="s">
        <v>173</v>
      </c>
    </row>
    <row r="54" spans="2:11" ht="13.2"/>
    <row r="55" spans="2:11" ht="13.2" customHeight="1">
      <c r="B55" s="292">
        <v>46205</v>
      </c>
      <c r="C55" s="293" t="s">
        <v>380</v>
      </c>
      <c r="D55" s="293" t="s">
        <v>421</v>
      </c>
      <c r="E55" s="294">
        <v>537980</v>
      </c>
      <c r="F55" s="342" t="s">
        <v>178</v>
      </c>
      <c r="G55" s="343">
        <v>537980</v>
      </c>
      <c r="H55" s="344" t="s">
        <v>380</v>
      </c>
      <c r="I55" s="344" t="s">
        <v>421</v>
      </c>
      <c r="J55" s="344" t="s">
        <v>422</v>
      </c>
      <c r="K55" s="344" t="s">
        <v>173</v>
      </c>
    </row>
    <row r="56" spans="2:11" ht="13.2" customHeight="1">
      <c r="B56" s="292">
        <v>46205</v>
      </c>
      <c r="C56" s="293" t="s">
        <v>380</v>
      </c>
      <c r="D56" s="293" t="s">
        <v>423</v>
      </c>
      <c r="E56" s="294">
        <v>452290</v>
      </c>
      <c r="F56" s="342" t="s">
        <v>178</v>
      </c>
      <c r="G56" s="343">
        <v>452290</v>
      </c>
      <c r="H56" s="344" t="s">
        <v>380</v>
      </c>
      <c r="I56" s="344" t="s">
        <v>423</v>
      </c>
      <c r="J56" s="344" t="s">
        <v>422</v>
      </c>
      <c r="K56" s="344" t="s">
        <v>173</v>
      </c>
    </row>
    <row r="57" spans="2:11" ht="13.2" customHeight="1">
      <c r="B57" s="292">
        <v>46205</v>
      </c>
      <c r="C57" s="293" t="s">
        <v>380</v>
      </c>
      <c r="D57" s="293" t="s">
        <v>424</v>
      </c>
      <c r="E57" s="294">
        <v>341342</v>
      </c>
      <c r="F57" s="342" t="s">
        <v>178</v>
      </c>
      <c r="G57" s="343">
        <v>341342</v>
      </c>
      <c r="H57" s="344" t="s">
        <v>380</v>
      </c>
      <c r="I57" s="344" t="s">
        <v>424</v>
      </c>
      <c r="J57" s="344" t="s">
        <v>422</v>
      </c>
      <c r="K57" s="344" t="s">
        <v>173</v>
      </c>
    </row>
    <row r="58" spans="2:11" ht="13.2" customHeight="1">
      <c r="B58" s="292">
        <v>46205</v>
      </c>
      <c r="C58" s="293" t="s">
        <v>380</v>
      </c>
      <c r="D58" s="293" t="s">
        <v>425</v>
      </c>
      <c r="E58" s="294">
        <v>140165</v>
      </c>
      <c r="F58" s="342" t="s">
        <v>178</v>
      </c>
      <c r="G58" s="343">
        <v>140165</v>
      </c>
      <c r="H58" s="344" t="s">
        <v>380</v>
      </c>
      <c r="I58" s="344" t="s">
        <v>425</v>
      </c>
      <c r="J58" s="344" t="s">
        <v>422</v>
      </c>
      <c r="K58" s="344" t="s">
        <v>173</v>
      </c>
    </row>
    <row r="59" spans="2:11" ht="13.2" customHeight="1">
      <c r="B59" s="292">
        <v>46206</v>
      </c>
      <c r="C59" s="293" t="s">
        <v>380</v>
      </c>
      <c r="D59" s="293" t="s">
        <v>426</v>
      </c>
      <c r="E59" s="294">
        <v>654313</v>
      </c>
      <c r="F59" s="342" t="s">
        <v>181</v>
      </c>
      <c r="G59" s="343">
        <v>654313</v>
      </c>
      <c r="H59" s="344" t="s">
        <v>380</v>
      </c>
      <c r="I59" s="344" t="s">
        <v>426</v>
      </c>
      <c r="J59" s="344" t="s">
        <v>422</v>
      </c>
      <c r="K59" s="344" t="s">
        <v>173</v>
      </c>
    </row>
    <row r="60" spans="2:11" ht="13.2" customHeight="1">
      <c r="B60" s="292">
        <v>46206</v>
      </c>
      <c r="C60" s="293" t="s">
        <v>380</v>
      </c>
      <c r="D60" s="293" t="s">
        <v>427</v>
      </c>
      <c r="E60" s="294">
        <v>537727</v>
      </c>
      <c r="F60" s="342" t="s">
        <v>181</v>
      </c>
      <c r="G60" s="343">
        <v>537727</v>
      </c>
      <c r="H60" s="344" t="s">
        <v>380</v>
      </c>
      <c r="I60" s="344" t="s">
        <v>427</v>
      </c>
      <c r="J60" s="344" t="s">
        <v>422</v>
      </c>
      <c r="K60" s="344" t="s">
        <v>173</v>
      </c>
    </row>
    <row r="61" spans="2:11" ht="13.2" customHeight="1">
      <c r="B61" s="292">
        <v>46206</v>
      </c>
      <c r="C61" s="293" t="s">
        <v>380</v>
      </c>
      <c r="D61" s="293" t="s">
        <v>428</v>
      </c>
      <c r="E61" s="294">
        <v>513336</v>
      </c>
      <c r="F61" s="342" t="s">
        <v>181</v>
      </c>
      <c r="G61" s="343">
        <v>513336</v>
      </c>
      <c r="H61" s="344" t="s">
        <v>380</v>
      </c>
      <c r="I61" s="344" t="s">
        <v>428</v>
      </c>
      <c r="J61" s="344" t="s">
        <v>422</v>
      </c>
      <c r="K61" s="344" t="s">
        <v>173</v>
      </c>
    </row>
    <row r="62" spans="2:11" ht="13.2" customHeight="1">
      <c r="B62" s="292">
        <v>46206</v>
      </c>
      <c r="C62" s="293" t="s">
        <v>380</v>
      </c>
      <c r="D62" s="293" t="s">
        <v>429</v>
      </c>
      <c r="E62" s="294">
        <v>473763</v>
      </c>
      <c r="F62" s="342" t="s">
        <v>181</v>
      </c>
      <c r="G62" s="343">
        <v>473763</v>
      </c>
      <c r="H62" s="344" t="s">
        <v>380</v>
      </c>
      <c r="I62" s="344" t="s">
        <v>429</v>
      </c>
      <c r="J62" s="344" t="s">
        <v>422</v>
      </c>
      <c r="K62" s="344" t="s">
        <v>173</v>
      </c>
    </row>
    <row r="63" spans="2:11" ht="13.2" customHeight="1">
      <c r="B63" s="292">
        <v>46206</v>
      </c>
      <c r="C63" s="293" t="s">
        <v>380</v>
      </c>
      <c r="D63" s="293" t="s">
        <v>430</v>
      </c>
      <c r="E63" s="294">
        <v>455869</v>
      </c>
      <c r="F63" s="342" t="s">
        <v>181</v>
      </c>
      <c r="G63" s="343">
        <v>455869</v>
      </c>
      <c r="H63" s="344" t="s">
        <v>380</v>
      </c>
      <c r="I63" s="344" t="s">
        <v>430</v>
      </c>
      <c r="J63" s="344" t="s">
        <v>422</v>
      </c>
      <c r="K63" s="344" t="s">
        <v>173</v>
      </c>
    </row>
    <row r="64" spans="2:11" ht="13.2" customHeight="1">
      <c r="B64" s="292">
        <v>46207</v>
      </c>
      <c r="C64" s="293" t="s">
        <v>380</v>
      </c>
      <c r="D64" s="293" t="s">
        <v>431</v>
      </c>
      <c r="E64" s="294">
        <v>855261</v>
      </c>
      <c r="F64" s="342" t="s">
        <v>332</v>
      </c>
      <c r="G64" s="343">
        <v>855261</v>
      </c>
      <c r="H64" s="344" t="s">
        <v>380</v>
      </c>
      <c r="I64" s="344" t="s">
        <v>431</v>
      </c>
      <c r="J64" s="344" t="s">
        <v>422</v>
      </c>
      <c r="K64" s="344" t="s">
        <v>173</v>
      </c>
    </row>
    <row r="65" spans="2:11" ht="13.2" customHeight="1">
      <c r="B65" s="292">
        <v>46207</v>
      </c>
      <c r="C65" s="293" t="s">
        <v>380</v>
      </c>
      <c r="D65" s="293" t="s">
        <v>432</v>
      </c>
      <c r="E65" s="294">
        <v>666620</v>
      </c>
      <c r="F65" s="342" t="s">
        <v>332</v>
      </c>
      <c r="G65" s="343">
        <v>666620</v>
      </c>
      <c r="H65" s="344" t="s">
        <v>380</v>
      </c>
      <c r="I65" s="344" t="s">
        <v>432</v>
      </c>
      <c r="J65" s="344" t="s">
        <v>422</v>
      </c>
      <c r="K65" s="344" t="s">
        <v>173</v>
      </c>
    </row>
    <row r="66" spans="2:11" ht="13.2" customHeight="1">
      <c r="B66" s="292">
        <v>46208</v>
      </c>
      <c r="C66" s="293" t="s">
        <v>380</v>
      </c>
      <c r="D66" s="293" t="s">
        <v>433</v>
      </c>
      <c r="E66" s="294">
        <v>1270035</v>
      </c>
      <c r="F66" s="342" t="s">
        <v>183</v>
      </c>
      <c r="G66" s="343">
        <v>1270035</v>
      </c>
      <c r="H66" s="344" t="s">
        <v>380</v>
      </c>
      <c r="I66" s="344" t="s">
        <v>433</v>
      </c>
      <c r="J66" s="344" t="s">
        <v>422</v>
      </c>
      <c r="K66" s="344" t="s">
        <v>173</v>
      </c>
    </row>
    <row r="67" spans="2:11" ht="13.2" customHeight="1">
      <c r="B67" s="292">
        <v>46208</v>
      </c>
      <c r="C67" s="293" t="s">
        <v>380</v>
      </c>
      <c r="D67" s="293" t="s">
        <v>434</v>
      </c>
      <c r="E67" s="294">
        <v>1097254</v>
      </c>
      <c r="F67" s="342" t="s">
        <v>183</v>
      </c>
      <c r="G67" s="343">
        <v>1097254</v>
      </c>
      <c r="H67" s="344" t="s">
        <v>380</v>
      </c>
      <c r="I67" s="344" t="s">
        <v>434</v>
      </c>
      <c r="J67" s="344" t="s">
        <v>422</v>
      </c>
      <c r="K67" s="344" t="s">
        <v>173</v>
      </c>
    </row>
    <row r="68" spans="2:11" ht="13.2" customHeight="1">
      <c r="B68" s="292">
        <v>46209</v>
      </c>
      <c r="C68" s="293" t="s">
        <v>380</v>
      </c>
      <c r="D68" s="293" t="s">
        <v>435</v>
      </c>
      <c r="E68" s="294">
        <v>1329044</v>
      </c>
      <c r="F68" s="342" t="s">
        <v>187</v>
      </c>
      <c r="G68" s="343">
        <v>1329044</v>
      </c>
      <c r="H68" s="344" t="s">
        <v>380</v>
      </c>
      <c r="I68" s="344" t="s">
        <v>435</v>
      </c>
      <c r="J68" s="344" t="s">
        <v>422</v>
      </c>
      <c r="K68" s="344" t="s">
        <v>173</v>
      </c>
    </row>
    <row r="69" spans="2:11" ht="13.2" customHeight="1">
      <c r="B69" s="292">
        <v>46210</v>
      </c>
      <c r="C69" s="293" t="s">
        <v>380</v>
      </c>
      <c r="D69" s="293" t="s">
        <v>436</v>
      </c>
      <c r="E69" s="294">
        <v>1536246</v>
      </c>
      <c r="F69" s="342" t="s">
        <v>190</v>
      </c>
      <c r="G69" s="343">
        <v>1536246</v>
      </c>
      <c r="H69" s="344" t="s">
        <v>380</v>
      </c>
      <c r="I69" s="344" t="s">
        <v>436</v>
      </c>
      <c r="J69" s="344" t="s">
        <v>422</v>
      </c>
      <c r="K69" s="344" t="s">
        <v>173</v>
      </c>
    </row>
    <row r="70" spans="2:11" ht="13.2" customHeight="1">
      <c r="B70" s="292">
        <v>46211</v>
      </c>
      <c r="C70" s="293" t="s">
        <v>380</v>
      </c>
      <c r="D70" s="293" t="s">
        <v>437</v>
      </c>
      <c r="E70" s="294">
        <v>2067105</v>
      </c>
      <c r="F70" s="342" t="s">
        <v>192</v>
      </c>
      <c r="G70" s="343">
        <v>2067105</v>
      </c>
      <c r="H70" s="344" t="s">
        <v>380</v>
      </c>
      <c r="I70" s="344" t="s">
        <v>437</v>
      </c>
      <c r="J70" s="344" t="s">
        <v>422</v>
      </c>
      <c r="K70" s="344" t="s">
        <v>173</v>
      </c>
    </row>
    <row r="71" spans="2:11" ht="13.2" customHeight="1">
      <c r="B71" s="292">
        <v>46211</v>
      </c>
      <c r="C71" s="293" t="s">
        <v>380</v>
      </c>
      <c r="D71" s="293" t="s">
        <v>438</v>
      </c>
      <c r="E71" s="294">
        <v>2067105</v>
      </c>
      <c r="F71" s="342" t="s">
        <v>192</v>
      </c>
      <c r="G71" s="343">
        <v>2067105</v>
      </c>
      <c r="H71" s="344" t="s">
        <v>380</v>
      </c>
      <c r="I71" s="344" t="s">
        <v>438</v>
      </c>
      <c r="J71" s="344" t="s">
        <v>422</v>
      </c>
      <c r="K71" s="344" t="s">
        <v>173</v>
      </c>
    </row>
    <row r="72" spans="2:11" ht="13.2" customHeight="1">
      <c r="B72" s="292">
        <v>46212</v>
      </c>
      <c r="C72" s="293" t="s">
        <v>380</v>
      </c>
      <c r="D72" s="293" t="s">
        <v>439</v>
      </c>
      <c r="E72" s="294">
        <v>2855090</v>
      </c>
      <c r="F72" s="342" t="s">
        <v>194</v>
      </c>
      <c r="G72" s="343">
        <v>2855090</v>
      </c>
      <c r="H72" s="344" t="s">
        <v>380</v>
      </c>
      <c r="I72" s="344" t="s">
        <v>439</v>
      </c>
      <c r="J72" s="344" t="s">
        <v>422</v>
      </c>
      <c r="K72" s="344" t="s">
        <v>173</v>
      </c>
    </row>
    <row r="73" spans="2:11" ht="13.2" customHeight="1">
      <c r="B73" s="292">
        <v>46214</v>
      </c>
      <c r="C73" s="293" t="s">
        <v>380</v>
      </c>
      <c r="D73" s="293" t="s">
        <v>440</v>
      </c>
      <c r="E73" s="294">
        <v>2855090</v>
      </c>
      <c r="F73" s="342" t="s">
        <v>198</v>
      </c>
      <c r="G73" s="343">
        <v>2855090</v>
      </c>
      <c r="H73" s="344" t="s">
        <v>380</v>
      </c>
      <c r="I73" s="344" t="s">
        <v>440</v>
      </c>
      <c r="J73" s="344" t="s">
        <v>422</v>
      </c>
      <c r="K73" s="344" t="s">
        <v>173</v>
      </c>
    </row>
    <row r="74" spans="2:11" ht="13.2" customHeight="1">
      <c r="B74" s="292">
        <v>46215</v>
      </c>
      <c r="C74" s="293" t="s">
        <v>380</v>
      </c>
      <c r="D74" s="293" t="s">
        <v>441</v>
      </c>
      <c r="E74" s="294">
        <v>2855090</v>
      </c>
      <c r="F74" s="342" t="s">
        <v>200</v>
      </c>
      <c r="G74" s="343">
        <v>2855090</v>
      </c>
      <c r="H74" s="344" t="s">
        <v>380</v>
      </c>
      <c r="I74" s="344" t="s">
        <v>441</v>
      </c>
      <c r="J74" s="344" t="s">
        <v>422</v>
      </c>
      <c r="K74" s="344" t="s">
        <v>173</v>
      </c>
    </row>
    <row r="75" spans="2:11" ht="13.2" customHeight="1">
      <c r="B75" s="292">
        <v>46217</v>
      </c>
      <c r="C75" s="293" t="s">
        <v>380</v>
      </c>
      <c r="D75" s="293" t="s">
        <v>442</v>
      </c>
      <c r="E75" s="294">
        <v>2855090</v>
      </c>
      <c r="F75" s="342" t="s">
        <v>204</v>
      </c>
      <c r="G75" s="343">
        <v>2855090</v>
      </c>
      <c r="H75" s="344" t="s">
        <v>380</v>
      </c>
      <c r="I75" s="344" t="s">
        <v>442</v>
      </c>
      <c r="J75" s="344" t="s">
        <v>422</v>
      </c>
      <c r="K75" s="344" t="s">
        <v>173</v>
      </c>
    </row>
    <row r="76" spans="2:11" ht="13.2" customHeight="1">
      <c r="B76" s="292">
        <v>46218</v>
      </c>
      <c r="C76" s="293" t="s">
        <v>380</v>
      </c>
      <c r="D76" s="293" t="s">
        <v>443</v>
      </c>
      <c r="E76" s="294">
        <v>2855090</v>
      </c>
      <c r="F76" s="342" t="s">
        <v>356</v>
      </c>
      <c r="G76" s="343">
        <v>2855090</v>
      </c>
      <c r="H76" s="344" t="s">
        <v>380</v>
      </c>
      <c r="I76" s="344" t="s">
        <v>443</v>
      </c>
      <c r="J76" s="344" t="s">
        <v>422</v>
      </c>
      <c r="K76" s="344" t="s">
        <v>173</v>
      </c>
    </row>
    <row r="77" spans="2:11" ht="13.2" customHeight="1">
      <c r="B77" s="292">
        <v>46220</v>
      </c>
      <c r="C77" s="293" t="s">
        <v>380</v>
      </c>
      <c r="D77" s="293" t="s">
        <v>444</v>
      </c>
      <c r="E77" s="294">
        <v>2855090</v>
      </c>
      <c r="F77" s="342" t="s">
        <v>362</v>
      </c>
      <c r="G77" s="343">
        <v>2855090</v>
      </c>
      <c r="H77" s="344" t="s">
        <v>380</v>
      </c>
      <c r="I77" s="344" t="s">
        <v>444</v>
      </c>
      <c r="J77" s="344" t="s">
        <v>422</v>
      </c>
      <c r="K77" s="344" t="s">
        <v>173</v>
      </c>
    </row>
    <row r="78" spans="2:11" ht="13.2" customHeight="1">
      <c r="B78" s="292">
        <v>46220</v>
      </c>
      <c r="C78" s="293" t="s">
        <v>380</v>
      </c>
      <c r="D78" s="293" t="s">
        <v>445</v>
      </c>
      <c r="E78" s="294">
        <v>2855090</v>
      </c>
      <c r="F78" s="342" t="s">
        <v>362</v>
      </c>
      <c r="G78" s="343">
        <v>2855090</v>
      </c>
      <c r="H78" s="344" t="s">
        <v>380</v>
      </c>
      <c r="I78" s="344" t="s">
        <v>445</v>
      </c>
      <c r="J78" s="344" t="s">
        <v>422</v>
      </c>
      <c r="K78" s="344" t="s">
        <v>173</v>
      </c>
    </row>
    <row r="79" spans="2:11" ht="13.2" customHeight="1">
      <c r="B79" s="292">
        <v>46222</v>
      </c>
      <c r="C79" s="293" t="s">
        <v>380</v>
      </c>
      <c r="D79" s="293" t="s">
        <v>446</v>
      </c>
      <c r="E79" s="294">
        <v>4524443</v>
      </c>
      <c r="F79" s="342" t="s">
        <v>210</v>
      </c>
      <c r="G79" s="343">
        <v>4524443</v>
      </c>
      <c r="H79" s="344" t="s">
        <v>380</v>
      </c>
      <c r="I79" s="344" t="s">
        <v>446</v>
      </c>
      <c r="J79" s="344" t="s">
        <v>422</v>
      </c>
      <c r="K79" s="344" t="s">
        <v>173</v>
      </c>
    </row>
    <row r="80" spans="2:11" ht="13.2" customHeight="1">
      <c r="B80" s="292">
        <v>46224</v>
      </c>
      <c r="C80" s="293" t="s">
        <v>380</v>
      </c>
      <c r="D80" s="293" t="s">
        <v>447</v>
      </c>
      <c r="E80" s="294">
        <v>4524443</v>
      </c>
      <c r="F80" s="342" t="s">
        <v>214</v>
      </c>
      <c r="G80" s="343">
        <v>4524443</v>
      </c>
      <c r="H80" s="344" t="s">
        <v>380</v>
      </c>
      <c r="I80" s="344" t="s">
        <v>447</v>
      </c>
      <c r="J80" s="344" t="s">
        <v>422</v>
      </c>
      <c r="K80" s="344" t="s">
        <v>173</v>
      </c>
    </row>
    <row r="81" spans="2:11" ht="13.2" customHeight="1">
      <c r="B81" s="292">
        <v>46226</v>
      </c>
      <c r="C81" s="293" t="s">
        <v>380</v>
      </c>
      <c r="D81" s="293" t="s">
        <v>448</v>
      </c>
      <c r="E81" s="294">
        <v>4524443</v>
      </c>
      <c r="F81" s="342" t="s">
        <v>368</v>
      </c>
      <c r="G81" s="343">
        <v>4524443</v>
      </c>
      <c r="H81" s="344" t="s">
        <v>380</v>
      </c>
      <c r="I81" s="344" t="s">
        <v>448</v>
      </c>
      <c r="J81" s="344" t="s">
        <v>422</v>
      </c>
      <c r="K81" s="344" t="s">
        <v>173</v>
      </c>
    </row>
    <row r="82" spans="2:11" ht="13.2" customHeight="1">
      <c r="B82" s="292">
        <v>46228</v>
      </c>
      <c r="C82" s="293" t="s">
        <v>380</v>
      </c>
      <c r="D82" s="293" t="s">
        <v>449</v>
      </c>
      <c r="E82" s="294">
        <v>4524443</v>
      </c>
      <c r="F82" s="342" t="s">
        <v>220</v>
      </c>
      <c r="G82" s="343">
        <v>4524443</v>
      </c>
      <c r="H82" s="344" t="s">
        <v>380</v>
      </c>
      <c r="I82" s="344" t="s">
        <v>449</v>
      </c>
      <c r="J82" s="344" t="s">
        <v>422</v>
      </c>
      <c r="K82" s="344" t="s">
        <v>173</v>
      </c>
    </row>
    <row r="83" spans="2:11" ht="13.2" customHeight="1">
      <c r="B83" s="292">
        <v>46230</v>
      </c>
      <c r="C83" s="293" t="s">
        <v>380</v>
      </c>
      <c r="D83" s="293" t="s">
        <v>450</v>
      </c>
      <c r="E83" s="294">
        <v>4524443</v>
      </c>
      <c r="F83" s="342" t="s">
        <v>373</v>
      </c>
      <c r="G83" s="343">
        <v>4524443</v>
      </c>
      <c r="H83" s="344" t="s">
        <v>380</v>
      </c>
      <c r="I83" s="344" t="s">
        <v>450</v>
      </c>
      <c r="J83" s="344" t="s">
        <v>422</v>
      </c>
      <c r="K83" s="344" t="s">
        <v>173</v>
      </c>
    </row>
    <row r="84" spans="2:11" ht="13.2" customHeight="1">
      <c r="B84" s="292">
        <v>46233</v>
      </c>
      <c r="C84" s="293" t="s">
        <v>380</v>
      </c>
      <c r="D84" s="293" t="s">
        <v>451</v>
      </c>
      <c r="E84" s="294">
        <v>4524443</v>
      </c>
      <c r="F84" s="342" t="s">
        <v>229</v>
      </c>
      <c r="G84" s="343">
        <v>4524443</v>
      </c>
      <c r="H84" s="344" t="s">
        <v>380</v>
      </c>
      <c r="I84" s="344" t="s">
        <v>451</v>
      </c>
      <c r="J84" s="344" t="s">
        <v>422</v>
      </c>
      <c r="K84" s="344" t="s">
        <v>173</v>
      </c>
    </row>
    <row r="85" spans="2:11" ht="13.2" customHeight="1">
      <c r="B85" s="292">
        <v>46234</v>
      </c>
      <c r="C85" s="293" t="s">
        <v>380</v>
      </c>
      <c r="D85" s="293" t="s">
        <v>452</v>
      </c>
      <c r="E85" s="294">
        <v>3540539</v>
      </c>
      <c r="F85" s="342" t="s">
        <v>233</v>
      </c>
      <c r="G85" s="343">
        <v>3540539</v>
      </c>
      <c r="H85" s="344" t="s">
        <v>380</v>
      </c>
      <c r="I85" s="344" t="s">
        <v>452</v>
      </c>
      <c r="J85" s="344" t="s">
        <v>422</v>
      </c>
      <c r="K85" s="344" t="s">
        <v>173</v>
      </c>
    </row>
    <row r="86" spans="2:11" ht="13.2"/>
    <row r="87" spans="2:11" ht="13.2" customHeight="1">
      <c r="B87" s="295">
        <v>46206</v>
      </c>
      <c r="C87" s="296" t="s">
        <v>380</v>
      </c>
      <c r="D87" s="296" t="s">
        <v>453</v>
      </c>
      <c r="E87" s="297">
        <v>37048</v>
      </c>
      <c r="F87" s="345" t="s">
        <v>181</v>
      </c>
      <c r="G87" s="346">
        <v>37048</v>
      </c>
      <c r="H87" s="347" t="s">
        <v>380</v>
      </c>
      <c r="I87" s="347" t="s">
        <v>453</v>
      </c>
      <c r="J87" s="347" t="s">
        <v>454</v>
      </c>
      <c r="K87" s="347" t="s">
        <v>173</v>
      </c>
    </row>
    <row r="88" spans="2:11" ht="13.2" customHeight="1">
      <c r="B88" s="295">
        <v>46206</v>
      </c>
      <c r="C88" s="296" t="s">
        <v>380</v>
      </c>
      <c r="D88" s="296" t="s">
        <v>455</v>
      </c>
      <c r="E88" s="297">
        <v>58313</v>
      </c>
      <c r="F88" s="345" t="s">
        <v>181</v>
      </c>
      <c r="G88" s="346">
        <v>58313</v>
      </c>
      <c r="H88" s="347" t="s">
        <v>380</v>
      </c>
      <c r="I88" s="347" t="s">
        <v>455</v>
      </c>
      <c r="J88" s="347" t="s">
        <v>454</v>
      </c>
      <c r="K88" s="347" t="s">
        <v>173</v>
      </c>
    </row>
    <row r="89" spans="2:11" ht="13.2" customHeight="1">
      <c r="B89" s="295">
        <v>46210</v>
      </c>
      <c r="C89" s="296" t="s">
        <v>380</v>
      </c>
      <c r="D89" s="296" t="s">
        <v>456</v>
      </c>
      <c r="E89" s="297">
        <v>58313</v>
      </c>
      <c r="F89" s="345" t="s">
        <v>190</v>
      </c>
      <c r="G89" s="346">
        <v>58313</v>
      </c>
      <c r="H89" s="347" t="s">
        <v>380</v>
      </c>
      <c r="I89" s="347" t="s">
        <v>456</v>
      </c>
      <c r="J89" s="347" t="s">
        <v>454</v>
      </c>
      <c r="K89" s="347" t="s">
        <v>173</v>
      </c>
    </row>
    <row r="90" spans="2:11" ht="13.2" customHeight="1">
      <c r="B90" s="295">
        <v>46211</v>
      </c>
      <c r="C90" s="296" t="s">
        <v>380</v>
      </c>
      <c r="D90" s="296" t="s">
        <v>457</v>
      </c>
      <c r="E90" s="297">
        <v>58313</v>
      </c>
      <c r="F90" s="345" t="s">
        <v>192</v>
      </c>
      <c r="G90" s="346">
        <v>58313</v>
      </c>
      <c r="H90" s="347" t="s">
        <v>380</v>
      </c>
      <c r="I90" s="347" t="s">
        <v>457</v>
      </c>
      <c r="J90" s="347" t="s">
        <v>454</v>
      </c>
      <c r="K90" s="347" t="s">
        <v>173</v>
      </c>
    </row>
    <row r="91" spans="2:11" ht="13.2" customHeight="1">
      <c r="B91" s="295">
        <v>46213</v>
      </c>
      <c r="C91" s="296" t="s">
        <v>380</v>
      </c>
      <c r="D91" s="296" t="s">
        <v>458</v>
      </c>
      <c r="E91" s="297">
        <v>150902</v>
      </c>
      <c r="F91" s="345" t="s">
        <v>196</v>
      </c>
      <c r="G91" s="346">
        <v>150902</v>
      </c>
      <c r="H91" s="347" t="s">
        <v>380</v>
      </c>
      <c r="I91" s="347" t="s">
        <v>458</v>
      </c>
      <c r="J91" s="347" t="s">
        <v>454</v>
      </c>
      <c r="K91" s="347" t="s">
        <v>173</v>
      </c>
    </row>
    <row r="92" spans="2:11" ht="13.2" customHeight="1">
      <c r="B92" s="295">
        <v>46214</v>
      </c>
      <c r="C92" s="296" t="s">
        <v>380</v>
      </c>
      <c r="D92" s="296" t="s">
        <v>459</v>
      </c>
      <c r="E92" s="297">
        <v>96107</v>
      </c>
      <c r="F92" s="345" t="s">
        <v>198</v>
      </c>
      <c r="G92" s="346">
        <v>96107</v>
      </c>
      <c r="H92" s="347" t="s">
        <v>380</v>
      </c>
      <c r="I92" s="347" t="s">
        <v>459</v>
      </c>
      <c r="J92" s="347" t="s">
        <v>454</v>
      </c>
      <c r="K92" s="347" t="s">
        <v>173</v>
      </c>
    </row>
    <row r="93" spans="2:11" ht="13.2" customHeight="1">
      <c r="B93" s="298"/>
      <c r="C93" s="299"/>
      <c r="D93" s="299"/>
      <c r="E93" s="300"/>
    </row>
    <row r="94" spans="2:11" ht="13.2" customHeight="1">
      <c r="B94" s="289">
        <v>46211</v>
      </c>
      <c r="C94" s="290" t="s">
        <v>380</v>
      </c>
      <c r="D94" s="290" t="s">
        <v>460</v>
      </c>
      <c r="E94" s="291">
        <v>194944</v>
      </c>
      <c r="F94" s="339" t="s">
        <v>192</v>
      </c>
      <c r="G94" s="340">
        <v>194944</v>
      </c>
      <c r="H94" s="341" t="s">
        <v>380</v>
      </c>
      <c r="I94" s="341" t="s">
        <v>460</v>
      </c>
      <c r="J94" s="341" t="s">
        <v>461</v>
      </c>
      <c r="K94" s="341" t="s">
        <v>173</v>
      </c>
    </row>
    <row r="95" spans="2:11" ht="13.2" customHeight="1">
      <c r="B95" s="289">
        <v>46211</v>
      </c>
      <c r="C95" s="290" t="s">
        <v>380</v>
      </c>
      <c r="D95" s="290" t="s">
        <v>462</v>
      </c>
      <c r="E95" s="291">
        <v>301359</v>
      </c>
      <c r="F95" s="339" t="s">
        <v>192</v>
      </c>
      <c r="G95" s="340">
        <v>301359</v>
      </c>
      <c r="H95" s="341" t="s">
        <v>380</v>
      </c>
      <c r="I95" s="341" t="s">
        <v>462</v>
      </c>
      <c r="J95" s="341" t="s">
        <v>461</v>
      </c>
      <c r="K95" s="341" t="s">
        <v>173</v>
      </c>
    </row>
    <row r="96" spans="2:11" ht="13.2" customHeight="1">
      <c r="B96" s="289">
        <v>46211</v>
      </c>
      <c r="C96" s="290" t="s">
        <v>380</v>
      </c>
      <c r="D96" s="290" t="s">
        <v>463</v>
      </c>
      <c r="E96" s="291">
        <v>174376</v>
      </c>
      <c r="F96" s="339" t="s">
        <v>192</v>
      </c>
      <c r="G96" s="340">
        <v>174376</v>
      </c>
      <c r="H96" s="341" t="s">
        <v>380</v>
      </c>
      <c r="I96" s="341" t="s">
        <v>463</v>
      </c>
      <c r="J96" s="341" t="s">
        <v>461</v>
      </c>
      <c r="K96" s="341" t="s">
        <v>173</v>
      </c>
    </row>
    <row r="97" spans="2:11" ht="13.2" customHeight="1">
      <c r="B97" s="289">
        <v>46211</v>
      </c>
      <c r="C97" s="290" t="s">
        <v>380</v>
      </c>
      <c r="D97" s="290" t="s">
        <v>464</v>
      </c>
      <c r="E97" s="291">
        <v>165777</v>
      </c>
      <c r="F97" s="339" t="s">
        <v>192</v>
      </c>
      <c r="G97" s="340">
        <v>165777</v>
      </c>
      <c r="H97" s="341" t="s">
        <v>380</v>
      </c>
      <c r="I97" s="341" t="s">
        <v>464</v>
      </c>
      <c r="J97" s="341" t="s">
        <v>461</v>
      </c>
      <c r="K97" s="341" t="s">
        <v>173</v>
      </c>
    </row>
    <row r="98" spans="2:11" ht="13.2" customHeight="1">
      <c r="B98" s="289">
        <v>46212</v>
      </c>
      <c r="C98" s="290" t="s">
        <v>380</v>
      </c>
      <c r="D98" s="290" t="s">
        <v>465</v>
      </c>
      <c r="E98" s="291">
        <v>500644</v>
      </c>
      <c r="F98" s="339" t="s">
        <v>194</v>
      </c>
      <c r="G98" s="340">
        <v>500644</v>
      </c>
      <c r="H98" s="341" t="s">
        <v>380</v>
      </c>
      <c r="I98" s="341" t="s">
        <v>465</v>
      </c>
      <c r="J98" s="341" t="s">
        <v>461</v>
      </c>
      <c r="K98" s="341" t="s">
        <v>173</v>
      </c>
    </row>
    <row r="99" spans="2:11" ht="13.2" customHeight="1">
      <c r="B99" s="289">
        <v>46212</v>
      </c>
      <c r="C99" s="290" t="s">
        <v>380</v>
      </c>
      <c r="D99" s="290" t="s">
        <v>466</v>
      </c>
      <c r="E99" s="291">
        <v>481638</v>
      </c>
      <c r="F99" s="339" t="s">
        <v>194</v>
      </c>
      <c r="G99" s="340">
        <v>481638</v>
      </c>
      <c r="H99" s="341" t="s">
        <v>380</v>
      </c>
      <c r="I99" s="341" t="s">
        <v>466</v>
      </c>
      <c r="J99" s="341" t="s">
        <v>461</v>
      </c>
      <c r="K99" s="341" t="s">
        <v>173</v>
      </c>
    </row>
    <row r="100" spans="2:11" ht="13.2" customHeight="1">
      <c r="B100" s="289">
        <v>46212</v>
      </c>
      <c r="C100" s="290" t="s">
        <v>380</v>
      </c>
      <c r="D100" s="290" t="s">
        <v>467</v>
      </c>
      <c r="E100" s="291">
        <v>199639</v>
      </c>
      <c r="F100" s="339" t="s">
        <v>194</v>
      </c>
      <c r="G100" s="340">
        <v>199639</v>
      </c>
      <c r="H100" s="341" t="s">
        <v>380</v>
      </c>
      <c r="I100" s="341" t="s">
        <v>467</v>
      </c>
      <c r="J100" s="341" t="s">
        <v>461</v>
      </c>
      <c r="K100" s="341" t="s">
        <v>173</v>
      </c>
    </row>
    <row r="101" spans="2:11" ht="13.2" customHeight="1">
      <c r="B101" s="289">
        <v>46213</v>
      </c>
      <c r="C101" s="290" t="s">
        <v>380</v>
      </c>
      <c r="D101" s="290" t="s">
        <v>468</v>
      </c>
      <c r="E101" s="291">
        <v>612555</v>
      </c>
      <c r="F101" s="339" t="s">
        <v>196</v>
      </c>
      <c r="G101" s="340">
        <v>612555</v>
      </c>
      <c r="H101" s="341" t="s">
        <v>380</v>
      </c>
      <c r="I101" s="341" t="s">
        <v>468</v>
      </c>
      <c r="J101" s="341" t="s">
        <v>461</v>
      </c>
      <c r="K101" s="341" t="s">
        <v>173</v>
      </c>
    </row>
    <row r="102" spans="2:11" ht="13.2" customHeight="1">
      <c r="B102" s="289">
        <v>46213</v>
      </c>
      <c r="C102" s="290" t="s">
        <v>380</v>
      </c>
      <c r="D102" s="290" t="s">
        <v>469</v>
      </c>
      <c r="E102" s="291">
        <v>568961</v>
      </c>
      <c r="F102" s="339" t="s">
        <v>196</v>
      </c>
      <c r="G102" s="340">
        <v>568961</v>
      </c>
      <c r="H102" s="341" t="s">
        <v>380</v>
      </c>
      <c r="I102" s="341" t="s">
        <v>469</v>
      </c>
      <c r="J102" s="341" t="s">
        <v>461</v>
      </c>
      <c r="K102" s="341" t="s">
        <v>173</v>
      </c>
    </row>
    <row r="103" spans="2:11" ht="13.2" customHeight="1">
      <c r="B103" s="289">
        <v>46213</v>
      </c>
      <c r="C103" s="290" t="s">
        <v>380</v>
      </c>
      <c r="D103" s="290" t="s">
        <v>470</v>
      </c>
      <c r="E103" s="291">
        <v>500644</v>
      </c>
      <c r="F103" s="339" t="s">
        <v>196</v>
      </c>
      <c r="G103" s="340">
        <v>500644</v>
      </c>
      <c r="H103" s="341" t="s">
        <v>380</v>
      </c>
      <c r="I103" s="341" t="s">
        <v>470</v>
      </c>
      <c r="J103" s="341" t="s">
        <v>461</v>
      </c>
      <c r="K103" s="341" t="s">
        <v>173</v>
      </c>
    </row>
    <row r="104" spans="2:11" ht="13.2" customHeight="1">
      <c r="B104" s="289">
        <v>46214</v>
      </c>
      <c r="C104" s="290" t="s">
        <v>380</v>
      </c>
      <c r="D104" s="290" t="s">
        <v>471</v>
      </c>
      <c r="E104" s="291">
        <v>585057</v>
      </c>
      <c r="F104" s="339" t="s">
        <v>198</v>
      </c>
      <c r="G104" s="340">
        <v>585057</v>
      </c>
      <c r="H104" s="341" t="s">
        <v>380</v>
      </c>
      <c r="I104" s="341" t="s">
        <v>471</v>
      </c>
      <c r="J104" s="341" t="s">
        <v>461</v>
      </c>
      <c r="K104" s="341" t="s">
        <v>173</v>
      </c>
    </row>
    <row r="105" spans="2:11" ht="13.2" customHeight="1">
      <c r="B105" s="289">
        <v>46215</v>
      </c>
      <c r="C105" s="290" t="s">
        <v>380</v>
      </c>
      <c r="D105" s="290" t="s">
        <v>472</v>
      </c>
      <c r="E105" s="291">
        <v>1028864</v>
      </c>
      <c r="F105" s="339" t="s">
        <v>200</v>
      </c>
      <c r="G105" s="340">
        <v>1028864</v>
      </c>
      <c r="H105" s="341" t="s">
        <v>380</v>
      </c>
      <c r="I105" s="341" t="s">
        <v>472</v>
      </c>
      <c r="J105" s="341" t="s">
        <v>461</v>
      </c>
      <c r="K105" s="341" t="s">
        <v>173</v>
      </c>
    </row>
    <row r="106" spans="2:11" ht="13.2" customHeight="1">
      <c r="B106" s="289">
        <v>46215</v>
      </c>
      <c r="C106" s="290" t="s">
        <v>380</v>
      </c>
      <c r="D106" s="290" t="s">
        <v>473</v>
      </c>
      <c r="E106" s="291">
        <v>1028864</v>
      </c>
      <c r="F106" s="339" t="s">
        <v>200</v>
      </c>
      <c r="G106" s="340">
        <v>1028864</v>
      </c>
      <c r="H106" s="341" t="s">
        <v>380</v>
      </c>
      <c r="I106" s="341" t="s">
        <v>473</v>
      </c>
      <c r="J106" s="341" t="s">
        <v>461</v>
      </c>
      <c r="K106" s="341" t="s">
        <v>173</v>
      </c>
    </row>
    <row r="107" spans="2:11" ht="13.2" customHeight="1">
      <c r="B107" s="289">
        <v>46216</v>
      </c>
      <c r="C107" s="290" t="s">
        <v>380</v>
      </c>
      <c r="D107" s="290" t="s">
        <v>474</v>
      </c>
      <c r="E107" s="291">
        <v>1158254</v>
      </c>
      <c r="F107" s="339" t="s">
        <v>202</v>
      </c>
      <c r="G107" s="340">
        <v>1158254</v>
      </c>
      <c r="H107" s="341" t="s">
        <v>380</v>
      </c>
      <c r="I107" s="341" t="s">
        <v>474</v>
      </c>
      <c r="J107" s="341" t="s">
        <v>461</v>
      </c>
      <c r="K107" s="341" t="s">
        <v>173</v>
      </c>
    </row>
    <row r="108" spans="2:11" ht="13.2" customHeight="1">
      <c r="B108" s="289">
        <v>46217</v>
      </c>
      <c r="C108" s="290" t="s">
        <v>380</v>
      </c>
      <c r="D108" s="290" t="s">
        <v>475</v>
      </c>
      <c r="E108" s="291">
        <v>1364966</v>
      </c>
      <c r="F108" s="339" t="s">
        <v>204</v>
      </c>
      <c r="G108" s="340">
        <v>1364966</v>
      </c>
      <c r="H108" s="341" t="s">
        <v>380</v>
      </c>
      <c r="I108" s="341" t="s">
        <v>475</v>
      </c>
      <c r="J108" s="341" t="s">
        <v>461</v>
      </c>
      <c r="K108" s="341" t="s">
        <v>173</v>
      </c>
    </row>
    <row r="109" spans="2:11" ht="13.2" customHeight="1">
      <c r="B109" s="289">
        <v>46218</v>
      </c>
      <c r="C109" s="290" t="s">
        <v>380</v>
      </c>
      <c r="D109" s="290" t="s">
        <v>476</v>
      </c>
      <c r="E109" s="291">
        <v>1536196</v>
      </c>
      <c r="F109" s="339" t="s">
        <v>356</v>
      </c>
      <c r="G109" s="340">
        <v>1536196</v>
      </c>
      <c r="H109" s="341" t="s">
        <v>380</v>
      </c>
      <c r="I109" s="341" t="s">
        <v>476</v>
      </c>
      <c r="J109" s="341" t="s">
        <v>461</v>
      </c>
      <c r="K109" s="341" t="s">
        <v>173</v>
      </c>
    </row>
    <row r="110" spans="2:11" ht="13.2" customHeight="1">
      <c r="B110" s="289">
        <v>46219</v>
      </c>
      <c r="C110" s="290" t="s">
        <v>380</v>
      </c>
      <c r="D110" s="290" t="s">
        <v>477</v>
      </c>
      <c r="E110" s="291">
        <v>1548597</v>
      </c>
      <c r="F110" s="339" t="s">
        <v>206</v>
      </c>
      <c r="G110" s="340">
        <v>1548597</v>
      </c>
      <c r="H110" s="341" t="s">
        <v>380</v>
      </c>
      <c r="I110" s="341" t="s">
        <v>477</v>
      </c>
      <c r="J110" s="341" t="s">
        <v>461</v>
      </c>
      <c r="K110" s="341" t="s">
        <v>173</v>
      </c>
    </row>
    <row r="111" spans="2:11" ht="13.2" customHeight="1">
      <c r="B111" s="289">
        <v>46220</v>
      </c>
      <c r="C111" s="290" t="s">
        <v>380</v>
      </c>
      <c r="D111" s="290" t="s">
        <v>478</v>
      </c>
      <c r="E111" s="291">
        <v>1548597</v>
      </c>
      <c r="F111" s="339" t="s">
        <v>362</v>
      </c>
      <c r="G111" s="340">
        <v>1548597</v>
      </c>
      <c r="H111" s="341" t="s">
        <v>380</v>
      </c>
      <c r="I111" s="341" t="s">
        <v>478</v>
      </c>
      <c r="J111" s="341" t="s">
        <v>461</v>
      </c>
      <c r="K111" s="341" t="s">
        <v>173</v>
      </c>
    </row>
    <row r="112" spans="2:11" ht="13.2" customHeight="1">
      <c r="B112" s="289">
        <v>46222</v>
      </c>
      <c r="C112" s="290" t="s">
        <v>380</v>
      </c>
      <c r="D112" s="290" t="s">
        <v>479</v>
      </c>
      <c r="E112" s="291">
        <v>1548597</v>
      </c>
      <c r="F112" s="339" t="s">
        <v>210</v>
      </c>
      <c r="G112" s="340">
        <v>1548597</v>
      </c>
      <c r="H112" s="341" t="s">
        <v>380</v>
      </c>
      <c r="I112" s="341" t="s">
        <v>479</v>
      </c>
      <c r="J112" s="341" t="s">
        <v>461</v>
      </c>
      <c r="K112" s="341" t="s">
        <v>173</v>
      </c>
    </row>
    <row r="113" spans="2:11" ht="13.2" customHeight="1">
      <c r="B113" s="289">
        <v>46222</v>
      </c>
      <c r="C113" s="290" t="s">
        <v>380</v>
      </c>
      <c r="D113" s="290" t="s">
        <v>480</v>
      </c>
      <c r="E113" s="291">
        <v>1548597</v>
      </c>
      <c r="F113" s="339" t="s">
        <v>210</v>
      </c>
      <c r="G113" s="340">
        <v>1548597</v>
      </c>
      <c r="H113" s="341" t="s">
        <v>380</v>
      </c>
      <c r="I113" s="341" t="s">
        <v>480</v>
      </c>
      <c r="J113" s="341" t="s">
        <v>461</v>
      </c>
      <c r="K113" s="341" t="s">
        <v>173</v>
      </c>
    </row>
    <row r="114" spans="2:11" ht="13.2" customHeight="1">
      <c r="B114" s="289">
        <v>46224</v>
      </c>
      <c r="C114" s="290" t="s">
        <v>380</v>
      </c>
      <c r="D114" s="290" t="s">
        <v>481</v>
      </c>
      <c r="E114" s="291">
        <v>2001438</v>
      </c>
      <c r="F114" s="339" t="s">
        <v>214</v>
      </c>
      <c r="G114" s="340">
        <v>2001438</v>
      </c>
      <c r="H114" s="341" t="s">
        <v>380</v>
      </c>
      <c r="I114" s="341" t="s">
        <v>481</v>
      </c>
      <c r="J114" s="341" t="s">
        <v>461</v>
      </c>
      <c r="K114" s="341" t="s">
        <v>173</v>
      </c>
    </row>
    <row r="115" spans="2:11" ht="13.2" customHeight="1">
      <c r="B115" s="289">
        <v>46224</v>
      </c>
      <c r="C115" s="290" t="s">
        <v>380</v>
      </c>
      <c r="D115" s="290" t="s">
        <v>482</v>
      </c>
      <c r="E115" s="291">
        <v>2001438</v>
      </c>
      <c r="F115" s="339" t="s">
        <v>214</v>
      </c>
      <c r="G115" s="340">
        <v>2001438</v>
      </c>
      <c r="H115" s="341" t="s">
        <v>380</v>
      </c>
      <c r="I115" s="341" t="s">
        <v>482</v>
      </c>
      <c r="J115" s="341" t="s">
        <v>461</v>
      </c>
      <c r="K115" s="341" t="s">
        <v>173</v>
      </c>
    </row>
    <row r="116" spans="2:11" ht="13.2" customHeight="1">
      <c r="B116" s="289">
        <v>46226</v>
      </c>
      <c r="C116" s="290" t="s">
        <v>380</v>
      </c>
      <c r="D116" s="290" t="s">
        <v>483</v>
      </c>
      <c r="E116" s="291">
        <v>2596486</v>
      </c>
      <c r="F116" s="339" t="s">
        <v>368</v>
      </c>
      <c r="G116" s="340">
        <v>2596486</v>
      </c>
      <c r="H116" s="341" t="s">
        <v>380</v>
      </c>
      <c r="I116" s="341" t="s">
        <v>483</v>
      </c>
      <c r="J116" s="341" t="s">
        <v>461</v>
      </c>
      <c r="K116" s="341" t="s">
        <v>173</v>
      </c>
    </row>
    <row r="117" spans="2:11" ht="13.2" customHeight="1">
      <c r="B117" s="289">
        <v>46227</v>
      </c>
      <c r="C117" s="290" t="s">
        <v>380</v>
      </c>
      <c r="D117" s="290" t="s">
        <v>484</v>
      </c>
      <c r="E117" s="291">
        <v>2596486</v>
      </c>
      <c r="F117" s="339" t="s">
        <v>218</v>
      </c>
      <c r="G117" s="340">
        <v>2596486</v>
      </c>
      <c r="H117" s="341" t="s">
        <v>380</v>
      </c>
      <c r="I117" s="341" t="s">
        <v>484</v>
      </c>
      <c r="J117" s="341" t="s">
        <v>461</v>
      </c>
      <c r="K117" s="341" t="s">
        <v>173</v>
      </c>
    </row>
    <row r="118" spans="2:11" ht="13.2" customHeight="1">
      <c r="B118" s="289">
        <v>46228</v>
      </c>
      <c r="C118" s="290" t="s">
        <v>380</v>
      </c>
      <c r="D118" s="290" t="s">
        <v>485</v>
      </c>
      <c r="E118" s="291">
        <v>2596486</v>
      </c>
      <c r="F118" s="339" t="s">
        <v>220</v>
      </c>
      <c r="G118" s="340">
        <v>2596486</v>
      </c>
      <c r="H118" s="341" t="s">
        <v>380</v>
      </c>
      <c r="I118" s="341" t="s">
        <v>485</v>
      </c>
      <c r="J118" s="341" t="s">
        <v>461</v>
      </c>
      <c r="K118" s="341" t="s">
        <v>173</v>
      </c>
    </row>
    <row r="119" spans="2:11" ht="13.2" customHeight="1">
      <c r="B119" s="289">
        <v>46229</v>
      </c>
      <c r="C119" s="290" t="s">
        <v>380</v>
      </c>
      <c r="D119" s="290" t="s">
        <v>486</v>
      </c>
      <c r="E119" s="291">
        <v>2596486</v>
      </c>
      <c r="F119" s="339" t="s">
        <v>222</v>
      </c>
      <c r="G119" s="340">
        <v>2596486</v>
      </c>
      <c r="H119" s="341" t="s">
        <v>380</v>
      </c>
      <c r="I119" s="341" t="s">
        <v>486</v>
      </c>
      <c r="J119" s="341" t="s">
        <v>461</v>
      </c>
      <c r="K119" s="341" t="s">
        <v>173</v>
      </c>
    </row>
    <row r="120" spans="2:11" ht="13.2" customHeight="1">
      <c r="B120" s="289">
        <v>46230</v>
      </c>
      <c r="C120" s="290" t="s">
        <v>380</v>
      </c>
      <c r="D120" s="290" t="s">
        <v>487</v>
      </c>
      <c r="E120" s="291">
        <v>2596486</v>
      </c>
      <c r="F120" s="339" t="s">
        <v>373</v>
      </c>
      <c r="G120" s="340">
        <v>2596486</v>
      </c>
      <c r="H120" s="341" t="s">
        <v>380</v>
      </c>
      <c r="I120" s="341" t="s">
        <v>487</v>
      </c>
      <c r="J120" s="341" t="s">
        <v>461</v>
      </c>
      <c r="K120" s="341" t="s">
        <v>173</v>
      </c>
    </row>
    <row r="121" spans="2:11" ht="13.2" customHeight="1">
      <c r="B121" s="289">
        <v>46231</v>
      </c>
      <c r="C121" s="290" t="s">
        <v>380</v>
      </c>
      <c r="D121" s="290" t="s">
        <v>488</v>
      </c>
      <c r="E121" s="291">
        <v>2596486</v>
      </c>
      <c r="F121" s="339" t="s">
        <v>375</v>
      </c>
      <c r="G121" s="340">
        <v>2596486</v>
      </c>
      <c r="H121" s="341" t="s">
        <v>380</v>
      </c>
      <c r="I121" s="341" t="s">
        <v>488</v>
      </c>
      <c r="J121" s="341" t="s">
        <v>461</v>
      </c>
      <c r="K121" s="341" t="s">
        <v>173</v>
      </c>
    </row>
    <row r="122" spans="2:11" ht="13.2" customHeight="1">
      <c r="B122" s="289">
        <v>46233</v>
      </c>
      <c r="C122" s="290" t="s">
        <v>380</v>
      </c>
      <c r="D122" s="290" t="s">
        <v>489</v>
      </c>
      <c r="E122" s="291">
        <v>3814044</v>
      </c>
      <c r="F122" s="339" t="s">
        <v>229</v>
      </c>
      <c r="G122" s="340">
        <v>3814044</v>
      </c>
      <c r="H122" s="341" t="s">
        <v>380</v>
      </c>
      <c r="I122" s="341" t="s">
        <v>489</v>
      </c>
      <c r="J122" s="341" t="s">
        <v>461</v>
      </c>
      <c r="K122" s="341" t="s">
        <v>173</v>
      </c>
    </row>
    <row r="123" spans="2:11" ht="13.2" customHeight="1">
      <c r="B123" s="289">
        <v>46234</v>
      </c>
      <c r="C123" s="290" t="s">
        <v>380</v>
      </c>
      <c r="D123" s="290" t="s">
        <v>490</v>
      </c>
      <c r="E123" s="291">
        <v>3386836</v>
      </c>
      <c r="F123" s="339" t="s">
        <v>233</v>
      </c>
      <c r="G123" s="340">
        <v>3386836</v>
      </c>
      <c r="H123" s="341" t="s">
        <v>380</v>
      </c>
      <c r="I123" s="341" t="s">
        <v>490</v>
      </c>
      <c r="J123" s="341" t="s">
        <v>461</v>
      </c>
      <c r="K123" s="341" t="s">
        <v>173</v>
      </c>
    </row>
  </sheetData>
  <mergeCells count="3">
    <mergeCell ref="C2:C3"/>
    <mergeCell ref="A2:A3"/>
    <mergeCell ref="B2:B3"/>
  </mergeCells>
  <hyperlinks>
    <hyperlink ref="G16" r:id="rId1" display="https://drive.google.com/drive/folders/1Xp6NNZPq9e6eGM7NcwoA76x2O9bsEaM3?usp=sharing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99"/>
  <sheetViews>
    <sheetView workbookViewId="0"/>
  </sheetViews>
  <sheetFormatPr defaultColWidth="12.6640625" defaultRowHeight="15.75" customHeight="1"/>
  <cols>
    <col min="1" max="1" width="4.33203125" style="323" customWidth="1"/>
  </cols>
  <sheetData>
    <row r="1" spans="1:7" ht="15.75" customHeight="1">
      <c r="A1" s="358"/>
      <c r="B1" s="359"/>
      <c r="C1" s="359"/>
      <c r="D1" s="360"/>
      <c r="E1" s="4"/>
      <c r="F1" s="4"/>
      <c r="G1" s="4"/>
    </row>
    <row r="2" spans="1:7" ht="26.4">
      <c r="A2" s="361" t="s">
        <v>0</v>
      </c>
      <c r="B2" s="363" t="s">
        <v>1</v>
      </c>
      <c r="C2" s="8" t="s">
        <v>2</v>
      </c>
      <c r="D2" s="17" t="s">
        <v>3</v>
      </c>
      <c r="E2" s="150" t="s">
        <v>4</v>
      </c>
      <c r="F2" s="150" t="s">
        <v>5</v>
      </c>
      <c r="G2" s="150" t="s">
        <v>6</v>
      </c>
    </row>
    <row r="3" spans="1:7" ht="13.2">
      <c r="A3" s="362"/>
      <c r="B3" s="362"/>
      <c r="C3" s="10">
        <f>+SUM(C4:C34)</f>
        <v>24000000</v>
      </c>
      <c r="D3" s="13">
        <f>SUM(D4:D34)</f>
        <v>270534090</v>
      </c>
      <c r="E3" s="17">
        <f>SUM(E4:E34)</f>
        <v>100</v>
      </c>
      <c r="F3" s="13">
        <f>SUM(F4:F36)</f>
        <v>366845000</v>
      </c>
      <c r="G3" s="21">
        <f t="shared" ref="G3:G19" si="0">IFERROR(D3/F3,0)</f>
        <v>0.7374615709632133</v>
      </c>
    </row>
    <row r="4" spans="1:7" ht="15.75" customHeight="1">
      <c r="A4" s="23">
        <v>1</v>
      </c>
      <c r="B4" s="25">
        <v>46204</v>
      </c>
      <c r="C4" s="234">
        <v>24000000</v>
      </c>
      <c r="D4" s="304">
        <f>'PT Hải CT'!D8</f>
        <v>12945668.181818182</v>
      </c>
      <c r="E4" s="264">
        <v>2</v>
      </c>
      <c r="F4" s="247">
        <v>8030000</v>
      </c>
      <c r="G4" s="34">
        <f t="shared" si="0"/>
        <v>1.6121629118079928</v>
      </c>
    </row>
    <row r="5" spans="1:7" ht="15.75" customHeight="1">
      <c r="A5" s="35">
        <v>2</v>
      </c>
      <c r="B5" s="36">
        <v>46205</v>
      </c>
      <c r="C5" s="241"/>
      <c r="D5" s="305">
        <f>'PT Hải CT'!E8</f>
        <v>3956195.4545454541</v>
      </c>
      <c r="E5" s="266">
        <v>2</v>
      </c>
      <c r="F5" s="245">
        <v>5770000</v>
      </c>
      <c r="G5" s="39">
        <f t="shared" si="0"/>
        <v>0.68564912557113589</v>
      </c>
    </row>
    <row r="6" spans="1:7" ht="15.75" customHeight="1">
      <c r="A6" s="23">
        <v>3</v>
      </c>
      <c r="B6" s="25">
        <v>46206</v>
      </c>
      <c r="C6" s="234"/>
      <c r="D6" s="304">
        <f>'PT Hải CT'!F8</f>
        <v>9700378.1818181816</v>
      </c>
      <c r="E6" s="264">
        <v>5</v>
      </c>
      <c r="F6" s="247">
        <v>14945000</v>
      </c>
      <c r="G6" s="34">
        <f t="shared" si="0"/>
        <v>0.64907180875330761</v>
      </c>
    </row>
    <row r="7" spans="1:7" ht="15.75" customHeight="1">
      <c r="A7" s="35">
        <v>4</v>
      </c>
      <c r="B7" s="36">
        <v>46207</v>
      </c>
      <c r="C7" s="241"/>
      <c r="D7" s="305">
        <f>'PT Hải CT'!G8</f>
        <v>6407967.2727272725</v>
      </c>
      <c r="E7" s="266">
        <v>2</v>
      </c>
      <c r="F7" s="245">
        <v>5725000</v>
      </c>
      <c r="G7" s="39">
        <f t="shared" si="0"/>
        <v>1.1192955934894799</v>
      </c>
    </row>
    <row r="8" spans="1:7" ht="15.75" customHeight="1">
      <c r="A8" s="23">
        <v>5</v>
      </c>
      <c r="B8" s="25">
        <v>46208</v>
      </c>
      <c r="C8" s="234"/>
      <c r="D8" s="304">
        <f>'PT Hải CT'!H8</f>
        <v>9700378.1818181816</v>
      </c>
      <c r="E8" s="264">
        <v>1</v>
      </c>
      <c r="F8" s="247">
        <v>3270000</v>
      </c>
      <c r="G8" s="34">
        <f t="shared" si="0"/>
        <v>2.9664765082012789</v>
      </c>
    </row>
    <row r="9" spans="1:7" ht="15.75" customHeight="1">
      <c r="A9" s="35">
        <v>6</v>
      </c>
      <c r="B9" s="36">
        <v>46209</v>
      </c>
      <c r="C9" s="241"/>
      <c r="D9" s="305">
        <f>'PT Hải CT'!I8</f>
        <v>6840699.9999999991</v>
      </c>
      <c r="E9" s="266">
        <v>3</v>
      </c>
      <c r="F9" s="245">
        <v>10030000</v>
      </c>
      <c r="G9" s="39">
        <f t="shared" si="0"/>
        <v>0.68202392821535385</v>
      </c>
    </row>
    <row r="10" spans="1:7" ht="15.75" customHeight="1">
      <c r="A10" s="23">
        <v>7</v>
      </c>
      <c r="B10" s="25">
        <v>46210</v>
      </c>
      <c r="C10" s="234"/>
      <c r="D10" s="304">
        <f>'PT Hải CT'!J8</f>
        <v>8396799.0909090899</v>
      </c>
      <c r="E10" s="264">
        <v>2</v>
      </c>
      <c r="F10" s="247">
        <v>6705000</v>
      </c>
      <c r="G10" s="34">
        <f t="shared" si="0"/>
        <v>1.2523190292183579</v>
      </c>
    </row>
    <row r="11" spans="1:7" ht="15.75" customHeight="1">
      <c r="A11" s="35">
        <v>8</v>
      </c>
      <c r="B11" s="36">
        <v>46211</v>
      </c>
      <c r="C11" s="241"/>
      <c r="D11" s="305">
        <f>'PT Hải CT'!K8</f>
        <v>8396799.0909090899</v>
      </c>
      <c r="E11" s="266">
        <v>3</v>
      </c>
      <c r="F11" s="245">
        <v>8660000</v>
      </c>
      <c r="G11" s="39">
        <f t="shared" si="0"/>
        <v>0.96960728532437523</v>
      </c>
    </row>
    <row r="12" spans="1:7" ht="15.75" customHeight="1">
      <c r="A12" s="23">
        <v>9</v>
      </c>
      <c r="B12" s="25">
        <v>46212</v>
      </c>
      <c r="C12" s="234"/>
      <c r="D12" s="304">
        <f>'PT Hải CT'!L8</f>
        <v>12217342.727272727</v>
      </c>
      <c r="E12" s="264">
        <v>5</v>
      </c>
      <c r="F12" s="247">
        <v>15150000</v>
      </c>
      <c r="G12" s="34">
        <f t="shared" si="0"/>
        <v>0.80642526252625257</v>
      </c>
    </row>
    <row r="13" spans="1:7" ht="15.75" customHeight="1">
      <c r="A13" s="35">
        <v>10</v>
      </c>
      <c r="B13" s="36">
        <v>46213</v>
      </c>
      <c r="C13" s="241"/>
      <c r="D13" s="305">
        <f>'PT Hải CT'!M8</f>
        <v>3820543.6363636362</v>
      </c>
      <c r="E13" s="264">
        <v>4</v>
      </c>
      <c r="F13" s="245">
        <v>12235000</v>
      </c>
      <c r="G13" s="39">
        <f t="shared" si="0"/>
        <v>0.31226347661329268</v>
      </c>
    </row>
    <row r="14" spans="1:7" ht="15.75" customHeight="1">
      <c r="A14" s="23">
        <v>11</v>
      </c>
      <c r="B14" s="25">
        <v>46214</v>
      </c>
      <c r="C14" s="234"/>
      <c r="D14" s="304">
        <f>'PT Hải CT'!N8</f>
        <v>5046513.6363636358</v>
      </c>
      <c r="E14" s="264">
        <v>2</v>
      </c>
      <c r="F14" s="247">
        <v>6245000</v>
      </c>
      <c r="G14" s="34">
        <f t="shared" si="0"/>
        <v>0.808088652740374</v>
      </c>
    </row>
    <row r="15" spans="1:7" ht="15.75" customHeight="1">
      <c r="A15" s="35">
        <v>12</v>
      </c>
      <c r="B15" s="36">
        <v>46215</v>
      </c>
      <c r="C15" s="241"/>
      <c r="D15" s="305">
        <f>'PT Hải CT'!O8</f>
        <v>10700428.181818182</v>
      </c>
      <c r="E15" s="266">
        <v>2</v>
      </c>
      <c r="F15" s="245">
        <v>5820000</v>
      </c>
      <c r="G15" s="39">
        <f t="shared" si="0"/>
        <v>1.8385615432677289</v>
      </c>
    </row>
    <row r="16" spans="1:7" ht="14.4" customHeight="1">
      <c r="A16" s="23">
        <v>13</v>
      </c>
      <c r="B16" s="25">
        <v>46216</v>
      </c>
      <c r="C16" s="234"/>
      <c r="D16" s="304">
        <f>'PT Hải CT'!P8</f>
        <v>9664747.2727272715</v>
      </c>
      <c r="E16" s="264">
        <v>2</v>
      </c>
      <c r="F16" s="247">
        <v>5820000</v>
      </c>
      <c r="G16" s="34">
        <f t="shared" si="0"/>
        <v>1.6606094970321772</v>
      </c>
    </row>
    <row r="17" spans="1:7" ht="14.4" customHeight="1">
      <c r="A17" s="35">
        <v>14</v>
      </c>
      <c r="B17" s="36">
        <v>46217</v>
      </c>
      <c r="C17" s="241"/>
      <c r="D17" s="305">
        <f>'PT Hải CT'!Q8</f>
        <v>5088329.0909090908</v>
      </c>
      <c r="E17" s="266">
        <v>2</v>
      </c>
      <c r="F17" s="245">
        <v>5750000</v>
      </c>
      <c r="G17" s="34">
        <f t="shared" si="0"/>
        <v>0.88492679841897237</v>
      </c>
    </row>
    <row r="18" spans="1:7" ht="14.4" customHeight="1">
      <c r="A18" s="23">
        <v>15</v>
      </c>
      <c r="B18" s="25">
        <v>46218</v>
      </c>
      <c r="C18" s="234"/>
      <c r="D18" s="304">
        <f>'PT Hải CT'!R8</f>
        <v>0</v>
      </c>
      <c r="E18" s="264">
        <v>1</v>
      </c>
      <c r="F18" s="247">
        <v>2910000</v>
      </c>
      <c r="G18" s="34">
        <f t="shared" si="0"/>
        <v>0</v>
      </c>
    </row>
    <row r="19" spans="1:7" ht="14.4" customHeight="1">
      <c r="A19" s="35">
        <v>16</v>
      </c>
      <c r="B19" s="36">
        <v>46219</v>
      </c>
      <c r="C19" s="241"/>
      <c r="D19" s="305">
        <f>'PT Hải CT'!S8</f>
        <v>11697683.636363635</v>
      </c>
      <c r="E19" s="266">
        <v>2</v>
      </c>
      <c r="F19" s="245">
        <v>6810000</v>
      </c>
      <c r="G19" s="39">
        <f t="shared" si="0"/>
        <v>1.7177215325056732</v>
      </c>
    </row>
    <row r="20" spans="1:7" ht="14.4" customHeight="1">
      <c r="A20" s="23">
        <v>17</v>
      </c>
      <c r="B20" s="25">
        <v>46220</v>
      </c>
      <c r="C20" s="234"/>
      <c r="D20" s="305">
        <f>'PT Hải CT'!T8</f>
        <v>8402076.3636363633</v>
      </c>
      <c r="E20" s="264">
        <v>2</v>
      </c>
      <c r="F20" s="247">
        <v>6215000</v>
      </c>
      <c r="G20" s="34">
        <f>IFERROR(#REF!/F20,0)</f>
        <v>0</v>
      </c>
    </row>
    <row r="21" spans="1:7" ht="14.4" customHeight="1">
      <c r="A21" s="35">
        <v>18</v>
      </c>
      <c r="B21" s="36">
        <v>46221</v>
      </c>
      <c r="C21" s="241"/>
      <c r="D21" s="305">
        <f>'PT Hải CT'!U8</f>
        <v>9912956.3636363633</v>
      </c>
      <c r="E21" s="266">
        <v>6</v>
      </c>
      <c r="F21" s="245">
        <v>19775000</v>
      </c>
      <c r="G21" s="34">
        <f t="shared" ref="G21:G34" si="1">IFERROR(D21/F21,0)</f>
        <v>0.5012873003103091</v>
      </c>
    </row>
    <row r="22" spans="1:7" ht="14.4" customHeight="1">
      <c r="A22" s="23">
        <v>19</v>
      </c>
      <c r="B22" s="25">
        <v>46222</v>
      </c>
      <c r="C22" s="234"/>
      <c r="D22" s="304">
        <f>'PT Hải CT'!V8</f>
        <v>9912956.3636363633</v>
      </c>
      <c r="E22" s="264">
        <v>4</v>
      </c>
      <c r="F22" s="247">
        <v>11465000</v>
      </c>
      <c r="G22" s="34">
        <f t="shared" si="1"/>
        <v>0.86462768108472421</v>
      </c>
    </row>
    <row r="23" spans="1:7" ht="14.4" customHeight="1">
      <c r="A23" s="35">
        <v>20</v>
      </c>
      <c r="B23" s="36">
        <v>46223</v>
      </c>
      <c r="C23" s="241"/>
      <c r="D23" s="305">
        <f>'PT Hải CT'!W8</f>
        <v>10828580</v>
      </c>
      <c r="E23" s="266">
        <v>6</v>
      </c>
      <c r="F23" s="245">
        <v>18510000</v>
      </c>
      <c r="G23" s="34">
        <f t="shared" si="1"/>
        <v>0.58501242571582923</v>
      </c>
    </row>
    <row r="24" spans="1:7" ht="14.4" customHeight="1">
      <c r="A24" s="23">
        <v>21</v>
      </c>
      <c r="B24" s="25">
        <v>46224</v>
      </c>
      <c r="C24" s="234"/>
      <c r="D24" s="304">
        <f>'PT Hải CT'!X8</f>
        <v>12566417.272727272</v>
      </c>
      <c r="E24" s="264">
        <v>3</v>
      </c>
      <c r="F24" s="247">
        <v>8455000</v>
      </c>
      <c r="G24" s="34">
        <f t="shared" si="1"/>
        <v>1.4862705230901563</v>
      </c>
    </row>
    <row r="25" spans="1:7" ht="14.4" customHeight="1">
      <c r="A25" s="35">
        <v>22</v>
      </c>
      <c r="B25" s="36">
        <v>46225</v>
      </c>
      <c r="C25" s="241"/>
      <c r="D25" s="305">
        <f>'PT Hải CT'!Y8</f>
        <v>19210570</v>
      </c>
      <c r="E25" s="266">
        <v>4</v>
      </c>
      <c r="F25" s="245">
        <v>13420000</v>
      </c>
      <c r="G25" s="34">
        <f t="shared" si="1"/>
        <v>1.4314880774962742</v>
      </c>
    </row>
    <row r="26" spans="1:7" ht="14.4" customHeight="1">
      <c r="A26" s="23">
        <v>23</v>
      </c>
      <c r="B26" s="25">
        <v>46226</v>
      </c>
      <c r="C26" s="234"/>
      <c r="D26" s="304">
        <f>'PT Hải CT'!Z8</f>
        <v>6644152.7272727266</v>
      </c>
      <c r="E26" s="264">
        <v>3</v>
      </c>
      <c r="F26" s="247">
        <v>10825000</v>
      </c>
      <c r="G26" s="39">
        <f t="shared" si="1"/>
        <v>0.6137785429351249</v>
      </c>
    </row>
    <row r="27" spans="1:7" ht="14.4" customHeight="1">
      <c r="A27" s="35">
        <v>24</v>
      </c>
      <c r="B27" s="36">
        <v>46227</v>
      </c>
      <c r="C27" s="241"/>
      <c r="D27" s="305">
        <f>'PT Hải CT'!AA8</f>
        <v>14602532.727272727</v>
      </c>
      <c r="E27" s="266">
        <v>4</v>
      </c>
      <c r="F27" s="245">
        <v>13150000</v>
      </c>
      <c r="G27" s="34">
        <f t="shared" si="1"/>
        <v>1.1104587625302453</v>
      </c>
    </row>
    <row r="28" spans="1:7" ht="14.4" customHeight="1">
      <c r="A28" s="23">
        <v>25</v>
      </c>
      <c r="B28" s="25">
        <v>46228</v>
      </c>
      <c r="C28" s="234"/>
      <c r="D28" s="304">
        <f>'PT Hải CT'!AB8</f>
        <v>10309921.818181816</v>
      </c>
      <c r="E28" s="264">
        <v>6</v>
      </c>
      <c r="F28" s="247">
        <v>29890000</v>
      </c>
      <c r="G28" s="34">
        <f t="shared" si="1"/>
        <v>0.34492879953769878</v>
      </c>
    </row>
    <row r="29" spans="1:7" ht="14.4" customHeight="1">
      <c r="A29" s="35">
        <v>26</v>
      </c>
      <c r="B29" s="36">
        <v>46229</v>
      </c>
      <c r="C29" s="241"/>
      <c r="D29" s="305">
        <f>'PT Hải CT'!AC8</f>
        <v>15464882.727272727</v>
      </c>
      <c r="E29" s="266">
        <v>7</v>
      </c>
      <c r="F29" s="245">
        <v>23695000</v>
      </c>
      <c r="G29" s="39">
        <f t="shared" si="1"/>
        <v>0.65266439026261769</v>
      </c>
    </row>
    <row r="30" spans="1:7" ht="14.4" customHeight="1">
      <c r="A30" s="23">
        <v>27</v>
      </c>
      <c r="B30" s="25">
        <v>46230</v>
      </c>
      <c r="C30" s="234"/>
      <c r="D30" s="304">
        <f>'PT Hải CT'!AD8</f>
        <v>10309921.818181816</v>
      </c>
      <c r="E30" s="264">
        <v>3</v>
      </c>
      <c r="F30" s="247">
        <v>10520000</v>
      </c>
      <c r="G30" s="34">
        <f t="shared" si="1"/>
        <v>0.9800305910819217</v>
      </c>
    </row>
    <row r="31" spans="1:7" ht="14.4" customHeight="1">
      <c r="A31" s="35">
        <v>28</v>
      </c>
      <c r="B31" s="36">
        <v>46231</v>
      </c>
      <c r="C31" s="241"/>
      <c r="D31" s="305">
        <f>'PT Hải CT'!AE8</f>
        <v>5154960.9090909082</v>
      </c>
      <c r="E31" s="266">
        <v>3</v>
      </c>
      <c r="F31" s="245">
        <v>9405000</v>
      </c>
      <c r="G31" s="39">
        <f t="shared" si="1"/>
        <v>0.54810854961094191</v>
      </c>
    </row>
    <row r="32" spans="1:7" ht="14.4" customHeight="1">
      <c r="A32" s="23">
        <v>29</v>
      </c>
      <c r="B32" s="25">
        <v>46232</v>
      </c>
      <c r="C32" s="234"/>
      <c r="D32" s="304">
        <f>'PT Hải CT'!AF8</f>
        <v>12633687.272727272</v>
      </c>
      <c r="E32" s="264">
        <v>4</v>
      </c>
      <c r="F32" s="247">
        <v>16825000</v>
      </c>
      <c r="G32" s="34">
        <f t="shared" si="1"/>
        <v>0.75088780224233409</v>
      </c>
    </row>
    <row r="33" spans="1:7" ht="14.4" customHeight="1">
      <c r="A33" s="35">
        <v>30</v>
      </c>
      <c r="B33" s="36">
        <v>46233</v>
      </c>
      <c r="C33" s="241"/>
      <c r="D33" s="305">
        <f>'PT Hải CT'!AG8</f>
        <v>0</v>
      </c>
      <c r="E33" s="266">
        <v>3</v>
      </c>
      <c r="F33" s="245">
        <v>10370000</v>
      </c>
      <c r="G33" s="39">
        <f t="shared" si="1"/>
        <v>0</v>
      </c>
    </row>
    <row r="34" spans="1:7" ht="14.4" customHeight="1">
      <c r="A34" s="23">
        <v>31</v>
      </c>
      <c r="B34" s="25">
        <v>46234</v>
      </c>
      <c r="C34" s="234"/>
      <c r="D34" s="304">
        <f>'PT Hải CT'!AH8</f>
        <v>0</v>
      </c>
      <c r="E34" s="264">
        <v>2</v>
      </c>
      <c r="F34" s="247">
        <v>5450000</v>
      </c>
      <c r="G34" s="34">
        <f t="shared" si="1"/>
        <v>0</v>
      </c>
    </row>
    <row r="35" spans="1:7" ht="14.4" customHeight="1">
      <c r="A35" s="259"/>
      <c r="B35" s="36"/>
      <c r="C35" s="72"/>
      <c r="D35" s="241"/>
      <c r="E35" s="259"/>
      <c r="F35" s="245">
        <v>35000000</v>
      </c>
      <c r="G35" s="201"/>
    </row>
    <row r="36" spans="1:7" ht="13.2" customHeight="1">
      <c r="B36" s="73"/>
    </row>
    <row r="37" spans="1:7" ht="13.2" customHeight="1">
      <c r="B37" s="73"/>
    </row>
    <row r="38" spans="1:7" ht="13.2" customHeight="1">
      <c r="B38" s="73"/>
    </row>
    <row r="39" spans="1:7" ht="13.2" customHeight="1">
      <c r="B39" s="73"/>
    </row>
    <row r="40" spans="1:7" ht="13.2" customHeight="1">
      <c r="B40" s="73"/>
    </row>
    <row r="41" spans="1:7" ht="13.2" customHeight="1">
      <c r="B41" s="73"/>
    </row>
    <row r="42" spans="1:7" ht="13.2" customHeight="1">
      <c r="B42" s="73"/>
    </row>
    <row r="43" spans="1:7" ht="13.2" customHeight="1">
      <c r="B43" s="73"/>
    </row>
    <row r="44" spans="1:7" ht="13.2" customHeight="1">
      <c r="B44" s="73"/>
    </row>
    <row r="45" spans="1:7" ht="13.2" customHeight="1">
      <c r="B45" s="73"/>
    </row>
    <row r="46" spans="1:7" ht="13.2" customHeight="1">
      <c r="B46" s="73"/>
    </row>
    <row r="47" spans="1:7" ht="13.2" customHeight="1">
      <c r="B47" s="73"/>
    </row>
    <row r="48" spans="1:7" ht="13.2" customHeight="1">
      <c r="B48" s="73"/>
    </row>
    <row r="49" spans="2:2" ht="13.2" customHeight="1">
      <c r="B49" s="73"/>
    </row>
    <row r="50" spans="2:2" ht="13.2" customHeight="1">
      <c r="B50" s="73"/>
    </row>
    <row r="51" spans="2:2" ht="13.2" customHeight="1">
      <c r="B51" s="73"/>
    </row>
    <row r="52" spans="2:2" ht="13.2" customHeight="1">
      <c r="B52" s="73"/>
    </row>
    <row r="53" spans="2:2" ht="13.2" customHeight="1">
      <c r="B53" s="73"/>
    </row>
    <row r="54" spans="2:2" ht="13.2" customHeight="1">
      <c r="B54" s="73"/>
    </row>
    <row r="55" spans="2:2" ht="13.2" customHeight="1">
      <c r="B55" s="73"/>
    </row>
    <row r="56" spans="2:2" ht="13.2" customHeight="1">
      <c r="B56" s="73"/>
    </row>
    <row r="57" spans="2:2" ht="13.2" customHeight="1">
      <c r="B57" s="73"/>
    </row>
    <row r="58" spans="2:2" ht="13.2" customHeight="1">
      <c r="B58" s="73"/>
    </row>
    <row r="59" spans="2:2" ht="13.2" customHeight="1">
      <c r="B59" s="73"/>
    </row>
    <row r="60" spans="2:2" ht="13.2" customHeight="1">
      <c r="B60" s="73"/>
    </row>
    <row r="61" spans="2:2" ht="13.2" customHeight="1">
      <c r="B61" s="73"/>
    </row>
    <row r="62" spans="2:2" ht="13.2" customHeight="1">
      <c r="B62" s="73"/>
    </row>
    <row r="63" spans="2:2" ht="13.2" customHeight="1">
      <c r="B63" s="73"/>
    </row>
    <row r="64" spans="2:2" ht="13.2" customHeight="1">
      <c r="B64" s="73"/>
    </row>
    <row r="65" spans="2:2" ht="13.2" customHeight="1">
      <c r="B65" s="73"/>
    </row>
    <row r="66" spans="2:2" ht="13.2" customHeight="1">
      <c r="B66" s="73"/>
    </row>
    <row r="67" spans="2:2" ht="13.2" customHeight="1">
      <c r="B67" s="73"/>
    </row>
    <row r="68" spans="2:2" ht="13.2" customHeight="1">
      <c r="B68" s="73"/>
    </row>
    <row r="69" spans="2:2" ht="13.2" customHeight="1">
      <c r="B69" s="73"/>
    </row>
    <row r="70" spans="2:2" ht="13.2" customHeight="1">
      <c r="B70" s="73"/>
    </row>
    <row r="71" spans="2:2" ht="13.2" customHeight="1">
      <c r="B71" s="73"/>
    </row>
    <row r="72" spans="2:2" ht="13.2" customHeight="1">
      <c r="B72" s="73"/>
    </row>
    <row r="73" spans="2:2" ht="13.2" customHeight="1">
      <c r="B73" s="73"/>
    </row>
    <row r="74" spans="2:2" ht="13.2" customHeight="1">
      <c r="B74" s="73"/>
    </row>
    <row r="75" spans="2:2" ht="13.2" customHeight="1">
      <c r="B75" s="73"/>
    </row>
    <row r="76" spans="2:2" ht="13.2" customHeight="1">
      <c r="B76" s="73"/>
    </row>
    <row r="77" spans="2:2" ht="13.2" customHeight="1">
      <c r="B77" s="73"/>
    </row>
    <row r="78" spans="2:2" ht="13.2" customHeight="1">
      <c r="B78" s="73"/>
    </row>
    <row r="79" spans="2:2" ht="13.2" customHeight="1">
      <c r="B79" s="73"/>
    </row>
    <row r="80" spans="2:2" ht="13.2" customHeight="1">
      <c r="B80" s="73"/>
    </row>
    <row r="81" spans="2:2" ht="13.2" customHeight="1">
      <c r="B81" s="73"/>
    </row>
    <row r="82" spans="2:2" ht="13.2" customHeight="1">
      <c r="B82" s="73"/>
    </row>
    <row r="83" spans="2:2" ht="13.2" customHeight="1">
      <c r="B83" s="73"/>
    </row>
    <row r="84" spans="2:2" ht="13.2" customHeight="1">
      <c r="B84" s="73"/>
    </row>
    <row r="85" spans="2:2" ht="13.2" customHeight="1">
      <c r="B85" s="73"/>
    </row>
    <row r="86" spans="2:2" ht="13.2" customHeight="1">
      <c r="B86" s="73"/>
    </row>
    <row r="87" spans="2:2" ht="13.2" customHeight="1">
      <c r="B87" s="73"/>
    </row>
    <row r="88" spans="2:2" ht="13.2" customHeight="1">
      <c r="B88" s="73"/>
    </row>
    <row r="89" spans="2:2" ht="13.2" customHeight="1">
      <c r="B89" s="73"/>
    </row>
    <row r="90" spans="2:2" ht="13.2" customHeight="1">
      <c r="B90" s="73"/>
    </row>
    <row r="91" spans="2:2" ht="13.2" customHeight="1">
      <c r="B91" s="73"/>
    </row>
    <row r="92" spans="2:2" ht="13.2" customHeight="1">
      <c r="B92" s="73"/>
    </row>
    <row r="93" spans="2:2" ht="13.2" customHeight="1">
      <c r="B93" s="73"/>
    </row>
    <row r="94" spans="2:2" ht="13.2" customHeight="1">
      <c r="B94" s="73"/>
    </row>
    <row r="95" spans="2:2" ht="13.2" customHeight="1">
      <c r="B95" s="73"/>
    </row>
    <row r="96" spans="2:2" ht="13.2" customHeight="1">
      <c r="B96" s="73"/>
    </row>
    <row r="97" spans="2:2" ht="13.2" customHeight="1">
      <c r="B97" s="73"/>
    </row>
    <row r="98" spans="2:2" ht="13.2" customHeight="1">
      <c r="B98" s="73"/>
    </row>
    <row r="99" spans="2:2" ht="13.2" customHeight="1">
      <c r="B99" s="73"/>
    </row>
    <row r="100" spans="2:2" ht="13.2" customHeight="1">
      <c r="B100" s="73"/>
    </row>
    <row r="101" spans="2:2" ht="13.2" customHeight="1">
      <c r="B101" s="73"/>
    </row>
    <row r="102" spans="2:2" ht="13.2" customHeight="1">
      <c r="B102" s="73"/>
    </row>
    <row r="103" spans="2:2" ht="13.2" customHeight="1">
      <c r="B103" s="73"/>
    </row>
    <row r="104" spans="2:2" ht="13.2" customHeight="1">
      <c r="B104" s="73"/>
    </row>
    <row r="105" spans="2:2" ht="13.2" customHeight="1">
      <c r="B105" s="73"/>
    </row>
    <row r="106" spans="2:2" ht="13.2" customHeight="1">
      <c r="B106" s="73"/>
    </row>
    <row r="107" spans="2:2" ht="13.2" customHeight="1">
      <c r="B107" s="73"/>
    </row>
    <row r="108" spans="2:2" ht="13.2" customHeight="1">
      <c r="B108" s="73"/>
    </row>
    <row r="109" spans="2:2" ht="13.2" customHeight="1">
      <c r="B109" s="73"/>
    </row>
    <row r="110" spans="2:2" ht="13.2" customHeight="1">
      <c r="B110" s="73"/>
    </row>
    <row r="111" spans="2:2" ht="13.2" customHeight="1">
      <c r="B111" s="73"/>
    </row>
    <row r="112" spans="2:2" ht="13.2" customHeight="1">
      <c r="B112" s="73"/>
    </row>
    <row r="113" spans="2:2" ht="13.2" customHeight="1">
      <c r="B113" s="73"/>
    </row>
    <row r="114" spans="2:2" ht="13.2" customHeight="1">
      <c r="B114" s="73"/>
    </row>
    <row r="115" spans="2:2" ht="13.2" customHeight="1">
      <c r="B115" s="73"/>
    </row>
    <row r="116" spans="2:2" ht="13.2" customHeight="1">
      <c r="B116" s="73"/>
    </row>
    <row r="117" spans="2:2" ht="13.2" customHeight="1">
      <c r="B117" s="73"/>
    </row>
    <row r="118" spans="2:2" ht="13.2" customHeight="1">
      <c r="B118" s="73"/>
    </row>
    <row r="119" spans="2:2" ht="13.2" customHeight="1">
      <c r="B119" s="73"/>
    </row>
    <row r="120" spans="2:2" ht="13.2" customHeight="1">
      <c r="B120" s="73"/>
    </row>
    <row r="121" spans="2:2" ht="13.2" customHeight="1">
      <c r="B121" s="73"/>
    </row>
    <row r="122" spans="2:2" ht="13.2" customHeight="1">
      <c r="B122" s="73"/>
    </row>
    <row r="123" spans="2:2" ht="13.2" customHeight="1">
      <c r="B123" s="73"/>
    </row>
    <row r="124" spans="2:2" ht="13.2" customHeight="1">
      <c r="B124" s="73"/>
    </row>
    <row r="125" spans="2:2" ht="13.2" customHeight="1">
      <c r="B125" s="73"/>
    </row>
    <row r="126" spans="2:2" ht="13.2" customHeight="1">
      <c r="B126" s="73"/>
    </row>
    <row r="127" spans="2:2" ht="13.2" customHeight="1">
      <c r="B127" s="73"/>
    </row>
    <row r="128" spans="2:2" ht="13.2" customHeight="1">
      <c r="B128" s="73"/>
    </row>
    <row r="129" spans="2:2" ht="13.2" customHeight="1">
      <c r="B129" s="73"/>
    </row>
    <row r="130" spans="2:2" ht="13.2" customHeight="1">
      <c r="B130" s="73"/>
    </row>
    <row r="131" spans="2:2" ht="13.2" customHeight="1">
      <c r="B131" s="73"/>
    </row>
    <row r="132" spans="2:2" ht="13.2" customHeight="1">
      <c r="B132" s="73"/>
    </row>
    <row r="133" spans="2:2" ht="13.2" customHeight="1">
      <c r="B133" s="73"/>
    </row>
    <row r="134" spans="2:2" ht="13.2" customHeight="1">
      <c r="B134" s="73"/>
    </row>
    <row r="135" spans="2:2" ht="13.2" customHeight="1">
      <c r="B135" s="73"/>
    </row>
    <row r="136" spans="2:2" ht="13.2" customHeight="1">
      <c r="B136" s="73"/>
    </row>
    <row r="137" spans="2:2" ht="13.2" customHeight="1">
      <c r="B137" s="73"/>
    </row>
    <row r="138" spans="2:2" ht="13.2" customHeight="1">
      <c r="B138" s="73"/>
    </row>
    <row r="139" spans="2:2" ht="13.2" customHeight="1">
      <c r="B139" s="73"/>
    </row>
    <row r="140" spans="2:2" ht="13.2" customHeight="1">
      <c r="B140" s="73"/>
    </row>
    <row r="141" spans="2:2" ht="13.2" customHeight="1">
      <c r="B141" s="73"/>
    </row>
    <row r="142" spans="2:2" ht="13.2" customHeight="1">
      <c r="B142" s="73"/>
    </row>
    <row r="143" spans="2:2" ht="13.2" customHeight="1">
      <c r="B143" s="73"/>
    </row>
    <row r="144" spans="2:2" ht="13.2" customHeight="1">
      <c r="B144" s="73"/>
    </row>
    <row r="145" spans="2:2" ht="13.2" customHeight="1">
      <c r="B145" s="73"/>
    </row>
    <row r="146" spans="2:2" ht="13.2" customHeight="1">
      <c r="B146" s="73"/>
    </row>
    <row r="147" spans="2:2" ht="13.2" customHeight="1">
      <c r="B147" s="73"/>
    </row>
    <row r="148" spans="2:2" ht="13.2" customHeight="1">
      <c r="B148" s="73"/>
    </row>
    <row r="149" spans="2:2" ht="13.2" customHeight="1">
      <c r="B149" s="73"/>
    </row>
    <row r="150" spans="2:2" ht="13.2" customHeight="1">
      <c r="B150" s="73"/>
    </row>
    <row r="151" spans="2:2" ht="13.2" customHeight="1">
      <c r="B151" s="73"/>
    </row>
    <row r="152" spans="2:2" ht="13.2" customHeight="1">
      <c r="B152" s="73"/>
    </row>
    <row r="153" spans="2:2" ht="13.2" customHeight="1">
      <c r="B153" s="73"/>
    </row>
    <row r="154" spans="2:2" ht="13.2" customHeight="1">
      <c r="B154" s="73"/>
    </row>
    <row r="155" spans="2:2" ht="13.2" customHeight="1">
      <c r="B155" s="73"/>
    </row>
    <row r="156" spans="2:2" ht="13.2" customHeight="1">
      <c r="B156" s="73"/>
    </row>
    <row r="157" spans="2:2" ht="13.2" customHeight="1">
      <c r="B157" s="73"/>
    </row>
    <row r="158" spans="2:2" ht="13.2" customHeight="1">
      <c r="B158" s="73"/>
    </row>
    <row r="159" spans="2:2" ht="13.2" customHeight="1">
      <c r="B159" s="73"/>
    </row>
    <row r="160" spans="2:2" ht="13.2" customHeight="1">
      <c r="B160" s="73"/>
    </row>
    <row r="161" spans="2:2" ht="13.2" customHeight="1">
      <c r="B161" s="73"/>
    </row>
    <row r="162" spans="2:2" ht="13.2" customHeight="1">
      <c r="B162" s="73"/>
    </row>
    <row r="163" spans="2:2" ht="13.2" customHeight="1">
      <c r="B163" s="73"/>
    </row>
    <row r="164" spans="2:2" ht="13.2" customHeight="1">
      <c r="B164" s="73"/>
    </row>
    <row r="165" spans="2:2" ht="13.2" customHeight="1">
      <c r="B165" s="73"/>
    </row>
    <row r="166" spans="2:2" ht="13.2" customHeight="1">
      <c r="B166" s="73"/>
    </row>
    <row r="167" spans="2:2" ht="13.2" customHeight="1">
      <c r="B167" s="73"/>
    </row>
    <row r="168" spans="2:2" ht="13.2" customHeight="1">
      <c r="B168" s="73"/>
    </row>
    <row r="169" spans="2:2" ht="13.2" customHeight="1">
      <c r="B169" s="73"/>
    </row>
    <row r="170" spans="2:2" ht="13.2" customHeight="1">
      <c r="B170" s="73"/>
    </row>
    <row r="171" spans="2:2" ht="13.2" customHeight="1">
      <c r="B171" s="73"/>
    </row>
    <row r="172" spans="2:2" ht="13.2" customHeight="1">
      <c r="B172" s="73"/>
    </row>
    <row r="173" spans="2:2" ht="13.2" customHeight="1">
      <c r="B173" s="73"/>
    </row>
    <row r="174" spans="2:2" ht="13.2" customHeight="1">
      <c r="B174" s="73"/>
    </row>
    <row r="175" spans="2:2" ht="13.2" customHeight="1">
      <c r="B175" s="73"/>
    </row>
    <row r="176" spans="2:2" ht="13.2" customHeight="1">
      <c r="B176" s="73"/>
    </row>
    <row r="177" spans="2:2" ht="13.2" customHeight="1">
      <c r="B177" s="73"/>
    </row>
    <row r="178" spans="2:2" ht="13.2" customHeight="1">
      <c r="B178" s="73"/>
    </row>
    <row r="179" spans="2:2" ht="13.2" customHeight="1">
      <c r="B179" s="73"/>
    </row>
    <row r="180" spans="2:2" ht="13.2" customHeight="1">
      <c r="B180" s="73"/>
    </row>
    <row r="181" spans="2:2" ht="13.2" customHeight="1">
      <c r="B181" s="73"/>
    </row>
    <row r="182" spans="2:2" ht="13.2" customHeight="1">
      <c r="B182" s="73"/>
    </row>
    <row r="183" spans="2:2" ht="13.2" customHeight="1">
      <c r="B183" s="73"/>
    </row>
    <row r="184" spans="2:2" ht="13.2" customHeight="1">
      <c r="B184" s="73"/>
    </row>
    <row r="185" spans="2:2" ht="13.2" customHeight="1">
      <c r="B185" s="73"/>
    </row>
    <row r="186" spans="2:2" ht="13.2" customHeight="1">
      <c r="B186" s="73"/>
    </row>
    <row r="187" spans="2:2" ht="13.2" customHeight="1">
      <c r="B187" s="73"/>
    </row>
    <row r="188" spans="2:2" ht="13.2" customHeight="1">
      <c r="B188" s="73"/>
    </row>
    <row r="189" spans="2:2" ht="13.2" customHeight="1">
      <c r="B189" s="73"/>
    </row>
    <row r="190" spans="2:2" ht="13.2" customHeight="1">
      <c r="B190" s="73"/>
    </row>
    <row r="191" spans="2:2" ht="13.2" customHeight="1">
      <c r="B191" s="73"/>
    </row>
    <row r="192" spans="2:2" ht="13.2" customHeight="1">
      <c r="B192" s="73"/>
    </row>
    <row r="193" spans="2:2" ht="13.2" customHeight="1">
      <c r="B193" s="73"/>
    </row>
    <row r="194" spans="2:2" ht="13.2" customHeight="1">
      <c r="B194" s="73"/>
    </row>
    <row r="195" spans="2:2" ht="13.2" customHeight="1">
      <c r="B195" s="73"/>
    </row>
    <row r="196" spans="2:2" ht="13.2" customHeight="1">
      <c r="B196" s="73"/>
    </row>
    <row r="197" spans="2:2" ht="13.2" customHeight="1">
      <c r="B197" s="73"/>
    </row>
    <row r="198" spans="2:2" ht="13.2" customHeight="1">
      <c r="B198" s="73"/>
    </row>
    <row r="199" spans="2:2" ht="13.2" customHeight="1">
      <c r="B199" s="73"/>
    </row>
    <row r="200" spans="2:2" ht="13.2" customHeight="1">
      <c r="B200" s="73"/>
    </row>
    <row r="201" spans="2:2" ht="13.2" customHeight="1">
      <c r="B201" s="73"/>
    </row>
    <row r="202" spans="2:2" ht="13.2" customHeight="1">
      <c r="B202" s="73"/>
    </row>
    <row r="203" spans="2:2" ht="13.2" customHeight="1">
      <c r="B203" s="73"/>
    </row>
    <row r="204" spans="2:2" ht="13.2" customHeight="1">
      <c r="B204" s="73"/>
    </row>
    <row r="205" spans="2:2" ht="13.2" customHeight="1">
      <c r="B205" s="73"/>
    </row>
    <row r="206" spans="2:2" ht="13.2" customHeight="1">
      <c r="B206" s="73"/>
    </row>
    <row r="207" spans="2:2" ht="13.2" customHeight="1">
      <c r="B207" s="73"/>
    </row>
    <row r="208" spans="2:2" ht="13.2" customHeight="1">
      <c r="B208" s="73"/>
    </row>
    <row r="209" spans="2:2" ht="13.2" customHeight="1">
      <c r="B209" s="73"/>
    </row>
    <row r="210" spans="2:2" ht="13.2" customHeight="1">
      <c r="B210" s="73"/>
    </row>
    <row r="211" spans="2:2" ht="13.2" customHeight="1">
      <c r="B211" s="73"/>
    </row>
    <row r="212" spans="2:2" ht="13.2" customHeight="1">
      <c r="B212" s="73"/>
    </row>
    <row r="213" spans="2:2" ht="13.2" customHeight="1">
      <c r="B213" s="73"/>
    </row>
    <row r="214" spans="2:2" ht="13.2" customHeight="1">
      <c r="B214" s="73"/>
    </row>
    <row r="215" spans="2:2" ht="13.2" customHeight="1">
      <c r="B215" s="73"/>
    </row>
    <row r="216" spans="2:2" ht="13.2" customHeight="1">
      <c r="B216" s="73"/>
    </row>
    <row r="217" spans="2:2" ht="13.2" customHeight="1">
      <c r="B217" s="73"/>
    </row>
    <row r="218" spans="2:2" ht="13.2" customHeight="1">
      <c r="B218" s="73"/>
    </row>
    <row r="219" spans="2:2" ht="13.2" customHeight="1">
      <c r="B219" s="73"/>
    </row>
    <row r="220" spans="2:2" ht="13.2" customHeight="1">
      <c r="B220" s="73"/>
    </row>
    <row r="221" spans="2:2" ht="13.2" customHeight="1">
      <c r="B221" s="73"/>
    </row>
    <row r="222" spans="2:2" ht="13.2" customHeight="1">
      <c r="B222" s="73"/>
    </row>
    <row r="223" spans="2:2" ht="13.2" customHeight="1">
      <c r="B223" s="73"/>
    </row>
    <row r="224" spans="2:2" ht="13.2" customHeight="1">
      <c r="B224" s="73"/>
    </row>
    <row r="225" spans="2:2" ht="13.2" customHeight="1">
      <c r="B225" s="73"/>
    </row>
    <row r="226" spans="2:2" ht="13.2" customHeight="1">
      <c r="B226" s="73"/>
    </row>
    <row r="227" spans="2:2" ht="13.2" customHeight="1">
      <c r="B227" s="73"/>
    </row>
    <row r="228" spans="2:2" ht="13.2" customHeight="1">
      <c r="B228" s="73"/>
    </row>
    <row r="229" spans="2:2" ht="13.2" customHeight="1">
      <c r="B229" s="73"/>
    </row>
    <row r="230" spans="2:2" ht="13.2" customHeight="1">
      <c r="B230" s="73"/>
    </row>
    <row r="231" spans="2:2" ht="13.2" customHeight="1">
      <c r="B231" s="73"/>
    </row>
    <row r="232" spans="2:2" ht="13.2" customHeight="1">
      <c r="B232" s="73"/>
    </row>
    <row r="233" spans="2:2" ht="13.2" customHeight="1">
      <c r="B233" s="73"/>
    </row>
    <row r="234" spans="2:2" ht="13.2" customHeight="1">
      <c r="B234" s="73"/>
    </row>
    <row r="235" spans="2:2" ht="13.2" customHeight="1">
      <c r="B235" s="73"/>
    </row>
    <row r="236" spans="2:2" ht="13.2" customHeight="1">
      <c r="B236" s="73"/>
    </row>
    <row r="237" spans="2:2" ht="13.2" customHeight="1">
      <c r="B237" s="73"/>
    </row>
    <row r="238" spans="2:2" ht="13.2" customHeight="1">
      <c r="B238" s="73"/>
    </row>
    <row r="239" spans="2:2" ht="13.2" customHeight="1">
      <c r="B239" s="73"/>
    </row>
    <row r="240" spans="2:2" ht="13.2" customHeight="1">
      <c r="B240" s="73"/>
    </row>
    <row r="241" spans="2:2" ht="13.2" customHeight="1">
      <c r="B241" s="73"/>
    </row>
    <row r="242" spans="2:2" ht="13.2" customHeight="1">
      <c r="B242" s="73"/>
    </row>
    <row r="243" spans="2:2" ht="13.2" customHeight="1">
      <c r="B243" s="73"/>
    </row>
    <row r="244" spans="2:2" ht="13.2" customHeight="1">
      <c r="B244" s="73"/>
    </row>
    <row r="245" spans="2:2" ht="13.2" customHeight="1">
      <c r="B245" s="73"/>
    </row>
    <row r="246" spans="2:2" ht="13.2" customHeight="1">
      <c r="B246" s="73"/>
    </row>
    <row r="247" spans="2:2" ht="13.2" customHeight="1">
      <c r="B247" s="73"/>
    </row>
    <row r="248" spans="2:2" ht="13.2" customHeight="1">
      <c r="B248" s="73"/>
    </row>
    <row r="249" spans="2:2" ht="13.2" customHeight="1">
      <c r="B249" s="73"/>
    </row>
    <row r="250" spans="2:2" ht="13.2" customHeight="1">
      <c r="B250" s="73"/>
    </row>
    <row r="251" spans="2:2" ht="13.2" customHeight="1">
      <c r="B251" s="73"/>
    </row>
    <row r="252" spans="2:2" ht="13.2" customHeight="1">
      <c r="B252" s="73"/>
    </row>
    <row r="253" spans="2:2" ht="13.2" customHeight="1">
      <c r="B253" s="73"/>
    </row>
    <row r="254" spans="2:2" ht="13.2" customHeight="1">
      <c r="B254" s="73"/>
    </row>
    <row r="255" spans="2:2" ht="13.2" customHeight="1">
      <c r="B255" s="73"/>
    </row>
    <row r="256" spans="2:2" ht="13.2" customHeight="1">
      <c r="B256" s="73"/>
    </row>
    <row r="257" spans="2:2" ht="13.2" customHeight="1">
      <c r="B257" s="73"/>
    </row>
    <row r="258" spans="2:2" ht="13.2" customHeight="1">
      <c r="B258" s="73"/>
    </row>
    <row r="259" spans="2:2" ht="13.2" customHeight="1">
      <c r="B259" s="73"/>
    </row>
    <row r="260" spans="2:2" ht="13.2" customHeight="1">
      <c r="B260" s="73"/>
    </row>
    <row r="261" spans="2:2" ht="13.2" customHeight="1">
      <c r="B261" s="73"/>
    </row>
    <row r="262" spans="2:2" ht="13.2" customHeight="1">
      <c r="B262" s="73"/>
    </row>
    <row r="263" spans="2:2" ht="13.2" customHeight="1">
      <c r="B263" s="73"/>
    </row>
    <row r="264" spans="2:2" ht="13.2" customHeight="1">
      <c r="B264" s="73"/>
    </row>
    <row r="265" spans="2:2" ht="13.2" customHeight="1">
      <c r="B265" s="73"/>
    </row>
    <row r="266" spans="2:2" ht="13.2" customHeight="1">
      <c r="B266" s="73"/>
    </row>
    <row r="267" spans="2:2" ht="13.2" customHeight="1">
      <c r="B267" s="73"/>
    </row>
    <row r="268" spans="2:2" ht="13.2" customHeight="1">
      <c r="B268" s="73"/>
    </row>
    <row r="269" spans="2:2" ht="13.2" customHeight="1">
      <c r="B269" s="73"/>
    </row>
    <row r="270" spans="2:2" ht="13.2" customHeight="1">
      <c r="B270" s="73"/>
    </row>
    <row r="271" spans="2:2" ht="13.2" customHeight="1">
      <c r="B271" s="73"/>
    </row>
    <row r="272" spans="2:2" ht="13.2" customHeight="1">
      <c r="B272" s="73"/>
    </row>
    <row r="273" spans="2:2" ht="13.2" customHeight="1">
      <c r="B273" s="73"/>
    </row>
    <row r="274" spans="2:2" ht="13.2" customHeight="1">
      <c r="B274" s="73"/>
    </row>
    <row r="275" spans="2:2" ht="13.2" customHeight="1">
      <c r="B275" s="73"/>
    </row>
    <row r="276" spans="2:2" ht="13.2" customHeight="1">
      <c r="B276" s="73"/>
    </row>
    <row r="277" spans="2:2" ht="13.2" customHeight="1">
      <c r="B277" s="73"/>
    </row>
    <row r="278" spans="2:2" ht="13.2" customHeight="1">
      <c r="B278" s="73"/>
    </row>
    <row r="279" spans="2:2" ht="13.2" customHeight="1">
      <c r="B279" s="73"/>
    </row>
    <row r="280" spans="2:2" ht="13.2" customHeight="1">
      <c r="B280" s="73"/>
    </row>
    <row r="281" spans="2:2" ht="13.2" customHeight="1">
      <c r="B281" s="73"/>
    </row>
    <row r="282" spans="2:2" ht="13.2" customHeight="1">
      <c r="B282" s="73"/>
    </row>
    <row r="283" spans="2:2" ht="13.2" customHeight="1">
      <c r="B283" s="73"/>
    </row>
    <row r="284" spans="2:2" ht="13.2" customHeight="1">
      <c r="B284" s="73"/>
    </row>
    <row r="285" spans="2:2" ht="13.2" customHeight="1">
      <c r="B285" s="73"/>
    </row>
    <row r="286" spans="2:2" ht="13.2" customHeight="1">
      <c r="B286" s="73"/>
    </row>
    <row r="287" spans="2:2" ht="13.2" customHeight="1">
      <c r="B287" s="73"/>
    </row>
    <row r="288" spans="2:2" ht="13.2" customHeight="1">
      <c r="B288" s="73"/>
    </row>
    <row r="289" spans="2:2" ht="13.2" customHeight="1">
      <c r="B289" s="73"/>
    </row>
    <row r="290" spans="2:2" ht="13.2" customHeight="1">
      <c r="B290" s="73"/>
    </row>
    <row r="291" spans="2:2" ht="13.2" customHeight="1">
      <c r="B291" s="73"/>
    </row>
    <row r="292" spans="2:2" ht="13.2" customHeight="1">
      <c r="B292" s="73"/>
    </row>
    <row r="293" spans="2:2" ht="13.2" customHeight="1">
      <c r="B293" s="73"/>
    </row>
    <row r="294" spans="2:2" ht="13.2" customHeight="1">
      <c r="B294" s="73"/>
    </row>
    <row r="295" spans="2:2" ht="13.2" customHeight="1">
      <c r="B295" s="73"/>
    </row>
    <row r="296" spans="2:2" ht="13.2" customHeight="1">
      <c r="B296" s="73"/>
    </row>
    <row r="297" spans="2:2" ht="13.2" customHeight="1">
      <c r="B297" s="73"/>
    </row>
    <row r="298" spans="2:2" ht="13.2" customHeight="1">
      <c r="B298" s="73"/>
    </row>
    <row r="299" spans="2:2" ht="13.2" customHeight="1">
      <c r="B299" s="73"/>
    </row>
    <row r="300" spans="2:2" ht="13.2" customHeight="1">
      <c r="B300" s="73"/>
    </row>
    <row r="301" spans="2:2" ht="13.2" customHeight="1">
      <c r="B301" s="73"/>
    </row>
    <row r="302" spans="2:2" ht="13.2" customHeight="1">
      <c r="B302" s="73"/>
    </row>
    <row r="303" spans="2:2" ht="13.2" customHeight="1">
      <c r="B303" s="73"/>
    </row>
    <row r="304" spans="2:2" ht="13.2" customHeight="1">
      <c r="B304" s="73"/>
    </row>
    <row r="305" spans="2:2" ht="13.2" customHeight="1">
      <c r="B305" s="73"/>
    </row>
    <row r="306" spans="2:2" ht="13.2" customHeight="1">
      <c r="B306" s="73"/>
    </row>
    <row r="307" spans="2:2" ht="13.2" customHeight="1">
      <c r="B307" s="73"/>
    </row>
    <row r="308" spans="2:2" ht="13.2" customHeight="1">
      <c r="B308" s="73"/>
    </row>
    <row r="309" spans="2:2" ht="13.2" customHeight="1">
      <c r="B309" s="73"/>
    </row>
    <row r="310" spans="2:2" ht="13.2" customHeight="1">
      <c r="B310" s="73"/>
    </row>
    <row r="311" spans="2:2" ht="13.2" customHeight="1">
      <c r="B311" s="73"/>
    </row>
    <row r="312" spans="2:2" ht="13.2" customHeight="1">
      <c r="B312" s="73"/>
    </row>
    <row r="313" spans="2:2" ht="13.2" customHeight="1">
      <c r="B313" s="73"/>
    </row>
    <row r="314" spans="2:2" ht="13.2" customHeight="1">
      <c r="B314" s="73"/>
    </row>
    <row r="315" spans="2:2" ht="13.2" customHeight="1">
      <c r="B315" s="73"/>
    </row>
    <row r="316" spans="2:2" ht="13.2" customHeight="1">
      <c r="B316" s="73"/>
    </row>
    <row r="317" spans="2:2" ht="13.2" customHeight="1">
      <c r="B317" s="73"/>
    </row>
    <row r="318" spans="2:2" ht="13.2" customHeight="1">
      <c r="B318" s="73"/>
    </row>
    <row r="319" spans="2:2" ht="13.2" customHeight="1">
      <c r="B319" s="73"/>
    </row>
    <row r="320" spans="2:2" ht="13.2" customHeight="1">
      <c r="B320" s="73"/>
    </row>
    <row r="321" spans="2:2" ht="13.2" customHeight="1">
      <c r="B321" s="73"/>
    </row>
    <row r="322" spans="2:2" ht="13.2" customHeight="1">
      <c r="B322" s="73"/>
    </row>
    <row r="323" spans="2:2" ht="13.2" customHeight="1">
      <c r="B323" s="73"/>
    </row>
    <row r="324" spans="2:2" ht="13.2" customHeight="1">
      <c r="B324" s="73"/>
    </row>
    <row r="325" spans="2:2" ht="13.2" customHeight="1">
      <c r="B325" s="73"/>
    </row>
    <row r="326" spans="2:2" ht="13.2" customHeight="1">
      <c r="B326" s="73"/>
    </row>
    <row r="327" spans="2:2" ht="13.2" customHeight="1">
      <c r="B327" s="73"/>
    </row>
    <row r="328" spans="2:2" ht="13.2" customHeight="1">
      <c r="B328" s="73"/>
    </row>
    <row r="329" spans="2:2" ht="13.2" customHeight="1">
      <c r="B329" s="73"/>
    </row>
    <row r="330" spans="2:2" ht="13.2" customHeight="1">
      <c r="B330" s="73"/>
    </row>
    <row r="331" spans="2:2" ht="13.2" customHeight="1">
      <c r="B331" s="73"/>
    </row>
    <row r="332" spans="2:2" ht="13.2" customHeight="1">
      <c r="B332" s="73"/>
    </row>
    <row r="333" spans="2:2" ht="13.2" customHeight="1">
      <c r="B333" s="73"/>
    </row>
    <row r="334" spans="2:2" ht="13.2" customHeight="1">
      <c r="B334" s="73"/>
    </row>
    <row r="335" spans="2:2" ht="13.2" customHeight="1">
      <c r="B335" s="73"/>
    </row>
    <row r="336" spans="2:2" ht="13.2" customHeight="1">
      <c r="B336" s="73"/>
    </row>
    <row r="337" spans="2:2" ht="13.2" customHeight="1">
      <c r="B337" s="73"/>
    </row>
    <row r="338" spans="2:2" ht="13.2" customHeight="1">
      <c r="B338" s="73"/>
    </row>
    <row r="339" spans="2:2" ht="13.2" customHeight="1">
      <c r="B339" s="73"/>
    </row>
    <row r="340" spans="2:2" ht="13.2" customHeight="1">
      <c r="B340" s="73"/>
    </row>
    <row r="341" spans="2:2" ht="13.2" customHeight="1">
      <c r="B341" s="73"/>
    </row>
    <row r="342" spans="2:2" ht="13.2" customHeight="1">
      <c r="B342" s="73"/>
    </row>
    <row r="343" spans="2:2" ht="13.2" customHeight="1">
      <c r="B343" s="73"/>
    </row>
    <row r="344" spans="2:2" ht="13.2" customHeight="1">
      <c r="B344" s="73"/>
    </row>
    <row r="345" spans="2:2" ht="13.2" customHeight="1">
      <c r="B345" s="73"/>
    </row>
    <row r="346" spans="2:2" ht="13.2" customHeight="1">
      <c r="B346" s="73"/>
    </row>
    <row r="347" spans="2:2" ht="13.2" customHeight="1">
      <c r="B347" s="73"/>
    </row>
    <row r="348" spans="2:2" ht="13.2" customHeight="1">
      <c r="B348" s="73"/>
    </row>
    <row r="349" spans="2:2" ht="13.2" customHeight="1">
      <c r="B349" s="73"/>
    </row>
    <row r="350" spans="2:2" ht="13.2" customHeight="1">
      <c r="B350" s="73"/>
    </row>
    <row r="351" spans="2:2" ht="13.2" customHeight="1">
      <c r="B351" s="73"/>
    </row>
    <row r="352" spans="2:2" ht="13.2" customHeight="1">
      <c r="B352" s="73"/>
    </row>
    <row r="353" spans="2:2" ht="13.2" customHeight="1">
      <c r="B353" s="73"/>
    </row>
    <row r="354" spans="2:2" ht="13.2" customHeight="1">
      <c r="B354" s="73"/>
    </row>
    <row r="355" spans="2:2" ht="13.2" customHeight="1">
      <c r="B355" s="73"/>
    </row>
    <row r="356" spans="2:2" ht="13.2" customHeight="1">
      <c r="B356" s="73"/>
    </row>
    <row r="357" spans="2:2" ht="13.2" customHeight="1">
      <c r="B357" s="73"/>
    </row>
    <row r="358" spans="2:2" ht="13.2" customHeight="1">
      <c r="B358" s="73"/>
    </row>
    <row r="359" spans="2:2" ht="13.2" customHeight="1">
      <c r="B359" s="73"/>
    </row>
    <row r="360" spans="2:2" ht="13.2" customHeight="1">
      <c r="B360" s="73"/>
    </row>
    <row r="361" spans="2:2" ht="13.2" customHeight="1">
      <c r="B361" s="73"/>
    </row>
    <row r="362" spans="2:2" ht="13.2" customHeight="1">
      <c r="B362" s="73"/>
    </row>
    <row r="363" spans="2:2" ht="13.2" customHeight="1">
      <c r="B363" s="73"/>
    </row>
    <row r="364" spans="2:2" ht="13.2" customHeight="1">
      <c r="B364" s="73"/>
    </row>
    <row r="365" spans="2:2" ht="13.2" customHeight="1">
      <c r="B365" s="73"/>
    </row>
    <row r="366" spans="2:2" ht="13.2" customHeight="1">
      <c r="B366" s="73"/>
    </row>
    <row r="367" spans="2:2" ht="13.2" customHeight="1">
      <c r="B367" s="73"/>
    </row>
    <row r="368" spans="2:2" ht="13.2" customHeight="1">
      <c r="B368" s="73"/>
    </row>
    <row r="369" spans="2:2" ht="13.2" customHeight="1">
      <c r="B369" s="73"/>
    </row>
    <row r="370" spans="2:2" ht="13.2" customHeight="1">
      <c r="B370" s="73"/>
    </row>
    <row r="371" spans="2:2" ht="13.2" customHeight="1">
      <c r="B371" s="73"/>
    </row>
    <row r="372" spans="2:2" ht="13.2" customHeight="1">
      <c r="B372" s="73"/>
    </row>
    <row r="373" spans="2:2" ht="13.2" customHeight="1">
      <c r="B373" s="73"/>
    </row>
    <row r="374" spans="2:2" ht="13.2" customHeight="1">
      <c r="B374" s="73"/>
    </row>
    <row r="375" spans="2:2" ht="13.2" customHeight="1">
      <c r="B375" s="73"/>
    </row>
    <row r="376" spans="2:2" ht="13.2" customHeight="1">
      <c r="B376" s="73"/>
    </row>
    <row r="377" spans="2:2" ht="13.2" customHeight="1">
      <c r="B377" s="73"/>
    </row>
    <row r="378" spans="2:2" ht="13.2" customHeight="1">
      <c r="B378" s="73"/>
    </row>
    <row r="379" spans="2:2" ht="13.2" customHeight="1">
      <c r="B379" s="73"/>
    </row>
    <row r="380" spans="2:2" ht="13.2" customHeight="1">
      <c r="B380" s="73"/>
    </row>
    <row r="381" spans="2:2" ht="13.2" customHeight="1">
      <c r="B381" s="73"/>
    </row>
    <row r="382" spans="2:2" ht="13.2" customHeight="1">
      <c r="B382" s="73"/>
    </row>
    <row r="383" spans="2:2" ht="13.2" customHeight="1">
      <c r="B383" s="73"/>
    </row>
    <row r="384" spans="2:2" ht="13.2" customHeight="1">
      <c r="B384" s="73"/>
    </row>
    <row r="385" spans="2:2" ht="13.2" customHeight="1">
      <c r="B385" s="73"/>
    </row>
    <row r="386" spans="2:2" ht="13.2" customHeight="1">
      <c r="B386" s="73"/>
    </row>
    <row r="387" spans="2:2" ht="13.2" customHeight="1">
      <c r="B387" s="73"/>
    </row>
    <row r="388" spans="2:2" ht="13.2" customHeight="1">
      <c r="B388" s="73"/>
    </row>
    <row r="389" spans="2:2" ht="13.2" customHeight="1">
      <c r="B389" s="73"/>
    </row>
    <row r="390" spans="2:2" ht="13.2" customHeight="1">
      <c r="B390" s="73"/>
    </row>
    <row r="391" spans="2:2" ht="13.2" customHeight="1">
      <c r="B391" s="73"/>
    </row>
    <row r="392" spans="2:2" ht="13.2" customHeight="1">
      <c r="B392" s="73"/>
    </row>
    <row r="393" spans="2:2" ht="13.2" customHeight="1">
      <c r="B393" s="73"/>
    </row>
    <row r="394" spans="2:2" ht="13.2" customHeight="1">
      <c r="B394" s="73"/>
    </row>
    <row r="395" spans="2:2" ht="13.2" customHeight="1">
      <c r="B395" s="73"/>
    </row>
    <row r="396" spans="2:2" ht="13.2" customHeight="1">
      <c r="B396" s="73"/>
    </row>
    <row r="397" spans="2:2" ht="13.2" customHeight="1">
      <c r="B397" s="73"/>
    </row>
    <row r="398" spans="2:2" ht="13.2" customHeight="1">
      <c r="B398" s="73"/>
    </row>
    <row r="399" spans="2:2" ht="13.2" customHeight="1">
      <c r="B399" s="73"/>
    </row>
    <row r="400" spans="2:2" ht="13.2" customHeight="1">
      <c r="B400" s="73"/>
    </row>
    <row r="401" spans="2:2" ht="13.2" customHeight="1">
      <c r="B401" s="73"/>
    </row>
    <row r="402" spans="2:2" ht="13.2" customHeight="1">
      <c r="B402" s="73"/>
    </row>
    <row r="403" spans="2:2" ht="13.2" customHeight="1">
      <c r="B403" s="73"/>
    </row>
    <row r="404" spans="2:2" ht="13.2" customHeight="1">
      <c r="B404" s="73"/>
    </row>
    <row r="405" spans="2:2" ht="13.2" customHeight="1">
      <c r="B405" s="73"/>
    </row>
    <row r="406" spans="2:2" ht="13.2" customHeight="1">
      <c r="B406" s="73"/>
    </row>
    <row r="407" spans="2:2" ht="13.2" customHeight="1">
      <c r="B407" s="73"/>
    </row>
    <row r="408" spans="2:2" ht="13.2" customHeight="1">
      <c r="B408" s="73"/>
    </row>
    <row r="409" spans="2:2" ht="13.2" customHeight="1">
      <c r="B409" s="73"/>
    </row>
    <row r="410" spans="2:2" ht="13.2" customHeight="1">
      <c r="B410" s="73"/>
    </row>
    <row r="411" spans="2:2" ht="13.2" customHeight="1">
      <c r="B411" s="73"/>
    </row>
    <row r="412" spans="2:2" ht="13.2" customHeight="1">
      <c r="B412" s="73"/>
    </row>
    <row r="413" spans="2:2" ht="13.2" customHeight="1">
      <c r="B413" s="73"/>
    </row>
    <row r="414" spans="2:2" ht="13.2" customHeight="1">
      <c r="B414" s="73"/>
    </row>
    <row r="415" spans="2:2" ht="13.2" customHeight="1">
      <c r="B415" s="73"/>
    </row>
    <row r="416" spans="2:2" ht="13.2" customHeight="1">
      <c r="B416" s="73"/>
    </row>
    <row r="417" spans="2:2" ht="13.2" customHeight="1">
      <c r="B417" s="73"/>
    </row>
    <row r="418" spans="2:2" ht="13.2" customHeight="1">
      <c r="B418" s="73"/>
    </row>
    <row r="419" spans="2:2" ht="13.2" customHeight="1">
      <c r="B419" s="73"/>
    </row>
    <row r="420" spans="2:2" ht="13.2" customHeight="1">
      <c r="B420" s="73"/>
    </row>
    <row r="421" spans="2:2" ht="13.2" customHeight="1">
      <c r="B421" s="73"/>
    </row>
    <row r="422" spans="2:2" ht="13.2" customHeight="1">
      <c r="B422" s="73"/>
    </row>
    <row r="423" spans="2:2" ht="13.2" customHeight="1">
      <c r="B423" s="73"/>
    </row>
    <row r="424" spans="2:2" ht="13.2" customHeight="1">
      <c r="B424" s="73"/>
    </row>
    <row r="425" spans="2:2" ht="13.2" customHeight="1">
      <c r="B425" s="73"/>
    </row>
    <row r="426" spans="2:2" ht="13.2" customHeight="1">
      <c r="B426" s="73"/>
    </row>
    <row r="427" spans="2:2" ht="13.2" customHeight="1">
      <c r="B427" s="73"/>
    </row>
    <row r="428" spans="2:2" ht="13.2" customHeight="1">
      <c r="B428" s="73"/>
    </row>
    <row r="429" spans="2:2" ht="13.2" customHeight="1">
      <c r="B429" s="73"/>
    </row>
    <row r="430" spans="2:2" ht="13.2" customHeight="1">
      <c r="B430" s="73"/>
    </row>
    <row r="431" spans="2:2" ht="13.2" customHeight="1">
      <c r="B431" s="73"/>
    </row>
    <row r="432" spans="2:2" ht="13.2" customHeight="1">
      <c r="B432" s="73"/>
    </row>
    <row r="433" spans="2:2" ht="13.2" customHeight="1">
      <c r="B433" s="73"/>
    </row>
    <row r="434" spans="2:2" ht="13.2" customHeight="1">
      <c r="B434" s="73"/>
    </row>
    <row r="435" spans="2:2" ht="13.2" customHeight="1">
      <c r="B435" s="73"/>
    </row>
    <row r="436" spans="2:2" ht="13.2" customHeight="1">
      <c r="B436" s="73"/>
    </row>
    <row r="437" spans="2:2" ht="13.2" customHeight="1">
      <c r="B437" s="73"/>
    </row>
    <row r="438" spans="2:2" ht="13.2" customHeight="1">
      <c r="B438" s="73"/>
    </row>
    <row r="439" spans="2:2" ht="13.2" customHeight="1">
      <c r="B439" s="73"/>
    </row>
    <row r="440" spans="2:2" ht="13.2" customHeight="1">
      <c r="B440" s="73"/>
    </row>
    <row r="441" spans="2:2" ht="13.2" customHeight="1">
      <c r="B441" s="73"/>
    </row>
    <row r="442" spans="2:2" ht="13.2" customHeight="1">
      <c r="B442" s="73"/>
    </row>
    <row r="443" spans="2:2" ht="13.2" customHeight="1">
      <c r="B443" s="73"/>
    </row>
    <row r="444" spans="2:2" ht="13.2" customHeight="1">
      <c r="B444" s="73"/>
    </row>
    <row r="445" spans="2:2" ht="13.2" customHeight="1">
      <c r="B445" s="73"/>
    </row>
    <row r="446" spans="2:2" ht="13.2" customHeight="1">
      <c r="B446" s="73"/>
    </row>
    <row r="447" spans="2:2" ht="13.2" customHeight="1">
      <c r="B447" s="73"/>
    </row>
    <row r="448" spans="2:2" ht="13.2" customHeight="1">
      <c r="B448" s="73"/>
    </row>
    <row r="449" spans="2:2" ht="13.2" customHeight="1">
      <c r="B449" s="73"/>
    </row>
    <row r="450" spans="2:2" ht="13.2" customHeight="1">
      <c r="B450" s="73"/>
    </row>
    <row r="451" spans="2:2" ht="13.2" customHeight="1">
      <c r="B451" s="73"/>
    </row>
    <row r="452" spans="2:2" ht="13.2" customHeight="1">
      <c r="B452" s="73"/>
    </row>
    <row r="453" spans="2:2" ht="13.2" customHeight="1">
      <c r="B453" s="73"/>
    </row>
    <row r="454" spans="2:2" ht="13.2" customHeight="1">
      <c r="B454" s="73"/>
    </row>
    <row r="455" spans="2:2" ht="13.2" customHeight="1">
      <c r="B455" s="73"/>
    </row>
    <row r="456" spans="2:2" ht="13.2" customHeight="1">
      <c r="B456" s="73"/>
    </row>
    <row r="457" spans="2:2" ht="13.2" customHeight="1">
      <c r="B457" s="73"/>
    </row>
    <row r="458" spans="2:2" ht="13.2" customHeight="1">
      <c r="B458" s="73"/>
    </row>
    <row r="459" spans="2:2" ht="13.2" customHeight="1">
      <c r="B459" s="73"/>
    </row>
    <row r="460" spans="2:2" ht="13.2" customHeight="1">
      <c r="B460" s="73"/>
    </row>
    <row r="461" spans="2:2" ht="13.2" customHeight="1">
      <c r="B461" s="73"/>
    </row>
    <row r="462" spans="2:2" ht="13.2" customHeight="1">
      <c r="B462" s="73"/>
    </row>
    <row r="463" spans="2:2" ht="13.2" customHeight="1">
      <c r="B463" s="73"/>
    </row>
    <row r="464" spans="2:2" ht="13.2" customHeight="1">
      <c r="B464" s="73"/>
    </row>
    <row r="465" spans="2:2" ht="13.2" customHeight="1">
      <c r="B465" s="73"/>
    </row>
    <row r="466" spans="2:2" ht="13.2" customHeight="1">
      <c r="B466" s="73"/>
    </row>
    <row r="467" spans="2:2" ht="13.2" customHeight="1">
      <c r="B467" s="73"/>
    </row>
    <row r="468" spans="2:2" ht="13.2" customHeight="1">
      <c r="B468" s="73"/>
    </row>
    <row r="469" spans="2:2" ht="13.2" customHeight="1">
      <c r="B469" s="73"/>
    </row>
    <row r="470" spans="2:2" ht="13.2" customHeight="1">
      <c r="B470" s="73"/>
    </row>
    <row r="471" spans="2:2" ht="13.2" customHeight="1">
      <c r="B471" s="73"/>
    </row>
    <row r="472" spans="2:2" ht="13.2" customHeight="1">
      <c r="B472" s="73"/>
    </row>
    <row r="473" spans="2:2" ht="13.2" customHeight="1">
      <c r="B473" s="73"/>
    </row>
    <row r="474" spans="2:2" ht="13.2" customHeight="1">
      <c r="B474" s="73"/>
    </row>
    <row r="475" spans="2:2" ht="13.2" customHeight="1">
      <c r="B475" s="73"/>
    </row>
    <row r="476" spans="2:2" ht="13.2" customHeight="1">
      <c r="B476" s="73"/>
    </row>
    <row r="477" spans="2:2" ht="13.2" customHeight="1">
      <c r="B477" s="73"/>
    </row>
    <row r="478" spans="2:2" ht="13.2" customHeight="1">
      <c r="B478" s="73"/>
    </row>
    <row r="479" spans="2:2" ht="13.2" customHeight="1">
      <c r="B479" s="73"/>
    </row>
    <row r="480" spans="2:2" ht="13.2" customHeight="1">
      <c r="B480" s="73"/>
    </row>
    <row r="481" spans="2:2" ht="13.2" customHeight="1">
      <c r="B481" s="73"/>
    </row>
    <row r="482" spans="2:2" ht="13.2" customHeight="1">
      <c r="B482" s="73"/>
    </row>
    <row r="483" spans="2:2" ht="13.2" customHeight="1">
      <c r="B483" s="73"/>
    </row>
    <row r="484" spans="2:2" ht="13.2" customHeight="1">
      <c r="B484" s="73"/>
    </row>
    <row r="485" spans="2:2" ht="13.2" customHeight="1">
      <c r="B485" s="73"/>
    </row>
    <row r="486" spans="2:2" ht="13.2" customHeight="1">
      <c r="B486" s="73"/>
    </row>
    <row r="487" spans="2:2" ht="13.2" customHeight="1">
      <c r="B487" s="73"/>
    </row>
    <row r="488" spans="2:2" ht="13.2" customHeight="1">
      <c r="B488" s="73"/>
    </row>
    <row r="489" spans="2:2" ht="13.2" customHeight="1">
      <c r="B489" s="73"/>
    </row>
    <row r="490" spans="2:2" ht="13.2" customHeight="1">
      <c r="B490" s="73"/>
    </row>
    <row r="491" spans="2:2" ht="13.2" customHeight="1">
      <c r="B491" s="73"/>
    </row>
    <row r="492" spans="2:2" ht="13.2" customHeight="1">
      <c r="B492" s="73"/>
    </row>
    <row r="493" spans="2:2" ht="13.2" customHeight="1">
      <c r="B493" s="73"/>
    </row>
    <row r="494" spans="2:2" ht="13.2" customHeight="1">
      <c r="B494" s="73"/>
    </row>
    <row r="495" spans="2:2" ht="13.2" customHeight="1">
      <c r="B495" s="73"/>
    </row>
    <row r="496" spans="2:2" ht="13.2" customHeight="1">
      <c r="B496" s="73"/>
    </row>
    <row r="497" spans="2:2" ht="13.2" customHeight="1">
      <c r="B497" s="73"/>
    </row>
    <row r="498" spans="2:2" ht="13.2" customHeight="1">
      <c r="B498" s="73"/>
    </row>
    <row r="499" spans="2:2" ht="13.2" customHeight="1">
      <c r="B499" s="73"/>
    </row>
    <row r="500" spans="2:2" ht="13.2" customHeight="1">
      <c r="B500" s="73"/>
    </row>
    <row r="501" spans="2:2" ht="13.2" customHeight="1">
      <c r="B501" s="73"/>
    </row>
    <row r="502" spans="2:2" ht="13.2" customHeight="1">
      <c r="B502" s="73"/>
    </row>
    <row r="503" spans="2:2" ht="13.2" customHeight="1">
      <c r="B503" s="73"/>
    </row>
    <row r="504" spans="2:2" ht="13.2" customHeight="1">
      <c r="B504" s="73"/>
    </row>
    <row r="505" spans="2:2" ht="13.2" customHeight="1">
      <c r="B505" s="73"/>
    </row>
    <row r="506" spans="2:2" ht="13.2" customHeight="1">
      <c r="B506" s="73"/>
    </row>
    <row r="507" spans="2:2" ht="13.2" customHeight="1">
      <c r="B507" s="73"/>
    </row>
    <row r="508" spans="2:2" ht="13.2" customHeight="1">
      <c r="B508" s="73"/>
    </row>
    <row r="509" spans="2:2" ht="13.2" customHeight="1">
      <c r="B509" s="73"/>
    </row>
    <row r="510" spans="2:2" ht="13.2" customHeight="1">
      <c r="B510" s="73"/>
    </row>
    <row r="511" spans="2:2" ht="13.2" customHeight="1">
      <c r="B511" s="73"/>
    </row>
    <row r="512" spans="2:2" ht="13.2" customHeight="1">
      <c r="B512" s="73"/>
    </row>
    <row r="513" spans="2:2" ht="13.2" customHeight="1">
      <c r="B513" s="73"/>
    </row>
    <row r="514" spans="2:2" ht="13.2" customHeight="1">
      <c r="B514" s="73"/>
    </row>
    <row r="515" spans="2:2" ht="13.2" customHeight="1">
      <c r="B515" s="73"/>
    </row>
    <row r="516" spans="2:2" ht="13.2" customHeight="1">
      <c r="B516" s="73"/>
    </row>
    <row r="517" spans="2:2" ht="13.2" customHeight="1">
      <c r="B517" s="73"/>
    </row>
    <row r="518" spans="2:2" ht="13.2" customHeight="1">
      <c r="B518" s="73"/>
    </row>
    <row r="519" spans="2:2" ht="13.2" customHeight="1">
      <c r="B519" s="73"/>
    </row>
    <row r="520" spans="2:2" ht="13.2" customHeight="1">
      <c r="B520" s="73"/>
    </row>
    <row r="521" spans="2:2" ht="13.2" customHeight="1">
      <c r="B521" s="73"/>
    </row>
    <row r="522" spans="2:2" ht="13.2" customHeight="1">
      <c r="B522" s="73"/>
    </row>
    <row r="523" spans="2:2" ht="13.2" customHeight="1">
      <c r="B523" s="73"/>
    </row>
    <row r="524" spans="2:2" ht="13.2" customHeight="1">
      <c r="B524" s="73"/>
    </row>
    <row r="525" spans="2:2" ht="13.2" customHeight="1">
      <c r="B525" s="73"/>
    </row>
    <row r="526" spans="2:2" ht="13.2" customHeight="1">
      <c r="B526" s="73"/>
    </row>
    <row r="527" spans="2:2" ht="13.2" customHeight="1">
      <c r="B527" s="73"/>
    </row>
    <row r="528" spans="2:2" ht="13.2" customHeight="1">
      <c r="B528" s="73"/>
    </row>
    <row r="529" spans="2:2" ht="13.2" customHeight="1">
      <c r="B529" s="73"/>
    </row>
    <row r="530" spans="2:2" ht="13.2" customHeight="1">
      <c r="B530" s="73"/>
    </row>
    <row r="531" spans="2:2" ht="13.2" customHeight="1">
      <c r="B531" s="73"/>
    </row>
    <row r="532" spans="2:2" ht="13.2" customHeight="1">
      <c r="B532" s="73"/>
    </row>
    <row r="533" spans="2:2" ht="13.2" customHeight="1">
      <c r="B533" s="73"/>
    </row>
    <row r="534" spans="2:2" ht="13.2" customHeight="1">
      <c r="B534" s="73"/>
    </row>
    <row r="535" spans="2:2" ht="13.2" customHeight="1">
      <c r="B535" s="73"/>
    </row>
    <row r="536" spans="2:2" ht="13.2" customHeight="1">
      <c r="B536" s="73"/>
    </row>
    <row r="537" spans="2:2" ht="13.2" customHeight="1">
      <c r="B537" s="73"/>
    </row>
    <row r="538" spans="2:2" ht="13.2" customHeight="1">
      <c r="B538" s="73"/>
    </row>
    <row r="539" spans="2:2" ht="13.2" customHeight="1">
      <c r="B539" s="73"/>
    </row>
    <row r="540" spans="2:2" ht="13.2" customHeight="1">
      <c r="B540" s="73"/>
    </row>
    <row r="541" spans="2:2" ht="13.2" customHeight="1">
      <c r="B541" s="73"/>
    </row>
    <row r="542" spans="2:2" ht="13.2" customHeight="1">
      <c r="B542" s="73"/>
    </row>
    <row r="543" spans="2:2" ht="13.2" customHeight="1">
      <c r="B543" s="73"/>
    </row>
    <row r="544" spans="2:2" ht="13.2" customHeight="1">
      <c r="B544" s="73"/>
    </row>
    <row r="545" spans="2:2" ht="13.2" customHeight="1">
      <c r="B545" s="73"/>
    </row>
    <row r="546" spans="2:2" ht="13.2" customHeight="1">
      <c r="B546" s="73"/>
    </row>
    <row r="547" spans="2:2" ht="13.2" customHeight="1">
      <c r="B547" s="73"/>
    </row>
    <row r="548" spans="2:2" ht="13.2" customHeight="1">
      <c r="B548" s="73"/>
    </row>
    <row r="549" spans="2:2" ht="13.2" customHeight="1">
      <c r="B549" s="73"/>
    </row>
    <row r="550" spans="2:2" ht="13.2" customHeight="1">
      <c r="B550" s="73"/>
    </row>
    <row r="551" spans="2:2" ht="13.2" customHeight="1">
      <c r="B551" s="73"/>
    </row>
    <row r="552" spans="2:2" ht="13.2" customHeight="1">
      <c r="B552" s="73"/>
    </row>
    <row r="553" spans="2:2" ht="13.2" customHeight="1">
      <c r="B553" s="73"/>
    </row>
    <row r="554" spans="2:2" ht="13.2" customHeight="1">
      <c r="B554" s="73"/>
    </row>
    <row r="555" spans="2:2" ht="13.2" customHeight="1">
      <c r="B555" s="73"/>
    </row>
    <row r="556" spans="2:2" ht="13.2" customHeight="1">
      <c r="B556" s="73"/>
    </row>
    <row r="557" spans="2:2" ht="13.2" customHeight="1">
      <c r="B557" s="73"/>
    </row>
    <row r="558" spans="2:2" ht="13.2" customHeight="1">
      <c r="B558" s="73"/>
    </row>
    <row r="559" spans="2:2" ht="13.2" customHeight="1">
      <c r="B559" s="73"/>
    </row>
    <row r="560" spans="2:2" ht="13.2" customHeight="1">
      <c r="B560" s="73"/>
    </row>
    <row r="561" spans="2:2" ht="13.2" customHeight="1">
      <c r="B561" s="73"/>
    </row>
    <row r="562" spans="2:2" ht="13.2" customHeight="1">
      <c r="B562" s="73"/>
    </row>
    <row r="563" spans="2:2" ht="13.2" customHeight="1">
      <c r="B563" s="73"/>
    </row>
    <row r="564" spans="2:2" ht="13.2" customHeight="1">
      <c r="B564" s="73"/>
    </row>
    <row r="565" spans="2:2" ht="13.2" customHeight="1">
      <c r="B565" s="73"/>
    </row>
    <row r="566" spans="2:2" ht="13.2" customHeight="1">
      <c r="B566" s="73"/>
    </row>
    <row r="567" spans="2:2" ht="13.2" customHeight="1">
      <c r="B567" s="73"/>
    </row>
    <row r="568" spans="2:2" ht="13.2" customHeight="1">
      <c r="B568" s="73"/>
    </row>
    <row r="569" spans="2:2" ht="13.2" customHeight="1">
      <c r="B569" s="73"/>
    </row>
    <row r="570" spans="2:2" ht="13.2" customHeight="1">
      <c r="B570" s="73"/>
    </row>
    <row r="571" spans="2:2" ht="13.2" customHeight="1">
      <c r="B571" s="73"/>
    </row>
    <row r="572" spans="2:2" ht="13.2" customHeight="1">
      <c r="B572" s="73"/>
    </row>
    <row r="573" spans="2:2" ht="13.2" customHeight="1">
      <c r="B573" s="73"/>
    </row>
    <row r="574" spans="2:2" ht="13.2" customHeight="1">
      <c r="B574" s="73"/>
    </row>
    <row r="575" spans="2:2" ht="13.2" customHeight="1">
      <c r="B575" s="73"/>
    </row>
    <row r="576" spans="2:2" ht="13.2" customHeight="1">
      <c r="B576" s="73"/>
    </row>
    <row r="577" spans="2:2" ht="13.2" customHeight="1">
      <c r="B577" s="73"/>
    </row>
    <row r="578" spans="2:2" ht="13.2" customHeight="1">
      <c r="B578" s="73"/>
    </row>
    <row r="579" spans="2:2" ht="13.2" customHeight="1">
      <c r="B579" s="73"/>
    </row>
    <row r="580" spans="2:2" ht="13.2" customHeight="1">
      <c r="B580" s="73"/>
    </row>
    <row r="581" spans="2:2" ht="13.2" customHeight="1">
      <c r="B581" s="73"/>
    </row>
    <row r="582" spans="2:2" ht="13.2" customHeight="1">
      <c r="B582" s="73"/>
    </row>
    <row r="583" spans="2:2" ht="13.2" customHeight="1">
      <c r="B583" s="73"/>
    </row>
    <row r="584" spans="2:2" ht="13.2" customHeight="1">
      <c r="B584" s="73"/>
    </row>
    <row r="585" spans="2:2" ht="13.2" customHeight="1">
      <c r="B585" s="73"/>
    </row>
    <row r="586" spans="2:2" ht="13.2" customHeight="1">
      <c r="B586" s="73"/>
    </row>
    <row r="587" spans="2:2" ht="13.2" customHeight="1">
      <c r="B587" s="73"/>
    </row>
    <row r="588" spans="2:2" ht="13.2" customHeight="1">
      <c r="B588" s="73"/>
    </row>
    <row r="589" spans="2:2" ht="13.2" customHeight="1">
      <c r="B589" s="73"/>
    </row>
    <row r="590" spans="2:2" ht="13.2" customHeight="1">
      <c r="B590" s="73"/>
    </row>
    <row r="591" spans="2:2" ht="13.2" customHeight="1">
      <c r="B591" s="73"/>
    </row>
    <row r="592" spans="2:2" ht="13.2" customHeight="1">
      <c r="B592" s="73"/>
    </row>
    <row r="593" spans="2:2" ht="13.2" customHeight="1">
      <c r="B593" s="73"/>
    </row>
    <row r="594" spans="2:2" ht="13.2" customHeight="1">
      <c r="B594" s="73"/>
    </row>
    <row r="595" spans="2:2" ht="13.2" customHeight="1">
      <c r="B595" s="73"/>
    </row>
    <row r="596" spans="2:2" ht="13.2" customHeight="1">
      <c r="B596" s="73"/>
    </row>
    <row r="597" spans="2:2" ht="13.2" customHeight="1">
      <c r="B597" s="73"/>
    </row>
    <row r="598" spans="2:2" ht="13.2" customHeight="1">
      <c r="B598" s="73"/>
    </row>
    <row r="599" spans="2:2" ht="13.2" customHeight="1">
      <c r="B599" s="73"/>
    </row>
    <row r="600" spans="2:2" ht="13.2" customHeight="1">
      <c r="B600" s="73"/>
    </row>
    <row r="601" spans="2:2" ht="13.2" customHeight="1">
      <c r="B601" s="73"/>
    </row>
    <row r="602" spans="2:2" ht="13.2" customHeight="1">
      <c r="B602" s="73"/>
    </row>
    <row r="603" spans="2:2" ht="13.2" customHeight="1">
      <c r="B603" s="73"/>
    </row>
    <row r="604" spans="2:2" ht="13.2" customHeight="1">
      <c r="B604" s="73"/>
    </row>
    <row r="605" spans="2:2" ht="13.2" customHeight="1">
      <c r="B605" s="73"/>
    </row>
    <row r="606" spans="2:2" ht="13.2" customHeight="1">
      <c r="B606" s="73"/>
    </row>
    <row r="607" spans="2:2" ht="13.2" customHeight="1">
      <c r="B607" s="73"/>
    </row>
    <row r="608" spans="2:2" ht="13.2" customHeight="1">
      <c r="B608" s="73"/>
    </row>
    <row r="609" spans="2:2" ht="13.2" customHeight="1">
      <c r="B609" s="73"/>
    </row>
    <row r="610" spans="2:2" ht="13.2" customHeight="1">
      <c r="B610" s="73"/>
    </row>
    <row r="611" spans="2:2" ht="13.2" customHeight="1">
      <c r="B611" s="73"/>
    </row>
    <row r="612" spans="2:2" ht="13.2" customHeight="1">
      <c r="B612" s="73"/>
    </row>
    <row r="613" spans="2:2" ht="13.2" customHeight="1">
      <c r="B613" s="73"/>
    </row>
    <row r="614" spans="2:2" ht="13.2" customHeight="1">
      <c r="B614" s="73"/>
    </row>
    <row r="615" spans="2:2" ht="13.2" customHeight="1">
      <c r="B615" s="73"/>
    </row>
    <row r="616" spans="2:2" ht="13.2" customHeight="1">
      <c r="B616" s="73"/>
    </row>
    <row r="617" spans="2:2" ht="13.2" customHeight="1">
      <c r="B617" s="73"/>
    </row>
    <row r="618" spans="2:2" ht="13.2" customHeight="1">
      <c r="B618" s="73"/>
    </row>
    <row r="619" spans="2:2" ht="13.2" customHeight="1">
      <c r="B619" s="73"/>
    </row>
    <row r="620" spans="2:2" ht="13.2" customHeight="1">
      <c r="B620" s="73"/>
    </row>
    <row r="621" spans="2:2" ht="13.2" customHeight="1">
      <c r="B621" s="73"/>
    </row>
    <row r="622" spans="2:2" ht="13.2" customHeight="1">
      <c r="B622" s="73"/>
    </row>
    <row r="623" spans="2:2" ht="13.2" customHeight="1">
      <c r="B623" s="73"/>
    </row>
    <row r="624" spans="2:2" ht="13.2" customHeight="1">
      <c r="B624" s="73"/>
    </row>
    <row r="625" spans="2:2" ht="13.2" customHeight="1">
      <c r="B625" s="73"/>
    </row>
    <row r="626" spans="2:2" ht="13.2" customHeight="1">
      <c r="B626" s="73"/>
    </row>
    <row r="627" spans="2:2" ht="13.2" customHeight="1">
      <c r="B627" s="73"/>
    </row>
    <row r="628" spans="2:2" ht="13.2" customHeight="1">
      <c r="B628" s="73"/>
    </row>
    <row r="629" spans="2:2" ht="13.2" customHeight="1">
      <c r="B629" s="73"/>
    </row>
    <row r="630" spans="2:2" ht="13.2" customHeight="1">
      <c r="B630" s="73"/>
    </row>
    <row r="631" spans="2:2" ht="13.2" customHeight="1">
      <c r="B631" s="73"/>
    </row>
    <row r="632" spans="2:2" ht="13.2" customHeight="1">
      <c r="B632" s="73"/>
    </row>
    <row r="633" spans="2:2" ht="13.2" customHeight="1">
      <c r="B633" s="73"/>
    </row>
    <row r="634" spans="2:2" ht="13.2" customHeight="1">
      <c r="B634" s="73"/>
    </row>
    <row r="635" spans="2:2" ht="13.2" customHeight="1">
      <c r="B635" s="73"/>
    </row>
    <row r="636" spans="2:2" ht="13.2" customHeight="1">
      <c r="B636" s="73"/>
    </row>
    <row r="637" spans="2:2" ht="13.2" customHeight="1">
      <c r="B637" s="73"/>
    </row>
    <row r="638" spans="2:2" ht="13.2" customHeight="1">
      <c r="B638" s="73"/>
    </row>
    <row r="639" spans="2:2" ht="13.2" customHeight="1">
      <c r="B639" s="73"/>
    </row>
    <row r="640" spans="2:2" ht="13.2" customHeight="1">
      <c r="B640" s="73"/>
    </row>
    <row r="641" spans="2:2" ht="13.2" customHeight="1">
      <c r="B641" s="73"/>
    </row>
    <row r="642" spans="2:2" ht="13.2" customHeight="1">
      <c r="B642" s="73"/>
    </row>
    <row r="643" spans="2:2" ht="13.2" customHeight="1">
      <c r="B643" s="73"/>
    </row>
    <row r="644" spans="2:2" ht="13.2" customHeight="1">
      <c r="B644" s="73"/>
    </row>
    <row r="645" spans="2:2" ht="13.2" customHeight="1">
      <c r="B645" s="73"/>
    </row>
    <row r="646" spans="2:2" ht="13.2" customHeight="1">
      <c r="B646" s="73"/>
    </row>
    <row r="647" spans="2:2" ht="13.2" customHeight="1">
      <c r="B647" s="73"/>
    </row>
    <row r="648" spans="2:2" ht="13.2" customHeight="1">
      <c r="B648" s="73"/>
    </row>
    <row r="649" spans="2:2" ht="13.2" customHeight="1">
      <c r="B649" s="73"/>
    </row>
    <row r="650" spans="2:2" ht="13.2" customHeight="1">
      <c r="B650" s="73"/>
    </row>
    <row r="651" spans="2:2" ht="13.2" customHeight="1">
      <c r="B651" s="73"/>
    </row>
    <row r="652" spans="2:2" ht="13.2" customHeight="1">
      <c r="B652" s="73"/>
    </row>
    <row r="653" spans="2:2" ht="13.2" customHeight="1">
      <c r="B653" s="73"/>
    </row>
    <row r="654" spans="2:2" ht="13.2" customHeight="1">
      <c r="B654" s="73"/>
    </row>
    <row r="655" spans="2:2" ht="13.2" customHeight="1">
      <c r="B655" s="73"/>
    </row>
    <row r="656" spans="2:2" ht="13.2" customHeight="1">
      <c r="B656" s="73"/>
    </row>
    <row r="657" spans="2:2" ht="13.2" customHeight="1">
      <c r="B657" s="73"/>
    </row>
    <row r="658" spans="2:2" ht="13.2" customHeight="1">
      <c r="B658" s="73"/>
    </row>
    <row r="659" spans="2:2" ht="13.2" customHeight="1">
      <c r="B659" s="73"/>
    </row>
    <row r="660" spans="2:2" ht="13.2" customHeight="1">
      <c r="B660" s="73"/>
    </row>
    <row r="661" spans="2:2" ht="13.2" customHeight="1">
      <c r="B661" s="73"/>
    </row>
    <row r="662" spans="2:2" ht="13.2" customHeight="1">
      <c r="B662" s="73"/>
    </row>
    <row r="663" spans="2:2" ht="13.2" customHeight="1">
      <c r="B663" s="73"/>
    </row>
    <row r="664" spans="2:2" ht="13.2" customHeight="1">
      <c r="B664" s="73"/>
    </row>
    <row r="665" spans="2:2" ht="13.2" customHeight="1">
      <c r="B665" s="73"/>
    </row>
    <row r="666" spans="2:2" ht="13.2" customHeight="1">
      <c r="B666" s="73"/>
    </row>
    <row r="667" spans="2:2" ht="13.2" customHeight="1">
      <c r="B667" s="73"/>
    </row>
    <row r="668" spans="2:2" ht="13.2" customHeight="1">
      <c r="B668" s="73"/>
    </row>
    <row r="669" spans="2:2" ht="13.2" customHeight="1">
      <c r="B669" s="73"/>
    </row>
    <row r="670" spans="2:2" ht="13.2" customHeight="1">
      <c r="B670" s="73"/>
    </row>
    <row r="671" spans="2:2" ht="13.2" customHeight="1">
      <c r="B671" s="73"/>
    </row>
    <row r="672" spans="2:2" ht="13.2" customHeight="1">
      <c r="B672" s="73"/>
    </row>
    <row r="673" spans="2:2" ht="13.2" customHeight="1">
      <c r="B673" s="73"/>
    </row>
    <row r="674" spans="2:2" ht="13.2" customHeight="1">
      <c r="B674" s="73"/>
    </row>
    <row r="675" spans="2:2" ht="13.2" customHeight="1">
      <c r="B675" s="73"/>
    </row>
    <row r="676" spans="2:2" ht="13.2" customHeight="1">
      <c r="B676" s="73"/>
    </row>
    <row r="677" spans="2:2" ht="13.2" customHeight="1">
      <c r="B677" s="73"/>
    </row>
    <row r="678" spans="2:2" ht="13.2" customHeight="1">
      <c r="B678" s="73"/>
    </row>
    <row r="679" spans="2:2" ht="13.2" customHeight="1">
      <c r="B679" s="73"/>
    </row>
    <row r="680" spans="2:2" ht="13.2" customHeight="1">
      <c r="B680" s="73"/>
    </row>
    <row r="681" spans="2:2" ht="13.2" customHeight="1">
      <c r="B681" s="73"/>
    </row>
    <row r="682" spans="2:2" ht="13.2" customHeight="1">
      <c r="B682" s="73"/>
    </row>
    <row r="683" spans="2:2" ht="13.2" customHeight="1">
      <c r="B683" s="73"/>
    </row>
    <row r="684" spans="2:2" ht="13.2" customHeight="1">
      <c r="B684" s="73"/>
    </row>
    <row r="685" spans="2:2" ht="13.2" customHeight="1">
      <c r="B685" s="73"/>
    </row>
    <row r="686" spans="2:2" ht="13.2" customHeight="1">
      <c r="B686" s="73"/>
    </row>
    <row r="687" spans="2:2" ht="13.2" customHeight="1">
      <c r="B687" s="73"/>
    </row>
    <row r="688" spans="2:2" ht="13.2" customHeight="1">
      <c r="B688" s="73"/>
    </row>
    <row r="689" spans="2:2" ht="13.2" customHeight="1">
      <c r="B689" s="73"/>
    </row>
    <row r="690" spans="2:2" ht="13.2" customHeight="1">
      <c r="B690" s="73"/>
    </row>
    <row r="691" spans="2:2" ht="13.2" customHeight="1">
      <c r="B691" s="73"/>
    </row>
    <row r="692" spans="2:2" ht="13.2" customHeight="1">
      <c r="B692" s="73"/>
    </row>
    <row r="693" spans="2:2" ht="13.2" customHeight="1">
      <c r="B693" s="73"/>
    </row>
    <row r="694" spans="2:2" ht="13.2" customHeight="1">
      <c r="B694" s="73"/>
    </row>
    <row r="695" spans="2:2" ht="13.2" customHeight="1">
      <c r="B695" s="73"/>
    </row>
    <row r="696" spans="2:2" ht="13.2" customHeight="1">
      <c r="B696" s="73"/>
    </row>
    <row r="697" spans="2:2" ht="13.2" customHeight="1">
      <c r="B697" s="73"/>
    </row>
    <row r="698" spans="2:2" ht="13.2" customHeight="1">
      <c r="B698" s="73"/>
    </row>
    <row r="699" spans="2:2" ht="13.2" customHeight="1">
      <c r="B699" s="73"/>
    </row>
    <row r="700" spans="2:2" ht="13.2" customHeight="1">
      <c r="B700" s="73"/>
    </row>
    <row r="701" spans="2:2" ht="13.2" customHeight="1">
      <c r="B701" s="73"/>
    </row>
    <row r="702" spans="2:2" ht="13.2" customHeight="1">
      <c r="B702" s="73"/>
    </row>
    <row r="703" spans="2:2" ht="13.2" customHeight="1">
      <c r="B703" s="73"/>
    </row>
    <row r="704" spans="2:2" ht="13.2" customHeight="1">
      <c r="B704" s="73"/>
    </row>
    <row r="705" spans="2:2" ht="13.2" customHeight="1">
      <c r="B705" s="73"/>
    </row>
    <row r="706" spans="2:2" ht="13.2" customHeight="1">
      <c r="B706" s="73"/>
    </row>
    <row r="707" spans="2:2" ht="13.2" customHeight="1">
      <c r="B707" s="73"/>
    </row>
    <row r="708" spans="2:2" ht="13.2" customHeight="1">
      <c r="B708" s="73"/>
    </row>
    <row r="709" spans="2:2" ht="13.2" customHeight="1">
      <c r="B709" s="73"/>
    </row>
    <row r="710" spans="2:2" ht="13.2" customHeight="1">
      <c r="B710" s="73"/>
    </row>
    <row r="711" spans="2:2" ht="13.2" customHeight="1">
      <c r="B711" s="73"/>
    </row>
    <row r="712" spans="2:2" ht="13.2" customHeight="1">
      <c r="B712" s="73"/>
    </row>
    <row r="713" spans="2:2" ht="13.2" customHeight="1">
      <c r="B713" s="73"/>
    </row>
    <row r="714" spans="2:2" ht="13.2" customHeight="1">
      <c r="B714" s="73"/>
    </row>
    <row r="715" spans="2:2" ht="13.2" customHeight="1">
      <c r="B715" s="73"/>
    </row>
    <row r="716" spans="2:2" ht="13.2" customHeight="1">
      <c r="B716" s="73"/>
    </row>
    <row r="717" spans="2:2" ht="13.2" customHeight="1">
      <c r="B717" s="73"/>
    </row>
    <row r="718" spans="2:2" ht="13.2" customHeight="1">
      <c r="B718" s="73"/>
    </row>
    <row r="719" spans="2:2" ht="13.2" customHeight="1">
      <c r="B719" s="73"/>
    </row>
    <row r="720" spans="2:2" ht="13.2" customHeight="1">
      <c r="B720" s="73"/>
    </row>
    <row r="721" spans="2:2" ht="13.2" customHeight="1">
      <c r="B721" s="73"/>
    </row>
    <row r="722" spans="2:2" ht="13.2" customHeight="1">
      <c r="B722" s="73"/>
    </row>
    <row r="723" spans="2:2" ht="13.2" customHeight="1">
      <c r="B723" s="73"/>
    </row>
    <row r="724" spans="2:2" ht="13.2" customHeight="1">
      <c r="B724" s="73"/>
    </row>
    <row r="725" spans="2:2" ht="13.2" customHeight="1">
      <c r="B725" s="73"/>
    </row>
    <row r="726" spans="2:2" ht="13.2" customHeight="1">
      <c r="B726" s="73"/>
    </row>
    <row r="727" spans="2:2" ht="13.2" customHeight="1">
      <c r="B727" s="73"/>
    </row>
    <row r="728" spans="2:2" ht="13.2" customHeight="1">
      <c r="B728" s="73"/>
    </row>
    <row r="729" spans="2:2" ht="13.2" customHeight="1">
      <c r="B729" s="73"/>
    </row>
    <row r="730" spans="2:2" ht="13.2" customHeight="1">
      <c r="B730" s="73"/>
    </row>
    <row r="731" spans="2:2" ht="13.2" customHeight="1">
      <c r="B731" s="73"/>
    </row>
    <row r="732" spans="2:2" ht="13.2" customHeight="1">
      <c r="B732" s="73"/>
    </row>
    <row r="733" spans="2:2" ht="13.2" customHeight="1">
      <c r="B733" s="73"/>
    </row>
    <row r="734" spans="2:2" ht="13.2" customHeight="1">
      <c r="B734" s="73"/>
    </row>
    <row r="735" spans="2:2" ht="13.2" customHeight="1">
      <c r="B735" s="73"/>
    </row>
    <row r="736" spans="2:2" ht="13.2" customHeight="1">
      <c r="B736" s="73"/>
    </row>
    <row r="737" spans="2:2" ht="13.2" customHeight="1">
      <c r="B737" s="73"/>
    </row>
    <row r="738" spans="2:2" ht="13.2" customHeight="1">
      <c r="B738" s="73"/>
    </row>
    <row r="739" spans="2:2" ht="13.2" customHeight="1">
      <c r="B739" s="73"/>
    </row>
    <row r="740" spans="2:2" ht="13.2" customHeight="1">
      <c r="B740" s="73"/>
    </row>
    <row r="741" spans="2:2" ht="13.2" customHeight="1">
      <c r="B741" s="73"/>
    </row>
    <row r="742" spans="2:2" ht="13.2" customHeight="1">
      <c r="B742" s="73"/>
    </row>
    <row r="743" spans="2:2" ht="13.2" customHeight="1">
      <c r="B743" s="73"/>
    </row>
    <row r="744" spans="2:2" ht="13.2" customHeight="1">
      <c r="B744" s="73"/>
    </row>
    <row r="745" spans="2:2" ht="13.2" customHeight="1">
      <c r="B745" s="73"/>
    </row>
    <row r="746" spans="2:2" ht="13.2" customHeight="1">
      <c r="B746" s="73"/>
    </row>
    <row r="747" spans="2:2" ht="13.2" customHeight="1">
      <c r="B747" s="73"/>
    </row>
    <row r="748" spans="2:2" ht="13.2" customHeight="1">
      <c r="B748" s="73"/>
    </row>
    <row r="749" spans="2:2" ht="13.2" customHeight="1">
      <c r="B749" s="73"/>
    </row>
    <row r="750" spans="2:2" ht="13.2" customHeight="1">
      <c r="B750" s="73"/>
    </row>
    <row r="751" spans="2:2" ht="13.2" customHeight="1">
      <c r="B751" s="73"/>
    </row>
    <row r="752" spans="2:2" ht="13.2" customHeight="1">
      <c r="B752" s="73"/>
    </row>
    <row r="753" spans="2:2" ht="13.2" customHeight="1">
      <c r="B753" s="73"/>
    </row>
    <row r="754" spans="2:2" ht="13.2" customHeight="1">
      <c r="B754" s="73"/>
    </row>
    <row r="755" spans="2:2" ht="13.2" customHeight="1">
      <c r="B755" s="73"/>
    </row>
    <row r="756" spans="2:2" ht="13.2" customHeight="1">
      <c r="B756" s="73"/>
    </row>
    <row r="757" spans="2:2" ht="13.2" customHeight="1">
      <c r="B757" s="73"/>
    </row>
    <row r="758" spans="2:2" ht="13.2" customHeight="1">
      <c r="B758" s="73"/>
    </row>
    <row r="759" spans="2:2" ht="13.2" customHeight="1">
      <c r="B759" s="73"/>
    </row>
    <row r="760" spans="2:2" ht="13.2" customHeight="1">
      <c r="B760" s="73"/>
    </row>
    <row r="761" spans="2:2" ht="13.2" customHeight="1">
      <c r="B761" s="73"/>
    </row>
    <row r="762" spans="2:2" ht="13.2" customHeight="1">
      <c r="B762" s="73"/>
    </row>
    <row r="763" spans="2:2" ht="13.2" customHeight="1">
      <c r="B763" s="73"/>
    </row>
    <row r="764" spans="2:2" ht="13.2" customHeight="1">
      <c r="B764" s="73"/>
    </row>
    <row r="765" spans="2:2" ht="13.2" customHeight="1">
      <c r="B765" s="73"/>
    </row>
    <row r="766" spans="2:2" ht="13.2" customHeight="1">
      <c r="B766" s="73"/>
    </row>
    <row r="767" spans="2:2" ht="13.2" customHeight="1">
      <c r="B767" s="73"/>
    </row>
    <row r="768" spans="2:2" ht="13.2" customHeight="1">
      <c r="B768" s="73"/>
    </row>
    <row r="769" spans="2:2" ht="13.2" customHeight="1">
      <c r="B769" s="73"/>
    </row>
    <row r="770" spans="2:2" ht="13.2" customHeight="1">
      <c r="B770" s="73"/>
    </row>
    <row r="771" spans="2:2" ht="13.2" customHeight="1">
      <c r="B771" s="73"/>
    </row>
    <row r="772" spans="2:2" ht="13.2" customHeight="1">
      <c r="B772" s="73"/>
    </row>
    <row r="773" spans="2:2" ht="13.2" customHeight="1">
      <c r="B773" s="73"/>
    </row>
    <row r="774" spans="2:2" ht="13.2" customHeight="1">
      <c r="B774" s="73"/>
    </row>
    <row r="775" spans="2:2" ht="13.2" customHeight="1">
      <c r="B775" s="73"/>
    </row>
    <row r="776" spans="2:2" ht="13.2" customHeight="1">
      <c r="B776" s="73"/>
    </row>
    <row r="777" spans="2:2" ht="13.2" customHeight="1">
      <c r="B777" s="73"/>
    </row>
    <row r="778" spans="2:2" ht="13.2" customHeight="1">
      <c r="B778" s="73"/>
    </row>
    <row r="779" spans="2:2" ht="13.2" customHeight="1">
      <c r="B779" s="73"/>
    </row>
    <row r="780" spans="2:2" ht="13.2" customHeight="1">
      <c r="B780" s="73"/>
    </row>
    <row r="781" spans="2:2" ht="13.2" customHeight="1">
      <c r="B781" s="73"/>
    </row>
    <row r="782" spans="2:2" ht="13.2" customHeight="1">
      <c r="B782" s="73"/>
    </row>
    <row r="783" spans="2:2" ht="13.2" customHeight="1">
      <c r="B783" s="73"/>
    </row>
    <row r="784" spans="2:2" ht="13.2" customHeight="1">
      <c r="B784" s="73"/>
    </row>
    <row r="785" spans="2:2" ht="13.2" customHeight="1">
      <c r="B785" s="73"/>
    </row>
    <row r="786" spans="2:2" ht="13.2" customHeight="1">
      <c r="B786" s="73"/>
    </row>
    <row r="787" spans="2:2" ht="13.2" customHeight="1">
      <c r="B787" s="73"/>
    </row>
    <row r="788" spans="2:2" ht="13.2" customHeight="1">
      <c r="B788" s="73"/>
    </row>
    <row r="789" spans="2:2" ht="13.2" customHeight="1">
      <c r="B789" s="73"/>
    </row>
    <row r="790" spans="2:2" ht="13.2" customHeight="1">
      <c r="B790" s="73"/>
    </row>
    <row r="791" spans="2:2" ht="13.2" customHeight="1">
      <c r="B791" s="73"/>
    </row>
    <row r="792" spans="2:2" ht="13.2" customHeight="1">
      <c r="B792" s="73"/>
    </row>
    <row r="793" spans="2:2" ht="13.2" customHeight="1">
      <c r="B793" s="73"/>
    </row>
    <row r="794" spans="2:2" ht="13.2" customHeight="1">
      <c r="B794" s="73"/>
    </row>
    <row r="795" spans="2:2" ht="13.2" customHeight="1">
      <c r="B795" s="73"/>
    </row>
    <row r="796" spans="2:2" ht="13.2" customHeight="1">
      <c r="B796" s="73"/>
    </row>
    <row r="797" spans="2:2" ht="13.2" customHeight="1">
      <c r="B797" s="73"/>
    </row>
    <row r="798" spans="2:2" ht="13.2" customHeight="1">
      <c r="B798" s="73"/>
    </row>
    <row r="799" spans="2:2" ht="13.2" customHeight="1">
      <c r="B799" s="73"/>
    </row>
    <row r="800" spans="2:2" ht="13.2" customHeight="1">
      <c r="B800" s="73"/>
    </row>
    <row r="801" spans="2:2" ht="13.2" customHeight="1">
      <c r="B801" s="73"/>
    </row>
    <row r="802" spans="2:2" ht="13.2" customHeight="1">
      <c r="B802" s="73"/>
    </row>
    <row r="803" spans="2:2" ht="13.2" customHeight="1">
      <c r="B803" s="73"/>
    </row>
    <row r="804" spans="2:2" ht="13.2" customHeight="1">
      <c r="B804" s="73"/>
    </row>
    <row r="805" spans="2:2" ht="13.2" customHeight="1">
      <c r="B805" s="73"/>
    </row>
    <row r="806" spans="2:2" ht="13.2" customHeight="1">
      <c r="B806" s="73"/>
    </row>
    <row r="807" spans="2:2" ht="13.2" customHeight="1">
      <c r="B807" s="73"/>
    </row>
    <row r="808" spans="2:2" ht="13.2" customHeight="1">
      <c r="B808" s="73"/>
    </row>
    <row r="809" spans="2:2" ht="13.2" customHeight="1">
      <c r="B809" s="73"/>
    </row>
    <row r="810" spans="2:2" ht="13.2" customHeight="1">
      <c r="B810" s="73"/>
    </row>
    <row r="811" spans="2:2" ht="13.2" customHeight="1">
      <c r="B811" s="73"/>
    </row>
    <row r="812" spans="2:2" ht="13.2" customHeight="1">
      <c r="B812" s="73"/>
    </row>
    <row r="813" spans="2:2" ht="13.2" customHeight="1">
      <c r="B813" s="73"/>
    </row>
    <row r="814" spans="2:2" ht="13.2" customHeight="1">
      <c r="B814" s="73"/>
    </row>
    <row r="815" spans="2:2" ht="13.2" customHeight="1">
      <c r="B815" s="73"/>
    </row>
    <row r="816" spans="2:2" ht="13.2" customHeight="1">
      <c r="B816" s="73"/>
    </row>
    <row r="817" spans="2:2" ht="13.2" customHeight="1">
      <c r="B817" s="73"/>
    </row>
    <row r="818" spans="2:2" ht="13.2" customHeight="1">
      <c r="B818" s="73"/>
    </row>
    <row r="819" spans="2:2" ht="13.2" customHeight="1">
      <c r="B819" s="73"/>
    </row>
    <row r="820" spans="2:2" ht="13.2" customHeight="1">
      <c r="B820" s="73"/>
    </row>
    <row r="821" spans="2:2" ht="13.2" customHeight="1">
      <c r="B821" s="73"/>
    </row>
    <row r="822" spans="2:2" ht="13.2" customHeight="1">
      <c r="B822" s="73"/>
    </row>
    <row r="823" spans="2:2" ht="13.2" customHeight="1">
      <c r="B823" s="73"/>
    </row>
    <row r="824" spans="2:2" ht="13.2" customHeight="1">
      <c r="B824" s="73"/>
    </row>
    <row r="825" spans="2:2" ht="13.2" customHeight="1">
      <c r="B825" s="73"/>
    </row>
    <row r="826" spans="2:2" ht="13.2" customHeight="1">
      <c r="B826" s="73"/>
    </row>
    <row r="827" spans="2:2" ht="13.2" customHeight="1">
      <c r="B827" s="73"/>
    </row>
    <row r="828" spans="2:2" ht="13.2" customHeight="1">
      <c r="B828" s="73"/>
    </row>
    <row r="829" spans="2:2" ht="13.2" customHeight="1">
      <c r="B829" s="73"/>
    </row>
    <row r="830" spans="2:2" ht="13.2" customHeight="1">
      <c r="B830" s="73"/>
    </row>
    <row r="831" spans="2:2" ht="13.2" customHeight="1">
      <c r="B831" s="73"/>
    </row>
    <row r="832" spans="2:2" ht="13.2" customHeight="1">
      <c r="B832" s="73"/>
    </row>
    <row r="833" spans="2:2" ht="13.2" customHeight="1">
      <c r="B833" s="73"/>
    </row>
    <row r="834" spans="2:2" ht="13.2" customHeight="1">
      <c r="B834" s="73"/>
    </row>
    <row r="835" spans="2:2" ht="13.2" customHeight="1">
      <c r="B835" s="73"/>
    </row>
    <row r="836" spans="2:2" ht="13.2" customHeight="1">
      <c r="B836" s="73"/>
    </row>
    <row r="837" spans="2:2" ht="13.2" customHeight="1">
      <c r="B837" s="73"/>
    </row>
    <row r="838" spans="2:2" ht="13.2" customHeight="1">
      <c r="B838" s="73"/>
    </row>
    <row r="839" spans="2:2" ht="13.2" customHeight="1">
      <c r="B839" s="73"/>
    </row>
    <row r="840" spans="2:2" ht="13.2" customHeight="1">
      <c r="B840" s="73"/>
    </row>
    <row r="841" spans="2:2" ht="13.2" customHeight="1">
      <c r="B841" s="73"/>
    </row>
    <row r="842" spans="2:2" ht="13.2" customHeight="1">
      <c r="B842" s="73"/>
    </row>
    <row r="843" spans="2:2" ht="13.2" customHeight="1">
      <c r="B843" s="73"/>
    </row>
    <row r="844" spans="2:2" ht="13.2" customHeight="1">
      <c r="B844" s="73"/>
    </row>
    <row r="845" spans="2:2" ht="13.2" customHeight="1">
      <c r="B845" s="73"/>
    </row>
    <row r="846" spans="2:2" ht="13.2" customHeight="1">
      <c r="B846" s="73"/>
    </row>
    <row r="847" spans="2:2" ht="13.2" customHeight="1">
      <c r="B847" s="73"/>
    </row>
    <row r="848" spans="2:2" ht="13.2" customHeight="1">
      <c r="B848" s="73"/>
    </row>
    <row r="849" spans="2:2" ht="13.2" customHeight="1">
      <c r="B849" s="73"/>
    </row>
    <row r="850" spans="2:2" ht="13.2" customHeight="1">
      <c r="B850" s="73"/>
    </row>
    <row r="851" spans="2:2" ht="13.2" customHeight="1">
      <c r="B851" s="73"/>
    </row>
    <row r="852" spans="2:2" ht="13.2" customHeight="1">
      <c r="B852" s="73"/>
    </row>
    <row r="853" spans="2:2" ht="13.2" customHeight="1">
      <c r="B853" s="73"/>
    </row>
    <row r="854" spans="2:2" ht="13.2" customHeight="1">
      <c r="B854" s="73"/>
    </row>
    <row r="855" spans="2:2" ht="13.2" customHeight="1">
      <c r="B855" s="73"/>
    </row>
    <row r="856" spans="2:2" ht="13.2" customHeight="1">
      <c r="B856" s="73"/>
    </row>
    <row r="857" spans="2:2" ht="13.2" customHeight="1">
      <c r="B857" s="73"/>
    </row>
    <row r="858" spans="2:2" ht="13.2" customHeight="1">
      <c r="B858" s="73"/>
    </row>
    <row r="859" spans="2:2" ht="13.2" customHeight="1">
      <c r="B859" s="73"/>
    </row>
    <row r="860" spans="2:2" ht="13.2" customHeight="1">
      <c r="B860" s="73"/>
    </row>
    <row r="861" spans="2:2" ht="13.2" customHeight="1">
      <c r="B861" s="73"/>
    </row>
    <row r="862" spans="2:2" ht="13.2" customHeight="1">
      <c r="B862" s="73"/>
    </row>
    <row r="863" spans="2:2" ht="13.2" customHeight="1">
      <c r="B863" s="73"/>
    </row>
    <row r="864" spans="2:2" ht="13.2" customHeight="1">
      <c r="B864" s="73"/>
    </row>
    <row r="865" spans="2:2" ht="13.2" customHeight="1">
      <c r="B865" s="73"/>
    </row>
    <row r="866" spans="2:2" ht="13.2" customHeight="1">
      <c r="B866" s="73"/>
    </row>
    <row r="867" spans="2:2" ht="13.2" customHeight="1">
      <c r="B867" s="73"/>
    </row>
    <row r="868" spans="2:2" ht="13.2" customHeight="1">
      <c r="B868" s="73"/>
    </row>
    <row r="869" spans="2:2" ht="13.2" customHeight="1">
      <c r="B869" s="73"/>
    </row>
    <row r="870" spans="2:2" ht="13.2" customHeight="1">
      <c r="B870" s="73"/>
    </row>
    <row r="871" spans="2:2" ht="13.2" customHeight="1">
      <c r="B871" s="73"/>
    </row>
    <row r="872" spans="2:2" ht="13.2" customHeight="1">
      <c r="B872" s="73"/>
    </row>
    <row r="873" spans="2:2" ht="13.2" customHeight="1">
      <c r="B873" s="73"/>
    </row>
    <row r="874" spans="2:2" ht="13.2" customHeight="1">
      <c r="B874" s="73"/>
    </row>
    <row r="875" spans="2:2" ht="13.2" customHeight="1">
      <c r="B875" s="73"/>
    </row>
    <row r="876" spans="2:2" ht="13.2" customHeight="1">
      <c r="B876" s="73"/>
    </row>
    <row r="877" spans="2:2" ht="13.2" customHeight="1">
      <c r="B877" s="73"/>
    </row>
    <row r="878" spans="2:2" ht="13.2" customHeight="1">
      <c r="B878" s="73"/>
    </row>
    <row r="879" spans="2:2" ht="13.2" customHeight="1">
      <c r="B879" s="73"/>
    </row>
    <row r="880" spans="2:2" ht="13.2" customHeight="1">
      <c r="B880" s="73"/>
    </row>
    <row r="881" spans="2:2" ht="13.2" customHeight="1">
      <c r="B881" s="73"/>
    </row>
    <row r="882" spans="2:2" ht="13.2" customHeight="1">
      <c r="B882" s="73"/>
    </row>
    <row r="883" spans="2:2" ht="13.2" customHeight="1">
      <c r="B883" s="73"/>
    </row>
    <row r="884" spans="2:2" ht="13.2" customHeight="1">
      <c r="B884" s="73"/>
    </row>
    <row r="885" spans="2:2" ht="13.2" customHeight="1">
      <c r="B885" s="73"/>
    </row>
    <row r="886" spans="2:2" ht="13.2" customHeight="1">
      <c r="B886" s="73"/>
    </row>
    <row r="887" spans="2:2" ht="13.2" customHeight="1">
      <c r="B887" s="73"/>
    </row>
    <row r="888" spans="2:2" ht="13.2" customHeight="1">
      <c r="B888" s="73"/>
    </row>
    <row r="889" spans="2:2" ht="13.2" customHeight="1">
      <c r="B889" s="73"/>
    </row>
    <row r="890" spans="2:2" ht="13.2" customHeight="1">
      <c r="B890" s="73"/>
    </row>
    <row r="891" spans="2:2" ht="13.2" customHeight="1">
      <c r="B891" s="73"/>
    </row>
    <row r="892" spans="2:2" ht="13.2" customHeight="1">
      <c r="B892" s="73"/>
    </row>
    <row r="893" spans="2:2" ht="13.2" customHeight="1">
      <c r="B893" s="73"/>
    </row>
    <row r="894" spans="2:2" ht="13.2" customHeight="1">
      <c r="B894" s="73"/>
    </row>
    <row r="895" spans="2:2" ht="13.2" customHeight="1">
      <c r="B895" s="73"/>
    </row>
    <row r="896" spans="2:2" ht="13.2" customHeight="1">
      <c r="B896" s="73"/>
    </row>
    <row r="897" spans="2:2" ht="13.2" customHeight="1">
      <c r="B897" s="73"/>
    </row>
    <row r="898" spans="2:2" ht="13.2" customHeight="1">
      <c r="B898" s="73"/>
    </row>
    <row r="899" spans="2:2" ht="13.2" customHeight="1">
      <c r="B899" s="73"/>
    </row>
    <row r="900" spans="2:2" ht="13.2" customHeight="1">
      <c r="B900" s="73"/>
    </row>
    <row r="901" spans="2:2" ht="13.2" customHeight="1">
      <c r="B901" s="73"/>
    </row>
    <row r="902" spans="2:2" ht="13.2" customHeight="1">
      <c r="B902" s="73"/>
    </row>
    <row r="903" spans="2:2" ht="13.2" customHeight="1">
      <c r="B903" s="73"/>
    </row>
    <row r="904" spans="2:2" ht="13.2" customHeight="1">
      <c r="B904" s="73"/>
    </row>
    <row r="905" spans="2:2" ht="13.2" customHeight="1">
      <c r="B905" s="73"/>
    </row>
    <row r="906" spans="2:2" ht="13.2" customHeight="1">
      <c r="B906" s="73"/>
    </row>
    <row r="907" spans="2:2" ht="13.2" customHeight="1">
      <c r="B907" s="73"/>
    </row>
    <row r="908" spans="2:2" ht="13.2" customHeight="1">
      <c r="B908" s="73"/>
    </row>
    <row r="909" spans="2:2" ht="13.2" customHeight="1">
      <c r="B909" s="73"/>
    </row>
    <row r="910" spans="2:2" ht="13.2" customHeight="1">
      <c r="B910" s="73"/>
    </row>
    <row r="911" spans="2:2" ht="13.2" customHeight="1">
      <c r="B911" s="73"/>
    </row>
    <row r="912" spans="2:2" ht="13.2" customHeight="1">
      <c r="B912" s="73"/>
    </row>
    <row r="913" spans="2:2" ht="13.2" customHeight="1">
      <c r="B913" s="73"/>
    </row>
    <row r="914" spans="2:2" ht="13.2" customHeight="1">
      <c r="B914" s="73"/>
    </row>
    <row r="915" spans="2:2" ht="13.2" customHeight="1">
      <c r="B915" s="73"/>
    </row>
    <row r="916" spans="2:2" ht="13.2" customHeight="1">
      <c r="B916" s="73"/>
    </row>
    <row r="917" spans="2:2" ht="13.2" customHeight="1">
      <c r="B917" s="73"/>
    </row>
    <row r="918" spans="2:2" ht="13.2" customHeight="1">
      <c r="B918" s="73"/>
    </row>
    <row r="919" spans="2:2" ht="13.2" customHeight="1">
      <c r="B919" s="73"/>
    </row>
    <row r="920" spans="2:2" ht="13.2" customHeight="1">
      <c r="B920" s="73"/>
    </row>
    <row r="921" spans="2:2" ht="13.2" customHeight="1">
      <c r="B921" s="73"/>
    </row>
    <row r="922" spans="2:2" ht="13.2" customHeight="1">
      <c r="B922" s="73"/>
    </row>
    <row r="923" spans="2:2" ht="13.2" customHeight="1">
      <c r="B923" s="73"/>
    </row>
    <row r="924" spans="2:2" ht="13.2" customHeight="1">
      <c r="B924" s="73"/>
    </row>
    <row r="925" spans="2:2" ht="13.2" customHeight="1">
      <c r="B925" s="73"/>
    </row>
    <row r="926" spans="2:2" ht="13.2" customHeight="1">
      <c r="B926" s="73"/>
    </row>
    <row r="927" spans="2:2" ht="13.2" customHeight="1">
      <c r="B927" s="73"/>
    </row>
    <row r="928" spans="2:2" ht="13.2" customHeight="1">
      <c r="B928" s="73"/>
    </row>
    <row r="929" spans="2:2" ht="13.2" customHeight="1">
      <c r="B929" s="73"/>
    </row>
    <row r="930" spans="2:2" ht="13.2" customHeight="1">
      <c r="B930" s="73"/>
    </row>
    <row r="931" spans="2:2" ht="13.2" customHeight="1">
      <c r="B931" s="73"/>
    </row>
    <row r="932" spans="2:2" ht="13.2" customHeight="1">
      <c r="B932" s="73"/>
    </row>
    <row r="933" spans="2:2" ht="13.2" customHeight="1">
      <c r="B933" s="73"/>
    </row>
    <row r="934" spans="2:2" ht="13.2" customHeight="1">
      <c r="B934" s="73"/>
    </row>
    <row r="935" spans="2:2" ht="13.2" customHeight="1">
      <c r="B935" s="73"/>
    </row>
    <row r="936" spans="2:2" ht="13.2" customHeight="1">
      <c r="B936" s="73"/>
    </row>
    <row r="937" spans="2:2" ht="13.2" customHeight="1">
      <c r="B937" s="73"/>
    </row>
    <row r="938" spans="2:2" ht="13.2" customHeight="1">
      <c r="B938" s="73"/>
    </row>
    <row r="939" spans="2:2" ht="13.2" customHeight="1">
      <c r="B939" s="73"/>
    </row>
    <row r="940" spans="2:2" ht="13.2" customHeight="1">
      <c r="B940" s="73"/>
    </row>
    <row r="941" spans="2:2" ht="13.2" customHeight="1">
      <c r="B941" s="73"/>
    </row>
    <row r="942" spans="2:2" ht="13.2" customHeight="1">
      <c r="B942" s="73"/>
    </row>
    <row r="943" spans="2:2" ht="13.2" customHeight="1">
      <c r="B943" s="73"/>
    </row>
    <row r="944" spans="2:2" ht="13.2" customHeight="1">
      <c r="B944" s="73"/>
    </row>
    <row r="945" spans="2:2" ht="13.2" customHeight="1">
      <c r="B945" s="73"/>
    </row>
    <row r="946" spans="2:2" ht="13.2" customHeight="1">
      <c r="B946" s="73"/>
    </row>
    <row r="947" spans="2:2" ht="13.2" customHeight="1">
      <c r="B947" s="73"/>
    </row>
    <row r="948" spans="2:2" ht="13.2" customHeight="1">
      <c r="B948" s="73"/>
    </row>
    <row r="949" spans="2:2" ht="13.2" customHeight="1">
      <c r="B949" s="73"/>
    </row>
    <row r="950" spans="2:2" ht="13.2" customHeight="1">
      <c r="B950" s="73"/>
    </row>
    <row r="951" spans="2:2" ht="13.2" customHeight="1">
      <c r="B951" s="73"/>
    </row>
    <row r="952" spans="2:2" ht="13.2" customHeight="1">
      <c r="B952" s="73"/>
    </row>
    <row r="953" spans="2:2" ht="13.2" customHeight="1">
      <c r="B953" s="73"/>
    </row>
    <row r="954" spans="2:2" ht="13.2" customHeight="1">
      <c r="B954" s="73"/>
    </row>
    <row r="955" spans="2:2" ht="13.2" customHeight="1">
      <c r="B955" s="73"/>
    </row>
    <row r="956" spans="2:2" ht="13.2" customHeight="1">
      <c r="B956" s="73"/>
    </row>
    <row r="957" spans="2:2" ht="13.2" customHeight="1">
      <c r="B957" s="73"/>
    </row>
    <row r="958" spans="2:2" ht="13.2" customHeight="1">
      <c r="B958" s="73"/>
    </row>
    <row r="959" spans="2:2" ht="13.2" customHeight="1">
      <c r="B959" s="73"/>
    </row>
    <row r="960" spans="2:2" ht="13.2" customHeight="1">
      <c r="B960" s="73"/>
    </row>
    <row r="961" spans="2:2" ht="13.2" customHeight="1">
      <c r="B961" s="73"/>
    </row>
    <row r="962" spans="2:2" ht="13.2" customHeight="1">
      <c r="B962" s="73"/>
    </row>
    <row r="963" spans="2:2" ht="13.2" customHeight="1">
      <c r="B963" s="73"/>
    </row>
    <row r="964" spans="2:2" ht="13.2" customHeight="1">
      <c r="B964" s="73"/>
    </row>
    <row r="965" spans="2:2" ht="13.2" customHeight="1">
      <c r="B965" s="73"/>
    </row>
    <row r="966" spans="2:2" ht="13.2" customHeight="1">
      <c r="B966" s="73"/>
    </row>
    <row r="967" spans="2:2" ht="13.2" customHeight="1">
      <c r="B967" s="73"/>
    </row>
    <row r="968" spans="2:2" ht="13.2" customHeight="1">
      <c r="B968" s="73"/>
    </row>
    <row r="969" spans="2:2" ht="13.2" customHeight="1">
      <c r="B969" s="73"/>
    </row>
    <row r="970" spans="2:2" ht="13.2" customHeight="1">
      <c r="B970" s="73"/>
    </row>
    <row r="971" spans="2:2" ht="13.2" customHeight="1">
      <c r="B971" s="73"/>
    </row>
    <row r="972" spans="2:2" ht="13.2" customHeight="1">
      <c r="B972" s="73"/>
    </row>
    <row r="973" spans="2:2" ht="13.2" customHeight="1">
      <c r="B973" s="73"/>
    </row>
    <row r="974" spans="2:2" ht="13.2" customHeight="1">
      <c r="B974" s="73"/>
    </row>
    <row r="975" spans="2:2" ht="13.2" customHeight="1">
      <c r="B975" s="73"/>
    </row>
    <row r="976" spans="2:2" ht="13.2" customHeight="1">
      <c r="B976" s="73"/>
    </row>
    <row r="977" spans="2:2" ht="13.2" customHeight="1">
      <c r="B977" s="73"/>
    </row>
    <row r="978" spans="2:2" ht="13.2" customHeight="1">
      <c r="B978" s="73"/>
    </row>
    <row r="979" spans="2:2" ht="13.2" customHeight="1">
      <c r="B979" s="73"/>
    </row>
    <row r="980" spans="2:2" ht="13.2" customHeight="1">
      <c r="B980" s="73"/>
    </row>
    <row r="981" spans="2:2" ht="13.2" customHeight="1">
      <c r="B981" s="73"/>
    </row>
    <row r="982" spans="2:2" ht="13.2" customHeight="1">
      <c r="B982" s="73"/>
    </row>
    <row r="983" spans="2:2" ht="13.2" customHeight="1">
      <c r="B983" s="73"/>
    </row>
    <row r="984" spans="2:2" ht="13.2" customHeight="1">
      <c r="B984" s="73"/>
    </row>
    <row r="985" spans="2:2" ht="13.2" customHeight="1">
      <c r="B985" s="73"/>
    </row>
    <row r="986" spans="2:2" ht="13.2" customHeight="1">
      <c r="B986" s="73"/>
    </row>
    <row r="987" spans="2:2" ht="13.2" customHeight="1">
      <c r="B987" s="73"/>
    </row>
    <row r="988" spans="2:2" ht="13.2" customHeight="1">
      <c r="B988" s="73"/>
    </row>
    <row r="989" spans="2:2" ht="13.2" customHeight="1">
      <c r="B989" s="73"/>
    </row>
    <row r="990" spans="2:2" ht="13.2" customHeight="1">
      <c r="B990" s="73"/>
    </row>
    <row r="991" spans="2:2" ht="13.2" customHeight="1">
      <c r="B991" s="73"/>
    </row>
    <row r="992" spans="2:2" ht="13.2" customHeight="1">
      <c r="B992" s="73"/>
    </row>
    <row r="993" spans="2:2" ht="13.2" customHeight="1">
      <c r="B993" s="73"/>
    </row>
    <row r="994" spans="2:2" ht="13.2" customHeight="1">
      <c r="B994" s="73"/>
    </row>
    <row r="995" spans="2:2" ht="13.2" customHeight="1">
      <c r="B995" s="73"/>
    </row>
    <row r="996" spans="2:2" ht="13.2" customHeight="1">
      <c r="B996" s="73"/>
    </row>
    <row r="997" spans="2:2" ht="13.2" customHeight="1">
      <c r="B997" s="73"/>
    </row>
    <row r="998" spans="2:2" ht="13.2" customHeight="1">
      <c r="B998" s="73"/>
    </row>
    <row r="999" spans="2:2" ht="13.2" customHeight="1">
      <c r="B999" s="73"/>
    </row>
  </sheetData>
  <mergeCells count="3">
    <mergeCell ref="A1:D1"/>
    <mergeCell ref="A2:A3"/>
    <mergeCell ref="B2:B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54"/>
  <sheetViews>
    <sheetView workbookViewId="0">
      <pane xSplit="3" topLeftCell="D1" activePane="topRight" state="frozen"/>
      <selection pane="topRight" activeCell="E2" sqref="E2"/>
    </sheetView>
  </sheetViews>
  <sheetFormatPr defaultColWidth="12.6640625" defaultRowHeight="15.75" customHeight="1"/>
  <cols>
    <col min="1" max="1" width="5.33203125" style="323" customWidth="1"/>
    <col min="2" max="2" width="20.109375" style="323" customWidth="1"/>
    <col min="10" max="10" width="34" style="323" customWidth="1"/>
    <col min="11" max="11" width="20" style="323" customWidth="1"/>
  </cols>
  <sheetData>
    <row r="1" spans="1:35" ht="15.75" customHeight="1">
      <c r="A1" s="279"/>
      <c r="B1" s="279"/>
      <c r="C1" s="279"/>
      <c r="D1" s="6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ht="15.75" customHeight="1">
      <c r="A2" s="365" t="s">
        <v>0</v>
      </c>
      <c r="B2" s="366" t="s">
        <v>7</v>
      </c>
      <c r="C2" s="364" t="s">
        <v>8</v>
      </c>
      <c r="D2" s="11" t="s">
        <v>9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27"/>
      <c r="AI2" s="7"/>
    </row>
    <row r="3" spans="1:35" ht="15.75" customHeight="1">
      <c r="A3" s="362"/>
      <c r="B3" s="362"/>
      <c r="C3" s="362"/>
      <c r="D3" s="30">
        <v>46204</v>
      </c>
      <c r="E3" s="30">
        <v>46205</v>
      </c>
      <c r="F3" s="30">
        <v>46206</v>
      </c>
      <c r="G3" s="30">
        <v>46207</v>
      </c>
      <c r="H3" s="30">
        <v>46208</v>
      </c>
      <c r="I3" s="30">
        <v>46209</v>
      </c>
      <c r="J3" s="30">
        <v>46210</v>
      </c>
      <c r="K3" s="30">
        <v>46211</v>
      </c>
      <c r="L3" s="30">
        <v>46212</v>
      </c>
      <c r="M3" s="30">
        <v>46213</v>
      </c>
      <c r="N3" s="30">
        <v>46214</v>
      </c>
      <c r="O3" s="30">
        <v>46215</v>
      </c>
      <c r="P3" s="30">
        <v>46216</v>
      </c>
      <c r="Q3" s="30">
        <v>46217</v>
      </c>
      <c r="R3" s="30">
        <v>46218</v>
      </c>
      <c r="S3" s="30">
        <v>46219</v>
      </c>
      <c r="T3" s="30">
        <v>46220</v>
      </c>
      <c r="U3" s="30">
        <v>46221</v>
      </c>
      <c r="V3" s="30">
        <v>46222</v>
      </c>
      <c r="W3" s="30">
        <v>46223</v>
      </c>
      <c r="X3" s="30">
        <v>46224</v>
      </c>
      <c r="Y3" s="30">
        <v>46225</v>
      </c>
      <c r="Z3" s="30">
        <v>46226</v>
      </c>
      <c r="AA3" s="30">
        <v>46227</v>
      </c>
      <c r="AB3" s="30">
        <v>46228</v>
      </c>
      <c r="AC3" s="30">
        <v>46229</v>
      </c>
      <c r="AD3" s="30">
        <v>46230</v>
      </c>
      <c r="AE3" s="30">
        <v>46231</v>
      </c>
      <c r="AF3" s="30">
        <v>46232</v>
      </c>
      <c r="AG3" s="30">
        <v>46233</v>
      </c>
      <c r="AH3" s="30">
        <v>46234</v>
      </c>
      <c r="AI3" s="7"/>
    </row>
    <row r="4" spans="1:35" ht="15.75" customHeight="1">
      <c r="A4" s="281">
        <v>1</v>
      </c>
      <c r="B4" s="287" t="s">
        <v>491</v>
      </c>
      <c r="C4" s="288">
        <v>8879</v>
      </c>
      <c r="D4" s="192">
        <v>14240235</v>
      </c>
      <c r="E4" s="192">
        <v>4351815</v>
      </c>
      <c r="F4" s="192">
        <v>10670416</v>
      </c>
      <c r="G4" s="193">
        <v>7048764</v>
      </c>
      <c r="H4" s="194">
        <v>10670416</v>
      </c>
      <c r="I4" s="194">
        <v>7524770</v>
      </c>
      <c r="J4" s="194">
        <v>9236479</v>
      </c>
      <c r="K4" s="194">
        <v>9236479</v>
      </c>
      <c r="L4" s="192">
        <v>13439077</v>
      </c>
      <c r="M4" s="192">
        <v>4202598</v>
      </c>
      <c r="N4" s="192">
        <v>5551165</v>
      </c>
      <c r="O4" s="192">
        <v>11770471</v>
      </c>
      <c r="P4" s="192">
        <v>10631222</v>
      </c>
      <c r="Q4" s="192">
        <v>5597162</v>
      </c>
      <c r="R4" s="192"/>
      <c r="S4" s="192">
        <v>12867452</v>
      </c>
      <c r="T4" s="192">
        <v>9242284</v>
      </c>
      <c r="U4" s="192">
        <v>10904252</v>
      </c>
      <c r="V4" s="192">
        <v>10904252</v>
      </c>
      <c r="W4" s="192">
        <v>11911438</v>
      </c>
      <c r="X4" s="192">
        <v>13823059</v>
      </c>
      <c r="Y4" s="192">
        <v>21131627</v>
      </c>
      <c r="Z4" s="192">
        <v>7308568</v>
      </c>
      <c r="AA4" s="192">
        <v>16062786</v>
      </c>
      <c r="AB4" s="199">
        <v>11340914</v>
      </c>
      <c r="AC4" s="199">
        <v>17011371</v>
      </c>
      <c r="AD4" s="199">
        <v>11340914</v>
      </c>
      <c r="AE4" s="199">
        <v>5670457</v>
      </c>
      <c r="AF4" s="199">
        <v>13897056</v>
      </c>
      <c r="AG4" s="199"/>
      <c r="AH4" s="198"/>
      <c r="AI4" s="42"/>
    </row>
    <row r="5" spans="1:35" ht="15.75" customHeight="1">
      <c r="A5" s="281">
        <v>2</v>
      </c>
      <c r="B5" s="259"/>
      <c r="C5" s="259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259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8"/>
      <c r="AA5" s="198"/>
      <c r="AB5" s="199"/>
      <c r="AC5" s="199"/>
      <c r="AD5" s="198"/>
      <c r="AE5" s="199"/>
      <c r="AF5" s="198"/>
      <c r="AG5" s="199"/>
      <c r="AH5" s="198"/>
      <c r="AI5" s="42"/>
    </row>
    <row r="6" spans="1:35" ht="15.75" customHeight="1">
      <c r="A6" s="281">
        <v>3</v>
      </c>
      <c r="B6" s="259"/>
      <c r="C6" s="259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42"/>
      <c r="Z6" s="201"/>
      <c r="AA6" s="198"/>
      <c r="AB6" s="201"/>
      <c r="AC6" s="203"/>
      <c r="AD6" s="203"/>
      <c r="AE6" s="198"/>
      <c r="AF6" s="201"/>
      <c r="AG6" s="42"/>
      <c r="AH6" s="201"/>
      <c r="AI6" s="42"/>
    </row>
    <row r="7" spans="1:35" ht="15.75" customHeight="1">
      <c r="A7" s="281">
        <v>4</v>
      </c>
      <c r="B7" s="259"/>
      <c r="C7" s="259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203"/>
      <c r="P7" s="193"/>
      <c r="Q7" s="193"/>
      <c r="R7" s="193"/>
      <c r="S7" s="193"/>
      <c r="T7" s="193"/>
      <c r="U7" s="193"/>
      <c r="V7" s="193"/>
      <c r="W7" s="193"/>
      <c r="X7" s="193"/>
      <c r="Y7" s="201"/>
      <c r="Z7" s="201"/>
      <c r="AA7" s="201"/>
      <c r="AB7" s="198"/>
      <c r="AC7" s="201"/>
      <c r="AD7" s="203"/>
      <c r="AE7" s="199"/>
      <c r="AF7" s="201"/>
      <c r="AG7" s="204"/>
      <c r="AH7" s="201"/>
      <c r="AI7" s="42"/>
    </row>
    <row r="8" spans="1:35" ht="15.75" customHeight="1">
      <c r="A8" s="46" t="s">
        <v>10</v>
      </c>
      <c r="B8" s="47"/>
      <c r="C8" s="47">
        <f>+D8+E8+F8+G8+H8+I8+J8+K8+L8+M8+N8+O8++P8+Q8+R8+S8+T8+U8+V8+W8+X8+Y8+Z8+AA8+AB8+AC8+AD8+AE8+AF8+AG8+AH8</f>
        <v>270534090</v>
      </c>
      <c r="D8" s="47">
        <f t="shared" ref="D8:AH8" si="0">SUM(D4:D7) /1.1</f>
        <v>12945668.181818182</v>
      </c>
      <c r="E8" s="47">
        <f t="shared" si="0"/>
        <v>3956195.4545454541</v>
      </c>
      <c r="F8" s="47">
        <f t="shared" si="0"/>
        <v>9700378.1818181816</v>
      </c>
      <c r="G8" s="47">
        <f t="shared" si="0"/>
        <v>6407967.2727272725</v>
      </c>
      <c r="H8" s="47">
        <f t="shared" si="0"/>
        <v>9700378.1818181816</v>
      </c>
      <c r="I8" s="47">
        <f t="shared" si="0"/>
        <v>6840699.9999999991</v>
      </c>
      <c r="J8" s="47">
        <f t="shared" si="0"/>
        <v>8396799.0909090899</v>
      </c>
      <c r="K8" s="47">
        <f t="shared" si="0"/>
        <v>8396799.0909090899</v>
      </c>
      <c r="L8" s="47">
        <f t="shared" si="0"/>
        <v>12217342.727272727</v>
      </c>
      <c r="M8" s="47">
        <f t="shared" si="0"/>
        <v>3820543.6363636362</v>
      </c>
      <c r="N8" s="47">
        <f t="shared" si="0"/>
        <v>5046513.6363636358</v>
      </c>
      <c r="O8" s="47">
        <f t="shared" si="0"/>
        <v>10700428.181818182</v>
      </c>
      <c r="P8" s="47">
        <f t="shared" si="0"/>
        <v>9664747.2727272715</v>
      </c>
      <c r="Q8" s="47">
        <f t="shared" si="0"/>
        <v>5088329.0909090908</v>
      </c>
      <c r="R8" s="47">
        <f t="shared" si="0"/>
        <v>0</v>
      </c>
      <c r="S8" s="47">
        <f t="shared" si="0"/>
        <v>11697683.636363635</v>
      </c>
      <c r="T8" s="47">
        <f t="shared" si="0"/>
        <v>8402076.3636363633</v>
      </c>
      <c r="U8" s="47">
        <f t="shared" si="0"/>
        <v>9912956.3636363633</v>
      </c>
      <c r="V8" s="47">
        <f t="shared" si="0"/>
        <v>9912956.3636363633</v>
      </c>
      <c r="W8" s="47">
        <f t="shared" si="0"/>
        <v>10828580</v>
      </c>
      <c r="X8" s="47">
        <f t="shared" si="0"/>
        <v>12566417.272727272</v>
      </c>
      <c r="Y8" s="47">
        <f t="shared" si="0"/>
        <v>19210570</v>
      </c>
      <c r="Z8" s="47">
        <f t="shared" si="0"/>
        <v>6644152.7272727266</v>
      </c>
      <c r="AA8" s="47">
        <f t="shared" si="0"/>
        <v>14602532.727272727</v>
      </c>
      <c r="AB8" s="47">
        <f t="shared" si="0"/>
        <v>10309921.818181816</v>
      </c>
      <c r="AC8" s="47">
        <f t="shared" si="0"/>
        <v>15464882.727272727</v>
      </c>
      <c r="AD8" s="47">
        <f t="shared" si="0"/>
        <v>10309921.818181816</v>
      </c>
      <c r="AE8" s="47">
        <f t="shared" si="0"/>
        <v>5154960.9090909082</v>
      </c>
      <c r="AF8" s="47">
        <f t="shared" si="0"/>
        <v>12633687.272727272</v>
      </c>
      <c r="AG8" s="47">
        <f t="shared" si="0"/>
        <v>0</v>
      </c>
      <c r="AH8" s="47">
        <f t="shared" si="0"/>
        <v>0</v>
      </c>
      <c r="AI8" s="42"/>
    </row>
    <row r="9" spans="1:35" ht="15.75" customHeight="1">
      <c r="A9" s="279" t="s">
        <v>11</v>
      </c>
      <c r="B9" s="279"/>
      <c r="C9" s="279"/>
      <c r="D9" s="6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1:35" ht="15.75" customHeight="1">
      <c r="A10" s="67" t="s">
        <v>12</v>
      </c>
      <c r="B10" s="279"/>
      <c r="C10" s="279"/>
      <c r="D10" s="70">
        <f t="shared" ref="D10:AH10" si="1">D8-D9</f>
        <v>12945668.181818182</v>
      </c>
      <c r="E10" s="70">
        <f t="shared" si="1"/>
        <v>3956195.4545454541</v>
      </c>
      <c r="F10" s="70">
        <f t="shared" si="1"/>
        <v>9700378.1818181816</v>
      </c>
      <c r="G10" s="70">
        <f t="shared" si="1"/>
        <v>6407967.2727272725</v>
      </c>
      <c r="H10" s="70">
        <f t="shared" si="1"/>
        <v>9700378.1818181816</v>
      </c>
      <c r="I10" s="70">
        <f t="shared" si="1"/>
        <v>6840699.9999999991</v>
      </c>
      <c r="J10" s="70">
        <f t="shared" si="1"/>
        <v>8396799.0909090899</v>
      </c>
      <c r="K10" s="70">
        <f t="shared" si="1"/>
        <v>8396799.0909090899</v>
      </c>
      <c r="L10" s="70">
        <f t="shared" si="1"/>
        <v>12217342.727272727</v>
      </c>
      <c r="M10" s="70">
        <f t="shared" si="1"/>
        <v>3820543.6363636362</v>
      </c>
      <c r="N10" s="70">
        <f t="shared" si="1"/>
        <v>5046513.6363636358</v>
      </c>
      <c r="O10" s="70">
        <f t="shared" si="1"/>
        <v>10700428.181818182</v>
      </c>
      <c r="P10" s="70">
        <f t="shared" si="1"/>
        <v>9664747.2727272715</v>
      </c>
      <c r="Q10" s="70">
        <f t="shared" si="1"/>
        <v>5088329.0909090908</v>
      </c>
      <c r="R10" s="70">
        <f t="shared" si="1"/>
        <v>0</v>
      </c>
      <c r="S10" s="70">
        <f t="shared" si="1"/>
        <v>11697683.636363635</v>
      </c>
      <c r="T10" s="70">
        <f t="shared" si="1"/>
        <v>8402076.3636363633</v>
      </c>
      <c r="U10" s="70">
        <f t="shared" si="1"/>
        <v>9912956.3636363633</v>
      </c>
      <c r="V10" s="70">
        <f t="shared" si="1"/>
        <v>9912956.3636363633</v>
      </c>
      <c r="W10" s="70">
        <f t="shared" si="1"/>
        <v>10828580</v>
      </c>
      <c r="X10" s="70">
        <f t="shared" si="1"/>
        <v>12566417.272727272</v>
      </c>
      <c r="Y10" s="70">
        <f t="shared" si="1"/>
        <v>19210570</v>
      </c>
      <c r="Z10" s="70">
        <f t="shared" si="1"/>
        <v>6644152.7272727266</v>
      </c>
      <c r="AA10" s="70">
        <f t="shared" si="1"/>
        <v>14602532.727272727</v>
      </c>
      <c r="AB10" s="70">
        <f t="shared" si="1"/>
        <v>10309921.818181816</v>
      </c>
      <c r="AC10" s="70">
        <f t="shared" si="1"/>
        <v>15464882.727272727</v>
      </c>
      <c r="AD10" s="70">
        <f t="shared" si="1"/>
        <v>10309921.818181816</v>
      </c>
      <c r="AE10" s="70">
        <f t="shared" si="1"/>
        <v>5154960.9090909082</v>
      </c>
      <c r="AF10" s="70">
        <f t="shared" si="1"/>
        <v>12633687.272727272</v>
      </c>
      <c r="AG10" s="70">
        <f t="shared" si="1"/>
        <v>0</v>
      </c>
      <c r="AH10" s="70">
        <f t="shared" si="1"/>
        <v>0</v>
      </c>
      <c r="AI10" s="7"/>
    </row>
    <row r="11" spans="1:35" ht="13.2"/>
    <row r="12" spans="1:35" ht="13.2"/>
    <row r="13" spans="1:35" ht="13.8">
      <c r="B13" s="74" t="s">
        <v>13</v>
      </c>
      <c r="D13" s="74"/>
    </row>
    <row r="14" spans="1:35" ht="15.75" customHeight="1">
      <c r="B14" s="75" t="s">
        <v>14</v>
      </c>
      <c r="C14" s="75" t="s">
        <v>15</v>
      </c>
      <c r="D14" s="75" t="s">
        <v>16</v>
      </c>
      <c r="E14" s="76" t="s">
        <v>17</v>
      </c>
      <c r="G14" s="325" t="s">
        <v>18</v>
      </c>
      <c r="I14" s="260" t="s">
        <v>492</v>
      </c>
      <c r="J14" t="s">
        <v>167</v>
      </c>
      <c r="K14" t="s">
        <v>168</v>
      </c>
    </row>
    <row r="15" spans="1:35" ht="13.2">
      <c r="B15" s="261">
        <v>46204</v>
      </c>
      <c r="C15" s="262" t="s">
        <v>493</v>
      </c>
      <c r="D15" s="54" t="s">
        <v>494</v>
      </c>
      <c r="E15" s="54" t="s">
        <v>495</v>
      </c>
      <c r="F15" s="261" t="s">
        <v>171</v>
      </c>
      <c r="G15" s="139">
        <v>7411668</v>
      </c>
      <c r="H15" s="262" t="s">
        <v>493</v>
      </c>
      <c r="I15" s="139" t="s">
        <v>494</v>
      </c>
      <c r="J15" s="139" t="s">
        <v>496</v>
      </c>
      <c r="K15" s="139" t="s">
        <v>173</v>
      </c>
    </row>
    <row r="16" spans="1:35" ht="13.2" customHeight="1">
      <c r="B16" s="261">
        <v>46204</v>
      </c>
      <c r="C16" s="262" t="s">
        <v>493</v>
      </c>
      <c r="D16" s="54" t="s">
        <v>497</v>
      </c>
      <c r="E16" s="54" t="s">
        <v>498</v>
      </c>
      <c r="F16" s="261" t="s">
        <v>171</v>
      </c>
      <c r="G16" s="139">
        <v>6798045</v>
      </c>
      <c r="H16" s="262" t="s">
        <v>493</v>
      </c>
      <c r="I16" s="139" t="s">
        <v>497</v>
      </c>
      <c r="J16" s="139" t="s">
        <v>496</v>
      </c>
      <c r="K16" s="139" t="s">
        <v>173</v>
      </c>
    </row>
    <row r="17" spans="2:11" ht="13.2" customHeight="1">
      <c r="B17" s="261">
        <v>46204</v>
      </c>
      <c r="C17" s="262" t="s">
        <v>493</v>
      </c>
      <c r="D17" s="54" t="s">
        <v>499</v>
      </c>
      <c r="E17" s="301">
        <v>30.521999999999998</v>
      </c>
      <c r="F17" s="261" t="s">
        <v>171</v>
      </c>
      <c r="G17" s="140">
        <v>30522</v>
      </c>
      <c r="H17" s="262" t="s">
        <v>493</v>
      </c>
      <c r="I17" s="139" t="s">
        <v>499</v>
      </c>
      <c r="J17" s="139" t="s">
        <v>500</v>
      </c>
      <c r="K17" s="139" t="s">
        <v>501</v>
      </c>
    </row>
    <row r="18" spans="2:11" ht="13.2" customHeight="1">
      <c r="B18" s="261">
        <v>46205</v>
      </c>
      <c r="C18" s="262" t="s">
        <v>493</v>
      </c>
      <c r="D18" s="54" t="s">
        <v>502</v>
      </c>
      <c r="E18" s="301" t="s">
        <v>503</v>
      </c>
      <c r="F18" s="261" t="s">
        <v>178</v>
      </c>
      <c r="G18" s="140">
        <v>4351815</v>
      </c>
      <c r="H18" s="262" t="s">
        <v>493</v>
      </c>
      <c r="I18" s="139" t="s">
        <v>502</v>
      </c>
      <c r="J18" s="139" t="s">
        <v>504</v>
      </c>
      <c r="K18" s="139" t="s">
        <v>173</v>
      </c>
    </row>
    <row r="19" spans="2:11" ht="13.2" customHeight="1">
      <c r="B19" s="261">
        <v>46206</v>
      </c>
      <c r="C19" s="262" t="s">
        <v>493</v>
      </c>
      <c r="D19" s="54" t="s">
        <v>505</v>
      </c>
      <c r="E19" s="54" t="s">
        <v>506</v>
      </c>
      <c r="F19" s="261" t="s">
        <v>181</v>
      </c>
      <c r="G19" s="139">
        <v>10670416</v>
      </c>
      <c r="H19" s="262" t="s">
        <v>493</v>
      </c>
      <c r="I19" s="139" t="s">
        <v>505</v>
      </c>
      <c r="J19" s="139" t="s">
        <v>496</v>
      </c>
      <c r="K19" s="139" t="s">
        <v>173</v>
      </c>
    </row>
    <row r="20" spans="2:11" ht="13.2" customHeight="1">
      <c r="B20" s="261">
        <v>46207</v>
      </c>
      <c r="C20" s="262" t="s">
        <v>493</v>
      </c>
      <c r="D20" s="54" t="s">
        <v>507</v>
      </c>
      <c r="E20" s="54" t="s">
        <v>508</v>
      </c>
      <c r="F20" s="261" t="s">
        <v>332</v>
      </c>
      <c r="G20" s="139">
        <v>4084907</v>
      </c>
      <c r="H20" s="262" t="s">
        <v>493</v>
      </c>
      <c r="I20" s="139" t="s">
        <v>507</v>
      </c>
      <c r="J20" s="139" t="s">
        <v>496</v>
      </c>
      <c r="K20" s="139" t="s">
        <v>173</v>
      </c>
    </row>
    <row r="21" spans="2:11" ht="13.2" customHeight="1">
      <c r="B21" s="261">
        <v>46207</v>
      </c>
      <c r="C21" s="262" t="s">
        <v>493</v>
      </c>
      <c r="D21" s="54" t="s">
        <v>509</v>
      </c>
      <c r="E21" s="54" t="s">
        <v>510</v>
      </c>
      <c r="F21" s="261" t="s">
        <v>332</v>
      </c>
      <c r="G21" s="139">
        <v>2963857</v>
      </c>
      <c r="H21" s="262" t="s">
        <v>493</v>
      </c>
      <c r="I21" s="139" t="s">
        <v>509</v>
      </c>
      <c r="J21" s="139" t="s">
        <v>504</v>
      </c>
      <c r="K21" s="139" t="s">
        <v>173</v>
      </c>
    </row>
    <row r="22" spans="2:11" ht="13.2" customHeight="1">
      <c r="B22" s="261">
        <v>46208</v>
      </c>
      <c r="C22" s="262" t="s">
        <v>493</v>
      </c>
      <c r="D22" s="54" t="s">
        <v>511</v>
      </c>
      <c r="E22" s="54" t="s">
        <v>506</v>
      </c>
      <c r="F22" s="261" t="s">
        <v>183</v>
      </c>
      <c r="G22" s="139">
        <v>10670416</v>
      </c>
      <c r="H22" s="262" t="s">
        <v>493</v>
      </c>
      <c r="I22" s="139" t="s">
        <v>511</v>
      </c>
      <c r="J22" s="139" t="s">
        <v>496</v>
      </c>
      <c r="K22" s="139" t="s">
        <v>173</v>
      </c>
    </row>
    <row r="23" spans="2:11" ht="13.2" customHeight="1">
      <c r="B23" s="261">
        <v>46209</v>
      </c>
      <c r="C23" s="262" t="s">
        <v>493</v>
      </c>
      <c r="D23" s="54" t="s">
        <v>512</v>
      </c>
      <c r="E23" s="54" t="s">
        <v>513</v>
      </c>
      <c r="F23" s="261" t="s">
        <v>187</v>
      </c>
      <c r="G23" s="139">
        <v>7524770</v>
      </c>
      <c r="H23" s="262" t="s">
        <v>493</v>
      </c>
      <c r="I23" s="139" t="s">
        <v>512</v>
      </c>
      <c r="J23" s="139" t="s">
        <v>496</v>
      </c>
      <c r="K23" s="139" t="s">
        <v>173</v>
      </c>
    </row>
    <row r="24" spans="2:11" ht="13.2" customHeight="1">
      <c r="B24" s="261">
        <v>46210</v>
      </c>
      <c r="C24" s="262" t="s">
        <v>493</v>
      </c>
      <c r="D24" s="54" t="s">
        <v>514</v>
      </c>
      <c r="E24" s="54" t="s">
        <v>515</v>
      </c>
      <c r="F24" s="261" t="s">
        <v>190</v>
      </c>
      <c r="G24" s="139">
        <v>9236479</v>
      </c>
      <c r="H24" s="262" t="s">
        <v>493</v>
      </c>
      <c r="I24" s="139" t="s">
        <v>514</v>
      </c>
      <c r="J24" s="139" t="s">
        <v>496</v>
      </c>
      <c r="K24" s="139" t="s">
        <v>173</v>
      </c>
    </row>
    <row r="25" spans="2:11" ht="13.2" customHeight="1">
      <c r="B25" s="261">
        <v>46211</v>
      </c>
      <c r="C25" s="262" t="s">
        <v>493</v>
      </c>
      <c r="D25" s="54" t="s">
        <v>516</v>
      </c>
      <c r="E25" s="54" t="s">
        <v>515</v>
      </c>
      <c r="F25" s="261" t="s">
        <v>192</v>
      </c>
      <c r="G25" s="139">
        <v>9236479</v>
      </c>
      <c r="H25" s="262" t="s">
        <v>493</v>
      </c>
      <c r="I25" s="139" t="s">
        <v>516</v>
      </c>
      <c r="J25" s="139" t="s">
        <v>496</v>
      </c>
      <c r="K25" s="139" t="s">
        <v>173</v>
      </c>
    </row>
    <row r="26" spans="2:11" ht="13.2" customHeight="1">
      <c r="B26" s="261">
        <v>46211</v>
      </c>
      <c r="C26" s="262" t="s">
        <v>493</v>
      </c>
      <c r="D26" s="54" t="s">
        <v>517</v>
      </c>
      <c r="E26" s="54" t="s">
        <v>515</v>
      </c>
      <c r="F26" s="261" t="s">
        <v>194</v>
      </c>
      <c r="G26" s="139">
        <v>9236479</v>
      </c>
      <c r="H26" s="262" t="s">
        <v>493</v>
      </c>
      <c r="I26" s="139" t="s">
        <v>517</v>
      </c>
      <c r="J26" s="139" t="s">
        <v>496</v>
      </c>
      <c r="K26" s="139" t="s">
        <v>173</v>
      </c>
    </row>
    <row r="27" spans="2:11" ht="13.2" customHeight="1">
      <c r="B27" s="261">
        <v>46212</v>
      </c>
      <c r="C27" s="262" t="s">
        <v>493</v>
      </c>
      <c r="D27" s="54" t="s">
        <v>518</v>
      </c>
      <c r="E27" s="54" t="s">
        <v>519</v>
      </c>
      <c r="F27" s="261" t="s">
        <v>194</v>
      </c>
      <c r="G27" s="139">
        <v>4202598</v>
      </c>
      <c r="H27" s="262" t="s">
        <v>493</v>
      </c>
      <c r="I27" s="139" t="s">
        <v>518</v>
      </c>
      <c r="J27" s="139" t="s">
        <v>496</v>
      </c>
      <c r="K27" s="139" t="s">
        <v>173</v>
      </c>
    </row>
    <row r="28" spans="2:11" ht="13.2" customHeight="1">
      <c r="B28" s="261">
        <v>46213</v>
      </c>
      <c r="C28" s="262" t="s">
        <v>493</v>
      </c>
      <c r="D28" s="54" t="s">
        <v>520</v>
      </c>
      <c r="E28" s="54" t="s">
        <v>519</v>
      </c>
      <c r="F28" s="261" t="s">
        <v>196</v>
      </c>
      <c r="G28" s="139">
        <v>4202598</v>
      </c>
      <c r="H28" s="262" t="s">
        <v>493</v>
      </c>
      <c r="I28" s="139" t="s">
        <v>520</v>
      </c>
      <c r="J28" s="139" t="s">
        <v>496</v>
      </c>
      <c r="K28" s="139" t="s">
        <v>173</v>
      </c>
    </row>
    <row r="29" spans="2:11" ht="13.2" customHeight="1">
      <c r="B29" s="261">
        <v>46214</v>
      </c>
      <c r="C29" s="262" t="s">
        <v>493</v>
      </c>
      <c r="D29" s="54" t="s">
        <v>521</v>
      </c>
      <c r="E29" s="54" t="s">
        <v>522</v>
      </c>
      <c r="F29" s="261" t="s">
        <v>198</v>
      </c>
      <c r="G29" s="139">
        <v>5551165</v>
      </c>
      <c r="H29" s="262" t="s">
        <v>493</v>
      </c>
      <c r="I29" s="139" t="s">
        <v>521</v>
      </c>
      <c r="J29" s="139" t="s">
        <v>496</v>
      </c>
      <c r="K29" s="139" t="s">
        <v>173</v>
      </c>
    </row>
    <row r="30" spans="2:11" ht="13.2" customHeight="1">
      <c r="B30" s="261">
        <v>46215</v>
      </c>
      <c r="C30" s="262" t="s">
        <v>493</v>
      </c>
      <c r="D30" s="54" t="s">
        <v>523</v>
      </c>
      <c r="E30" s="54" t="s">
        <v>524</v>
      </c>
      <c r="F30" s="261" t="s">
        <v>200</v>
      </c>
      <c r="G30" s="139">
        <v>11770471</v>
      </c>
      <c r="H30" s="262" t="s">
        <v>493</v>
      </c>
      <c r="I30" s="139" t="s">
        <v>523</v>
      </c>
      <c r="J30" s="139" t="s">
        <v>496</v>
      </c>
      <c r="K30" s="139" t="s">
        <v>173</v>
      </c>
    </row>
    <row r="31" spans="2:11" ht="13.2" customHeight="1">
      <c r="B31" s="261">
        <v>46216</v>
      </c>
      <c r="C31" s="262" t="s">
        <v>493</v>
      </c>
      <c r="D31" s="54" t="s">
        <v>525</v>
      </c>
      <c r="E31" s="54" t="s">
        <v>526</v>
      </c>
      <c r="F31" s="261" t="s">
        <v>202</v>
      </c>
      <c r="G31" s="139">
        <v>5034060</v>
      </c>
      <c r="H31" s="262" t="s">
        <v>493</v>
      </c>
      <c r="I31" s="139" t="s">
        <v>525</v>
      </c>
      <c r="J31" s="139" t="s">
        <v>496</v>
      </c>
      <c r="K31" s="139" t="s">
        <v>173</v>
      </c>
    </row>
    <row r="32" spans="2:11" ht="13.2" customHeight="1">
      <c r="B32" s="261">
        <v>46216</v>
      </c>
      <c r="C32" s="262" t="s">
        <v>493</v>
      </c>
      <c r="D32" s="54" t="s">
        <v>527</v>
      </c>
      <c r="E32" s="54" t="s">
        <v>528</v>
      </c>
      <c r="F32" s="261" t="s">
        <v>202</v>
      </c>
      <c r="G32" s="139">
        <v>5597162</v>
      </c>
      <c r="H32" s="262" t="s">
        <v>493</v>
      </c>
      <c r="I32" s="139" t="s">
        <v>527</v>
      </c>
      <c r="J32" s="139" t="s">
        <v>496</v>
      </c>
      <c r="K32" s="139" t="s">
        <v>173</v>
      </c>
    </row>
    <row r="33" spans="2:11" ht="13.2" customHeight="1">
      <c r="B33" s="261">
        <v>46217</v>
      </c>
      <c r="C33" s="262" t="s">
        <v>493</v>
      </c>
      <c r="D33" s="54" t="s">
        <v>529</v>
      </c>
      <c r="E33" s="54" t="s">
        <v>528</v>
      </c>
      <c r="F33" s="261" t="s">
        <v>204</v>
      </c>
      <c r="G33" s="139">
        <v>5597162</v>
      </c>
      <c r="H33" s="262" t="s">
        <v>493</v>
      </c>
      <c r="I33" s="139" t="s">
        <v>529</v>
      </c>
      <c r="J33" s="139" t="s">
        <v>496</v>
      </c>
      <c r="K33" s="139" t="s">
        <v>173</v>
      </c>
    </row>
    <row r="34" spans="2:11" ht="13.2" customHeight="1">
      <c r="B34" s="261">
        <v>46219</v>
      </c>
      <c r="C34" s="262" t="s">
        <v>493</v>
      </c>
      <c r="D34" s="54" t="s">
        <v>530</v>
      </c>
      <c r="E34" s="54" t="s">
        <v>531</v>
      </c>
      <c r="F34" s="261" t="s">
        <v>206</v>
      </c>
      <c r="G34" s="139">
        <v>12867452</v>
      </c>
      <c r="H34" s="262" t="s">
        <v>493</v>
      </c>
      <c r="I34" s="139" t="s">
        <v>530</v>
      </c>
      <c r="J34" s="139" t="s">
        <v>496</v>
      </c>
      <c r="K34" s="139" t="s">
        <v>173</v>
      </c>
    </row>
    <row r="35" spans="2:11" ht="13.2" customHeight="1">
      <c r="B35" s="261">
        <v>46220</v>
      </c>
      <c r="C35" s="262" t="s">
        <v>493</v>
      </c>
      <c r="D35" s="54" t="s">
        <v>532</v>
      </c>
      <c r="E35" s="54" t="s">
        <v>533</v>
      </c>
      <c r="F35" s="261" t="s">
        <v>362</v>
      </c>
      <c r="G35" s="139">
        <v>9242284</v>
      </c>
      <c r="H35" s="262" t="s">
        <v>493</v>
      </c>
      <c r="I35" s="139" t="s">
        <v>532</v>
      </c>
      <c r="J35" s="139" t="s">
        <v>496</v>
      </c>
      <c r="K35" s="139" t="s">
        <v>173</v>
      </c>
    </row>
    <row r="36" spans="2:11" ht="13.2" customHeight="1">
      <c r="B36" s="261">
        <v>46222</v>
      </c>
      <c r="C36" s="262" t="s">
        <v>493</v>
      </c>
      <c r="D36" s="302" t="s">
        <v>534</v>
      </c>
      <c r="E36" s="302" t="s">
        <v>535</v>
      </c>
      <c r="F36" s="261" t="s">
        <v>210</v>
      </c>
      <c r="G36" s="348">
        <v>10904252</v>
      </c>
      <c r="H36" s="262" t="s">
        <v>493</v>
      </c>
      <c r="I36" s="348" t="s">
        <v>534</v>
      </c>
      <c r="J36" s="348" t="s">
        <v>496</v>
      </c>
      <c r="K36" s="348" t="s">
        <v>173</v>
      </c>
    </row>
    <row r="37" spans="2:11" ht="13.2" customHeight="1">
      <c r="B37" s="261">
        <v>46223</v>
      </c>
      <c r="C37" s="262" t="s">
        <v>493</v>
      </c>
      <c r="D37" s="302" t="s">
        <v>536</v>
      </c>
      <c r="E37" s="302" t="s">
        <v>537</v>
      </c>
      <c r="F37" s="261" t="s">
        <v>212</v>
      </c>
      <c r="G37" s="348">
        <v>11911438</v>
      </c>
      <c r="H37" s="262" t="s">
        <v>493</v>
      </c>
      <c r="I37" s="348" t="s">
        <v>536</v>
      </c>
      <c r="J37" s="348" t="s">
        <v>496</v>
      </c>
      <c r="K37" s="348" t="s">
        <v>173</v>
      </c>
    </row>
    <row r="38" spans="2:11" ht="13.2" customHeight="1">
      <c r="B38" s="261">
        <v>46224</v>
      </c>
      <c r="C38" s="262" t="s">
        <v>493</v>
      </c>
      <c r="D38" s="302" t="s">
        <v>538</v>
      </c>
      <c r="E38" s="302" t="s">
        <v>539</v>
      </c>
      <c r="F38" s="261" t="s">
        <v>214</v>
      </c>
      <c r="G38" s="348">
        <v>13823059</v>
      </c>
      <c r="H38" s="262" t="s">
        <v>493</v>
      </c>
      <c r="I38" s="348" t="s">
        <v>538</v>
      </c>
      <c r="J38" s="348" t="s">
        <v>496</v>
      </c>
      <c r="K38" s="348" t="s">
        <v>173</v>
      </c>
    </row>
    <row r="39" spans="2:11" ht="13.2" customHeight="1">
      <c r="B39" s="261">
        <v>46225</v>
      </c>
      <c r="C39" s="262" t="s">
        <v>493</v>
      </c>
      <c r="D39" s="302" t="s">
        <v>540</v>
      </c>
      <c r="E39" s="302" t="s">
        <v>539</v>
      </c>
      <c r="F39" s="261" t="s">
        <v>216</v>
      </c>
      <c r="G39" s="348">
        <v>13823059</v>
      </c>
      <c r="H39" s="262" t="s">
        <v>493</v>
      </c>
      <c r="I39" s="348" t="s">
        <v>540</v>
      </c>
      <c r="J39" s="348" t="s">
        <v>496</v>
      </c>
      <c r="K39" s="348" t="s">
        <v>173</v>
      </c>
    </row>
    <row r="40" spans="2:11" ht="13.2" customHeight="1">
      <c r="B40" s="261">
        <v>46225</v>
      </c>
      <c r="C40" s="262" t="s">
        <v>493</v>
      </c>
      <c r="D40" s="302" t="s">
        <v>541</v>
      </c>
      <c r="E40" s="302" t="s">
        <v>542</v>
      </c>
      <c r="F40" s="261" t="s">
        <v>216</v>
      </c>
      <c r="G40" s="348">
        <v>7308568</v>
      </c>
      <c r="H40" s="262" t="s">
        <v>493</v>
      </c>
      <c r="I40" s="348" t="s">
        <v>541</v>
      </c>
      <c r="J40" s="348" t="s">
        <v>496</v>
      </c>
      <c r="K40" s="348" t="s">
        <v>173</v>
      </c>
    </row>
    <row r="41" spans="2:11" ht="13.2" customHeight="1">
      <c r="B41" s="261">
        <v>46226</v>
      </c>
      <c r="C41" s="262" t="s">
        <v>493</v>
      </c>
      <c r="D41" s="302" t="s">
        <v>543</v>
      </c>
      <c r="E41" s="302" t="s">
        <v>542</v>
      </c>
      <c r="F41" s="261" t="s">
        <v>368</v>
      </c>
      <c r="G41" s="348">
        <v>7308568</v>
      </c>
      <c r="H41" s="262" t="s">
        <v>493</v>
      </c>
      <c r="I41" s="348" t="s">
        <v>543</v>
      </c>
      <c r="J41" s="348" t="s">
        <v>496</v>
      </c>
      <c r="K41" s="348" t="s">
        <v>173</v>
      </c>
    </row>
    <row r="42" spans="2:11" ht="13.2" customHeight="1">
      <c r="B42" s="261">
        <v>46227</v>
      </c>
      <c r="C42" s="262" t="s">
        <v>493</v>
      </c>
      <c r="D42" s="302" t="s">
        <v>544</v>
      </c>
      <c r="E42" s="302" t="s">
        <v>545</v>
      </c>
      <c r="F42" s="261" t="s">
        <v>218</v>
      </c>
      <c r="G42" s="348">
        <v>16062786</v>
      </c>
      <c r="H42" s="262" t="s">
        <v>493</v>
      </c>
      <c r="I42" s="348" t="s">
        <v>544</v>
      </c>
      <c r="J42" s="348" t="s">
        <v>496</v>
      </c>
      <c r="K42" s="348" t="s">
        <v>173</v>
      </c>
    </row>
    <row r="43" spans="2:11" ht="13.2" customHeight="1">
      <c r="B43" s="261">
        <v>46228</v>
      </c>
      <c r="C43" s="262" t="s">
        <v>493</v>
      </c>
      <c r="D43" s="302" t="s">
        <v>546</v>
      </c>
      <c r="E43" s="302" t="s">
        <v>547</v>
      </c>
      <c r="F43" s="261" t="s">
        <v>220</v>
      </c>
      <c r="G43" s="348">
        <v>5670457</v>
      </c>
      <c r="H43" s="262" t="s">
        <v>493</v>
      </c>
      <c r="I43" s="348" t="s">
        <v>546</v>
      </c>
      <c r="J43" s="348" t="s">
        <v>496</v>
      </c>
      <c r="K43" s="348" t="s">
        <v>173</v>
      </c>
    </row>
    <row r="44" spans="2:11" ht="13.2" customHeight="1">
      <c r="B44" s="261">
        <v>46228</v>
      </c>
      <c r="C44" s="262" t="s">
        <v>493</v>
      </c>
      <c r="D44" s="302" t="s">
        <v>548</v>
      </c>
      <c r="E44" s="302" t="s">
        <v>547</v>
      </c>
      <c r="F44" s="261" t="s">
        <v>220</v>
      </c>
      <c r="G44" s="348">
        <v>5670457</v>
      </c>
      <c r="H44" s="262" t="s">
        <v>493</v>
      </c>
      <c r="I44" s="348" t="s">
        <v>548</v>
      </c>
      <c r="J44" s="348" t="s">
        <v>496</v>
      </c>
      <c r="K44" s="348" t="s">
        <v>173</v>
      </c>
    </row>
    <row r="45" spans="2:11" ht="13.2" customHeight="1">
      <c r="B45" s="261">
        <v>46229</v>
      </c>
      <c r="C45" s="262" t="s">
        <v>493</v>
      </c>
      <c r="D45" s="302" t="s">
        <v>549</v>
      </c>
      <c r="E45" s="302" t="s">
        <v>547</v>
      </c>
      <c r="F45" s="261" t="s">
        <v>222</v>
      </c>
      <c r="G45" s="348">
        <v>5670457</v>
      </c>
      <c r="H45" s="262" t="s">
        <v>493</v>
      </c>
      <c r="I45" s="348" t="s">
        <v>549</v>
      </c>
      <c r="J45" s="348" t="s">
        <v>496</v>
      </c>
      <c r="K45" s="348" t="s">
        <v>173</v>
      </c>
    </row>
    <row r="46" spans="2:11" ht="13.2" customHeight="1">
      <c r="B46" s="261">
        <v>46229</v>
      </c>
      <c r="C46" s="262" t="s">
        <v>493</v>
      </c>
      <c r="D46" s="302" t="s">
        <v>550</v>
      </c>
      <c r="E46" s="302" t="s">
        <v>547</v>
      </c>
      <c r="F46" s="261" t="s">
        <v>222</v>
      </c>
      <c r="G46" s="348">
        <v>5670457</v>
      </c>
      <c r="H46" s="262" t="s">
        <v>493</v>
      </c>
      <c r="I46" s="348" t="s">
        <v>550</v>
      </c>
      <c r="J46" s="348" t="s">
        <v>496</v>
      </c>
      <c r="K46" s="348" t="s">
        <v>173</v>
      </c>
    </row>
    <row r="47" spans="2:11" ht="13.2" customHeight="1">
      <c r="B47" s="261">
        <v>46229</v>
      </c>
      <c r="C47" s="262" t="s">
        <v>493</v>
      </c>
      <c r="D47" s="302" t="s">
        <v>551</v>
      </c>
      <c r="E47" s="302" t="s">
        <v>547</v>
      </c>
      <c r="F47" s="261" t="s">
        <v>222</v>
      </c>
      <c r="G47" s="348">
        <v>5670457</v>
      </c>
      <c r="H47" s="262" t="s">
        <v>493</v>
      </c>
      <c r="I47" s="348" t="s">
        <v>551</v>
      </c>
      <c r="J47" s="348" t="s">
        <v>496</v>
      </c>
      <c r="K47" s="348" t="s">
        <v>173</v>
      </c>
    </row>
    <row r="48" spans="2:11" ht="13.2" customHeight="1">
      <c r="B48" s="261">
        <v>46230</v>
      </c>
      <c r="C48" s="262" t="s">
        <v>493</v>
      </c>
      <c r="D48" s="302" t="s">
        <v>552</v>
      </c>
      <c r="E48" s="302" t="s">
        <v>547</v>
      </c>
      <c r="F48" s="261" t="s">
        <v>373</v>
      </c>
      <c r="G48" s="348">
        <v>5670457</v>
      </c>
      <c r="H48" s="262" t="s">
        <v>493</v>
      </c>
      <c r="I48" s="348" t="s">
        <v>552</v>
      </c>
      <c r="J48" s="348" t="s">
        <v>496</v>
      </c>
      <c r="K48" s="348" t="s">
        <v>173</v>
      </c>
    </row>
    <row r="49" spans="2:11" ht="13.2" customHeight="1">
      <c r="B49" s="261">
        <v>46230</v>
      </c>
      <c r="C49" s="262" t="s">
        <v>493</v>
      </c>
      <c r="D49" s="302" t="s">
        <v>553</v>
      </c>
      <c r="E49" s="302" t="s">
        <v>547</v>
      </c>
      <c r="F49" s="261" t="s">
        <v>373</v>
      </c>
      <c r="G49" s="348">
        <v>5670457</v>
      </c>
      <c r="H49" s="262" t="s">
        <v>493</v>
      </c>
      <c r="I49" s="348" t="s">
        <v>553</v>
      </c>
      <c r="J49" s="348" t="s">
        <v>496</v>
      </c>
      <c r="K49" s="348" t="s">
        <v>173</v>
      </c>
    </row>
    <row r="50" spans="2:11" ht="13.2" customHeight="1">
      <c r="B50" s="261">
        <v>46231</v>
      </c>
      <c r="C50" s="262" t="s">
        <v>493</v>
      </c>
      <c r="D50" s="302" t="s">
        <v>554</v>
      </c>
      <c r="E50" s="302" t="s">
        <v>547</v>
      </c>
      <c r="F50" s="261" t="s">
        <v>375</v>
      </c>
      <c r="G50" s="348">
        <v>5670457</v>
      </c>
      <c r="H50" s="262" t="s">
        <v>493</v>
      </c>
      <c r="I50" s="348" t="s">
        <v>554</v>
      </c>
      <c r="J50" s="348" t="s">
        <v>496</v>
      </c>
      <c r="K50" s="348" t="s">
        <v>173</v>
      </c>
    </row>
    <row r="51" spans="2:11" ht="13.2" customHeight="1">
      <c r="B51" s="261">
        <v>46232</v>
      </c>
      <c r="C51" s="262" t="s">
        <v>493</v>
      </c>
      <c r="D51" s="302" t="s">
        <v>555</v>
      </c>
      <c r="E51" s="302" t="s">
        <v>556</v>
      </c>
      <c r="F51" s="261" t="s">
        <v>224</v>
      </c>
      <c r="G51" s="348">
        <v>13897056</v>
      </c>
      <c r="H51" s="262" t="s">
        <v>493</v>
      </c>
      <c r="I51" s="348" t="s">
        <v>555</v>
      </c>
      <c r="J51" s="348" t="s">
        <v>496</v>
      </c>
      <c r="K51" s="348" t="s">
        <v>173</v>
      </c>
    </row>
    <row r="52" spans="2:11" ht="13.2" customHeight="1">
      <c r="B52" s="261">
        <v>46233</v>
      </c>
      <c r="C52" s="262" t="s">
        <v>493</v>
      </c>
      <c r="D52" s="302" t="s">
        <v>557</v>
      </c>
      <c r="E52" s="302" t="s">
        <v>558</v>
      </c>
      <c r="F52" s="261" t="s">
        <v>229</v>
      </c>
      <c r="G52" s="348">
        <v>15249838</v>
      </c>
      <c r="H52" s="262" t="s">
        <v>493</v>
      </c>
      <c r="I52" s="348" t="s">
        <v>557</v>
      </c>
      <c r="J52" s="348" t="s">
        <v>496</v>
      </c>
      <c r="K52" s="348" t="s">
        <v>173</v>
      </c>
    </row>
    <row r="53" spans="2:11" ht="13.2" customHeight="1">
      <c r="B53" s="261">
        <v>46234</v>
      </c>
      <c r="C53" s="262" t="s">
        <v>493</v>
      </c>
      <c r="D53" s="302" t="s">
        <v>559</v>
      </c>
      <c r="E53" s="302" t="s">
        <v>560</v>
      </c>
      <c r="F53" s="261"/>
      <c r="G53" s="348"/>
      <c r="H53" s="262"/>
      <c r="I53" s="348"/>
      <c r="J53" s="348"/>
      <c r="K53" s="348" t="s">
        <v>291</v>
      </c>
    </row>
    <row r="54" spans="2:11" ht="13.2" customHeight="1">
      <c r="B54" s="261">
        <v>46234</v>
      </c>
      <c r="C54" s="262" t="s">
        <v>493</v>
      </c>
      <c r="D54" s="302" t="s">
        <v>561</v>
      </c>
      <c r="E54" s="303">
        <v>238.143</v>
      </c>
      <c r="F54" s="261"/>
      <c r="G54" s="349"/>
      <c r="H54" s="262"/>
      <c r="I54" s="348"/>
      <c r="J54" s="348"/>
      <c r="K54" s="348" t="s">
        <v>291</v>
      </c>
    </row>
  </sheetData>
  <mergeCells count="3">
    <mergeCell ref="C2:C3"/>
    <mergeCell ref="A2:A3"/>
    <mergeCell ref="B2:B3"/>
  </mergeCells>
  <hyperlinks>
    <hyperlink ref="I1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99"/>
  <sheetViews>
    <sheetView workbookViewId="0"/>
  </sheetViews>
  <sheetFormatPr defaultColWidth="12.6640625" defaultRowHeight="15.75" customHeight="1"/>
  <cols>
    <col min="1" max="1" width="4.33203125" style="323" customWidth="1"/>
  </cols>
  <sheetData>
    <row r="1" spans="1:7" ht="15.75" customHeight="1">
      <c r="A1" s="358"/>
      <c r="B1" s="359"/>
      <c r="C1" s="359"/>
      <c r="D1" s="360"/>
      <c r="E1" s="4"/>
      <c r="F1" s="4"/>
      <c r="G1" s="4"/>
    </row>
    <row r="2" spans="1:7" ht="26.4">
      <c r="A2" s="361" t="s">
        <v>0</v>
      </c>
      <c r="B2" s="363" t="s">
        <v>1</v>
      </c>
      <c r="C2" s="8" t="s">
        <v>2</v>
      </c>
      <c r="D2" s="17" t="s">
        <v>3</v>
      </c>
      <c r="E2" s="150" t="s">
        <v>4</v>
      </c>
      <c r="F2" s="150" t="s">
        <v>5</v>
      </c>
      <c r="G2" s="150" t="s">
        <v>6</v>
      </c>
    </row>
    <row r="3" spans="1:7" ht="13.2">
      <c r="A3" s="362"/>
      <c r="B3" s="362"/>
      <c r="C3" s="10">
        <f>+SUM(C4:C34)</f>
        <v>7000000</v>
      </c>
      <c r="D3" s="13">
        <f>SUM(D4:D34)</f>
        <v>35685694.545454547</v>
      </c>
      <c r="E3" s="17">
        <f>SUM(E4:E34)</f>
        <v>12</v>
      </c>
      <c r="F3" s="13">
        <f>SUM(F4:F36)</f>
        <v>47700000</v>
      </c>
      <c r="G3" s="21">
        <f t="shared" ref="G3:G19" si="0">IFERROR(D3/F3,0)</f>
        <v>0.74812776824852301</v>
      </c>
    </row>
    <row r="4" spans="1:7" ht="15.75" customHeight="1">
      <c r="A4" s="23">
        <v>1</v>
      </c>
      <c r="B4" s="25">
        <v>46204</v>
      </c>
      <c r="C4" s="234">
        <v>7000000</v>
      </c>
      <c r="D4" s="304">
        <f>'NV Lý CT'!D8</f>
        <v>2892880.9090909087</v>
      </c>
      <c r="E4" s="240">
        <v>2</v>
      </c>
      <c r="F4" s="247">
        <v>5550000</v>
      </c>
      <c r="G4" s="34">
        <f t="shared" si="0"/>
        <v>0.52123980343980336</v>
      </c>
    </row>
    <row r="5" spans="1:7" ht="15.75" customHeight="1">
      <c r="A5" s="35">
        <v>2</v>
      </c>
      <c r="B5" s="36">
        <v>46205</v>
      </c>
      <c r="C5" s="241"/>
      <c r="D5" s="305">
        <f>'NV Lý CT'!E8</f>
        <v>5180389.0909090908</v>
      </c>
      <c r="E5" s="237">
        <v>1</v>
      </c>
      <c r="F5" s="245">
        <v>2885000</v>
      </c>
      <c r="G5" s="39">
        <f t="shared" si="0"/>
        <v>1.7956288010083503</v>
      </c>
    </row>
    <row r="6" spans="1:7" ht="15.75" customHeight="1">
      <c r="A6" s="23">
        <v>3</v>
      </c>
      <c r="B6" s="25">
        <v>46206</v>
      </c>
      <c r="C6" s="234"/>
      <c r="D6" s="304">
        <f>'NV Lý CT'!F8</f>
        <v>0</v>
      </c>
      <c r="E6" s="240">
        <v>3</v>
      </c>
      <c r="F6" s="247">
        <v>9060000</v>
      </c>
      <c r="G6" s="34">
        <f t="shared" si="0"/>
        <v>0</v>
      </c>
    </row>
    <row r="7" spans="1:7" ht="15.75" customHeight="1">
      <c r="A7" s="35">
        <v>4</v>
      </c>
      <c r="B7" s="36">
        <v>46207</v>
      </c>
      <c r="C7" s="241"/>
      <c r="D7" s="305">
        <f>'NV Lý CT'!G8</f>
        <v>5806442.7272727266</v>
      </c>
      <c r="E7" s="266">
        <v>0</v>
      </c>
      <c r="F7" s="245"/>
      <c r="G7" s="39">
        <f t="shared" si="0"/>
        <v>0</v>
      </c>
    </row>
    <row r="8" spans="1:7" ht="15.75" customHeight="1">
      <c r="A8" s="23">
        <v>5</v>
      </c>
      <c r="B8" s="25">
        <v>46208</v>
      </c>
      <c r="C8" s="234"/>
      <c r="D8" s="304">
        <f>'NV Lý CT'!H8</f>
        <v>0</v>
      </c>
      <c r="E8" s="264">
        <v>1</v>
      </c>
      <c r="F8" s="247">
        <v>2530000</v>
      </c>
      <c r="G8" s="34">
        <f t="shared" si="0"/>
        <v>0</v>
      </c>
    </row>
    <row r="9" spans="1:7" ht="15.75" customHeight="1">
      <c r="A9" s="35">
        <v>6</v>
      </c>
      <c r="B9" s="36">
        <v>46209</v>
      </c>
      <c r="C9" s="241"/>
      <c r="D9" s="305">
        <f>'NV Lý CT'!I8</f>
        <v>6914592.7272727266</v>
      </c>
      <c r="E9" s="266">
        <v>1</v>
      </c>
      <c r="F9" s="245">
        <v>3900000</v>
      </c>
      <c r="G9" s="39">
        <f t="shared" si="0"/>
        <v>1.772972494172494</v>
      </c>
    </row>
    <row r="10" spans="1:7" ht="15.75" customHeight="1">
      <c r="A10" s="23">
        <v>7</v>
      </c>
      <c r="B10" s="25">
        <v>46210</v>
      </c>
      <c r="C10" s="234"/>
      <c r="D10" s="304">
        <f>'NV Lý CT'!J8</f>
        <v>0</v>
      </c>
      <c r="E10" s="264">
        <v>2</v>
      </c>
      <c r="F10" s="247">
        <v>6595000</v>
      </c>
      <c r="G10" s="34">
        <f t="shared" si="0"/>
        <v>0</v>
      </c>
    </row>
    <row r="11" spans="1:7" ht="15.75" customHeight="1">
      <c r="A11" s="35">
        <v>8</v>
      </c>
      <c r="B11" s="36">
        <v>46211</v>
      </c>
      <c r="C11" s="241"/>
      <c r="D11" s="305">
        <f>'NV Lý CT'!K8</f>
        <v>7531779.9999999991</v>
      </c>
      <c r="E11" s="266">
        <v>2</v>
      </c>
      <c r="F11" s="245">
        <v>6410000</v>
      </c>
      <c r="G11" s="39">
        <f t="shared" si="0"/>
        <v>1.1750046801872074</v>
      </c>
    </row>
    <row r="12" spans="1:7" ht="15.75" customHeight="1">
      <c r="A12" s="23">
        <v>9</v>
      </c>
      <c r="B12" s="25">
        <v>46212</v>
      </c>
      <c r="C12" s="234"/>
      <c r="D12" s="304">
        <f>'NV Lý CT'!L8</f>
        <v>0</v>
      </c>
      <c r="E12" s="264"/>
      <c r="F12" s="247"/>
      <c r="G12" s="34">
        <f t="shared" si="0"/>
        <v>0</v>
      </c>
    </row>
    <row r="13" spans="1:7" ht="15.75" customHeight="1">
      <c r="A13" s="35">
        <v>10</v>
      </c>
      <c r="B13" s="36">
        <v>46213</v>
      </c>
      <c r="C13" s="241"/>
      <c r="D13" s="305">
        <f>'NV Lý CT'!M8</f>
        <v>7359609.0909090899</v>
      </c>
      <c r="E13" s="266"/>
      <c r="F13" s="245"/>
      <c r="G13" s="39">
        <f t="shared" si="0"/>
        <v>0</v>
      </c>
    </row>
    <row r="14" spans="1:7" ht="15.75" customHeight="1">
      <c r="A14" s="23">
        <v>11</v>
      </c>
      <c r="B14" s="25">
        <v>46214</v>
      </c>
      <c r="C14" s="234"/>
      <c r="D14" s="304">
        <f>'NV Lý CT'!N8</f>
        <v>0</v>
      </c>
      <c r="E14" s="264"/>
      <c r="F14" s="247">
        <v>4030000</v>
      </c>
      <c r="G14" s="34">
        <f t="shared" si="0"/>
        <v>0</v>
      </c>
    </row>
    <row r="15" spans="1:7" ht="15.75" customHeight="1">
      <c r="A15" s="35">
        <v>12</v>
      </c>
      <c r="B15" s="36">
        <v>46215</v>
      </c>
      <c r="C15" s="241"/>
      <c r="D15" s="305">
        <f>'NV Lý CT'!O8</f>
        <v>0</v>
      </c>
      <c r="E15" s="266"/>
      <c r="F15" s="245">
        <v>0</v>
      </c>
      <c r="G15" s="39">
        <f t="shared" si="0"/>
        <v>0</v>
      </c>
    </row>
    <row r="16" spans="1:7" ht="14.4" customHeight="1">
      <c r="A16" s="23">
        <v>13</v>
      </c>
      <c r="B16" s="25">
        <v>46216</v>
      </c>
      <c r="C16" s="234"/>
      <c r="D16" s="304">
        <f>'NV Lý CT'!P8</f>
        <v>0</v>
      </c>
      <c r="E16" s="264"/>
      <c r="F16" s="247">
        <v>6740000</v>
      </c>
      <c r="G16" s="34">
        <f t="shared" si="0"/>
        <v>0</v>
      </c>
    </row>
    <row r="17" spans="1:7" ht="14.4" customHeight="1">
      <c r="A17" s="35">
        <v>14</v>
      </c>
      <c r="B17" s="36">
        <v>46217</v>
      </c>
      <c r="C17" s="241"/>
      <c r="D17" s="305">
        <f>'NV Lý CT'!Q8</f>
        <v>0</v>
      </c>
      <c r="E17" s="266"/>
      <c r="F17" s="245"/>
      <c r="G17" s="34">
        <f t="shared" si="0"/>
        <v>0</v>
      </c>
    </row>
    <row r="18" spans="1:7" ht="14.4" customHeight="1">
      <c r="A18" s="23">
        <v>15</v>
      </c>
      <c r="B18" s="25">
        <v>46218</v>
      </c>
      <c r="C18" s="234"/>
      <c r="D18" s="304">
        <f>'NV Lý CT'!R8</f>
        <v>0</v>
      </c>
      <c r="E18" s="264"/>
      <c r="F18" s="247"/>
      <c r="G18" s="34">
        <f t="shared" si="0"/>
        <v>0</v>
      </c>
    </row>
    <row r="19" spans="1:7" ht="14.4" customHeight="1">
      <c r="A19" s="35">
        <v>16</v>
      </c>
      <c r="B19" s="36">
        <v>46219</v>
      </c>
      <c r="C19" s="241"/>
      <c r="D19" s="305">
        <f>'NV Lý CT'!S8</f>
        <v>0</v>
      </c>
      <c r="E19" s="266"/>
      <c r="F19" s="245"/>
      <c r="G19" s="39">
        <f t="shared" si="0"/>
        <v>0</v>
      </c>
    </row>
    <row r="20" spans="1:7" ht="14.4" customHeight="1">
      <c r="A20" s="23">
        <v>17</v>
      </c>
      <c r="B20" s="25">
        <v>46220</v>
      </c>
      <c r="C20" s="234"/>
      <c r="D20" s="45">
        <f>'NV Lý CT'!T8</f>
        <v>0</v>
      </c>
      <c r="E20" s="264"/>
      <c r="F20" s="247"/>
      <c r="G20" s="34">
        <f>IFERROR(#REF!/F20,0)</f>
        <v>0</v>
      </c>
    </row>
    <row r="21" spans="1:7" ht="14.4" customHeight="1">
      <c r="A21" s="35">
        <v>18</v>
      </c>
      <c r="B21" s="36">
        <v>46221</v>
      </c>
      <c r="C21" s="241"/>
      <c r="D21" s="305">
        <f>'NV Lý CT'!U8</f>
        <v>0</v>
      </c>
      <c r="E21" s="266"/>
      <c r="F21" s="245"/>
      <c r="G21" s="34">
        <f t="shared" ref="G21:G34" si="1">IFERROR(D21/F21,0)</f>
        <v>0</v>
      </c>
    </row>
    <row r="22" spans="1:7" ht="14.4" customHeight="1">
      <c r="A22" s="23">
        <v>19</v>
      </c>
      <c r="B22" s="25">
        <v>46222</v>
      </c>
      <c r="C22" s="234"/>
      <c r="D22" s="304">
        <f>'NV Lý CT'!V8</f>
        <v>0</v>
      </c>
      <c r="E22" s="264"/>
      <c r="F22" s="247"/>
      <c r="G22" s="34">
        <f t="shared" si="1"/>
        <v>0</v>
      </c>
    </row>
    <row r="23" spans="1:7" ht="14.4" customHeight="1">
      <c r="A23" s="35">
        <v>20</v>
      </c>
      <c r="B23" s="36">
        <v>46223</v>
      </c>
      <c r="C23" s="241"/>
      <c r="D23" s="305">
        <f>'NV Lý CT'!W8</f>
        <v>0</v>
      </c>
      <c r="E23" s="266"/>
      <c r="F23" s="245"/>
      <c r="G23" s="34">
        <f t="shared" si="1"/>
        <v>0</v>
      </c>
    </row>
    <row r="24" spans="1:7" ht="14.4" customHeight="1">
      <c r="A24" s="23">
        <v>21</v>
      </c>
      <c r="B24" s="25">
        <v>46224</v>
      </c>
      <c r="C24" s="234"/>
      <c r="D24" s="304">
        <f>'NV Lý CT'!X8</f>
        <v>0</v>
      </c>
      <c r="E24" s="271"/>
      <c r="F24" s="247"/>
      <c r="G24" s="34">
        <f t="shared" si="1"/>
        <v>0</v>
      </c>
    </row>
    <row r="25" spans="1:7" ht="14.4" customHeight="1">
      <c r="A25" s="35">
        <v>22</v>
      </c>
      <c r="B25" s="36">
        <v>46225</v>
      </c>
      <c r="C25" s="241"/>
      <c r="D25" s="305">
        <f>'NV Lý CT'!Y8</f>
        <v>0</v>
      </c>
      <c r="E25" s="266"/>
      <c r="F25" s="245"/>
      <c r="G25" s="34">
        <f t="shared" si="1"/>
        <v>0</v>
      </c>
    </row>
    <row r="26" spans="1:7" ht="14.4" customHeight="1">
      <c r="A26" s="23">
        <v>23</v>
      </c>
      <c r="B26" s="25">
        <v>46226</v>
      </c>
      <c r="C26" s="234"/>
      <c r="D26" s="304">
        <f>'NV Lý CT'!Z8</f>
        <v>0</v>
      </c>
      <c r="E26" s="264"/>
      <c r="F26" s="247"/>
      <c r="G26" s="39">
        <f t="shared" si="1"/>
        <v>0</v>
      </c>
    </row>
    <row r="27" spans="1:7" ht="14.4" customHeight="1">
      <c r="A27" s="35">
        <v>24</v>
      </c>
      <c r="B27" s="36">
        <v>46227</v>
      </c>
      <c r="C27" s="241"/>
      <c r="D27" s="305">
        <f>'NV Lý CT'!AA8</f>
        <v>0</v>
      </c>
      <c r="E27" s="266"/>
      <c r="F27" s="245"/>
      <c r="G27" s="34">
        <f t="shared" si="1"/>
        <v>0</v>
      </c>
    </row>
    <row r="28" spans="1:7" ht="14.4" customHeight="1">
      <c r="A28" s="23">
        <v>25</v>
      </c>
      <c r="B28" s="25">
        <v>46228</v>
      </c>
      <c r="C28" s="234"/>
      <c r="D28" s="304">
        <f>'NV Lý CT'!AB8</f>
        <v>0</v>
      </c>
      <c r="E28" s="264"/>
      <c r="F28" s="247"/>
      <c r="G28" s="34">
        <f t="shared" si="1"/>
        <v>0</v>
      </c>
    </row>
    <row r="29" spans="1:7" ht="14.4" customHeight="1">
      <c r="A29" s="35">
        <v>26</v>
      </c>
      <c r="B29" s="36">
        <v>46229</v>
      </c>
      <c r="C29" s="241"/>
      <c r="D29" s="305">
        <f>'NV Lý CT'!AC8</f>
        <v>0</v>
      </c>
      <c r="E29" s="266"/>
      <c r="F29" s="245"/>
      <c r="G29" s="39">
        <f t="shared" si="1"/>
        <v>0</v>
      </c>
    </row>
    <row r="30" spans="1:7" ht="14.4" customHeight="1">
      <c r="A30" s="23">
        <v>27</v>
      </c>
      <c r="B30" s="25">
        <v>46230</v>
      </c>
      <c r="C30" s="234"/>
      <c r="D30" s="304">
        <f>'NV Lý CT'!AD8</f>
        <v>0</v>
      </c>
      <c r="E30" s="264"/>
      <c r="F30" s="247"/>
      <c r="G30" s="34">
        <f t="shared" si="1"/>
        <v>0</v>
      </c>
    </row>
    <row r="31" spans="1:7" ht="14.4" customHeight="1">
      <c r="A31" s="35">
        <v>28</v>
      </c>
      <c r="B31" s="36">
        <v>46231</v>
      </c>
      <c r="C31" s="241"/>
      <c r="D31" s="305">
        <f>'NV Lý CT'!AE8</f>
        <v>0</v>
      </c>
      <c r="E31" s="266"/>
      <c r="F31" s="245"/>
      <c r="G31" s="39">
        <f t="shared" si="1"/>
        <v>0</v>
      </c>
    </row>
    <row r="32" spans="1:7" ht="14.4" customHeight="1">
      <c r="A32" s="23">
        <v>29</v>
      </c>
      <c r="B32" s="25">
        <v>46232</v>
      </c>
      <c r="C32" s="234"/>
      <c r="D32" s="304">
        <f>'NV Lý CT'!AF8</f>
        <v>0</v>
      </c>
      <c r="E32" s="264"/>
      <c r="F32" s="247"/>
      <c r="G32" s="34">
        <f t="shared" si="1"/>
        <v>0</v>
      </c>
    </row>
    <row r="33" spans="1:7" ht="14.4" customHeight="1">
      <c r="A33" s="35">
        <v>30</v>
      </c>
      <c r="B33" s="36">
        <v>46233</v>
      </c>
      <c r="C33" s="241"/>
      <c r="D33" s="305">
        <f>'NV Lý CT'!AG8</f>
        <v>0</v>
      </c>
      <c r="E33" s="266"/>
      <c r="F33" s="245"/>
      <c r="G33" s="39">
        <f t="shared" si="1"/>
        <v>0</v>
      </c>
    </row>
    <row r="34" spans="1:7" ht="14.4" customHeight="1">
      <c r="A34" s="23">
        <v>31</v>
      </c>
      <c r="B34" s="25">
        <v>46234</v>
      </c>
      <c r="C34" s="234"/>
      <c r="D34" s="304">
        <f>'NV Lý CT'!AH8</f>
        <v>0</v>
      </c>
      <c r="E34" s="264"/>
      <c r="F34" s="247"/>
      <c r="G34" s="34">
        <f t="shared" si="1"/>
        <v>0</v>
      </c>
    </row>
    <row r="35" spans="1:7" ht="14.4" customHeight="1">
      <c r="A35" s="259"/>
      <c r="B35" s="36"/>
      <c r="C35" s="72"/>
      <c r="D35" s="241"/>
      <c r="E35" s="259"/>
      <c r="F35" s="245"/>
      <c r="G35" s="201"/>
    </row>
    <row r="36" spans="1:7" ht="13.2" customHeight="1">
      <c r="B36" s="73"/>
    </row>
    <row r="37" spans="1:7" ht="13.2" customHeight="1">
      <c r="B37" s="73"/>
    </row>
    <row r="38" spans="1:7" ht="13.2" customHeight="1">
      <c r="B38" s="73"/>
    </row>
    <row r="39" spans="1:7" ht="13.2" customHeight="1">
      <c r="B39" s="73"/>
    </row>
    <row r="40" spans="1:7" ht="13.2" customHeight="1">
      <c r="B40" s="73"/>
    </row>
    <row r="41" spans="1:7" ht="13.2" customHeight="1">
      <c r="B41" s="73"/>
    </row>
    <row r="42" spans="1:7" ht="13.2" customHeight="1">
      <c r="B42" s="73"/>
    </row>
    <row r="43" spans="1:7" ht="13.2" customHeight="1">
      <c r="B43" s="73"/>
    </row>
    <row r="44" spans="1:7" ht="13.2" customHeight="1">
      <c r="B44" s="73"/>
    </row>
    <row r="45" spans="1:7" ht="13.2" customHeight="1">
      <c r="B45" s="73"/>
    </row>
    <row r="46" spans="1:7" ht="13.2" customHeight="1">
      <c r="B46" s="73"/>
    </row>
    <row r="47" spans="1:7" ht="13.2" customHeight="1">
      <c r="B47" s="73"/>
    </row>
    <row r="48" spans="1:7" ht="13.2" customHeight="1">
      <c r="B48" s="73"/>
    </row>
    <row r="49" spans="2:2" ht="13.2" customHeight="1">
      <c r="B49" s="73"/>
    </row>
    <row r="50" spans="2:2" ht="13.2" customHeight="1">
      <c r="B50" s="73"/>
    </row>
    <row r="51" spans="2:2" ht="13.2" customHeight="1">
      <c r="B51" s="73"/>
    </row>
    <row r="52" spans="2:2" ht="13.2" customHeight="1">
      <c r="B52" s="73"/>
    </row>
    <row r="53" spans="2:2" ht="13.2" customHeight="1">
      <c r="B53" s="73"/>
    </row>
    <row r="54" spans="2:2" ht="13.2" customHeight="1">
      <c r="B54" s="73"/>
    </row>
    <row r="55" spans="2:2" ht="13.2" customHeight="1">
      <c r="B55" s="73"/>
    </row>
    <row r="56" spans="2:2" ht="13.2" customHeight="1">
      <c r="B56" s="73"/>
    </row>
    <row r="57" spans="2:2" ht="13.2" customHeight="1">
      <c r="B57" s="73"/>
    </row>
    <row r="58" spans="2:2" ht="13.2" customHeight="1">
      <c r="B58" s="73"/>
    </row>
    <row r="59" spans="2:2" ht="13.2" customHeight="1">
      <c r="B59" s="73"/>
    </row>
    <row r="60" spans="2:2" ht="13.2" customHeight="1">
      <c r="B60" s="73"/>
    </row>
    <row r="61" spans="2:2" ht="13.2" customHeight="1">
      <c r="B61" s="73"/>
    </row>
    <row r="62" spans="2:2" ht="13.2" customHeight="1">
      <c r="B62" s="73"/>
    </row>
    <row r="63" spans="2:2" ht="13.2" customHeight="1">
      <c r="B63" s="73"/>
    </row>
    <row r="64" spans="2:2" ht="13.2" customHeight="1">
      <c r="B64" s="73"/>
    </row>
    <row r="65" spans="2:2" ht="13.2" customHeight="1">
      <c r="B65" s="73"/>
    </row>
    <row r="66" spans="2:2" ht="13.2" customHeight="1">
      <c r="B66" s="73"/>
    </row>
    <row r="67" spans="2:2" ht="13.2" customHeight="1">
      <c r="B67" s="73"/>
    </row>
    <row r="68" spans="2:2" ht="13.2" customHeight="1">
      <c r="B68" s="73"/>
    </row>
    <row r="69" spans="2:2" ht="13.2" customHeight="1">
      <c r="B69" s="73"/>
    </row>
    <row r="70" spans="2:2" ht="13.2" customHeight="1">
      <c r="B70" s="73"/>
    </row>
    <row r="71" spans="2:2" ht="13.2" customHeight="1">
      <c r="B71" s="73"/>
    </row>
    <row r="72" spans="2:2" ht="13.2" customHeight="1">
      <c r="B72" s="73"/>
    </row>
    <row r="73" spans="2:2" ht="13.2" customHeight="1">
      <c r="B73" s="73"/>
    </row>
    <row r="74" spans="2:2" ht="13.2" customHeight="1">
      <c r="B74" s="73"/>
    </row>
    <row r="75" spans="2:2" ht="13.2" customHeight="1">
      <c r="B75" s="73"/>
    </row>
    <row r="76" spans="2:2" ht="13.2" customHeight="1">
      <c r="B76" s="73"/>
    </row>
    <row r="77" spans="2:2" ht="13.2" customHeight="1">
      <c r="B77" s="73"/>
    </row>
    <row r="78" spans="2:2" ht="13.2" customHeight="1">
      <c r="B78" s="73"/>
    </row>
    <row r="79" spans="2:2" ht="13.2" customHeight="1">
      <c r="B79" s="73"/>
    </row>
    <row r="80" spans="2:2" ht="13.2" customHeight="1">
      <c r="B80" s="73"/>
    </row>
    <row r="81" spans="2:2" ht="13.2" customHeight="1">
      <c r="B81" s="73"/>
    </row>
    <row r="82" spans="2:2" ht="13.2" customHeight="1">
      <c r="B82" s="73"/>
    </row>
    <row r="83" spans="2:2" ht="13.2" customHeight="1">
      <c r="B83" s="73"/>
    </row>
    <row r="84" spans="2:2" ht="13.2" customHeight="1">
      <c r="B84" s="73"/>
    </row>
    <row r="85" spans="2:2" ht="13.2" customHeight="1">
      <c r="B85" s="73"/>
    </row>
    <row r="86" spans="2:2" ht="13.2" customHeight="1">
      <c r="B86" s="73"/>
    </row>
    <row r="87" spans="2:2" ht="13.2" customHeight="1">
      <c r="B87" s="73"/>
    </row>
    <row r="88" spans="2:2" ht="13.2" customHeight="1">
      <c r="B88" s="73"/>
    </row>
    <row r="89" spans="2:2" ht="13.2" customHeight="1">
      <c r="B89" s="73"/>
    </row>
    <row r="90" spans="2:2" ht="13.2" customHeight="1">
      <c r="B90" s="73"/>
    </row>
    <row r="91" spans="2:2" ht="13.2" customHeight="1">
      <c r="B91" s="73"/>
    </row>
    <row r="92" spans="2:2" ht="13.2" customHeight="1">
      <c r="B92" s="73"/>
    </row>
    <row r="93" spans="2:2" ht="13.2" customHeight="1">
      <c r="B93" s="73"/>
    </row>
    <row r="94" spans="2:2" ht="13.2" customHeight="1">
      <c r="B94" s="73"/>
    </row>
    <row r="95" spans="2:2" ht="13.2" customHeight="1">
      <c r="B95" s="73"/>
    </row>
    <row r="96" spans="2:2" ht="13.2" customHeight="1">
      <c r="B96" s="73"/>
    </row>
    <row r="97" spans="2:2" ht="13.2" customHeight="1">
      <c r="B97" s="73"/>
    </row>
    <row r="98" spans="2:2" ht="13.2" customHeight="1">
      <c r="B98" s="73"/>
    </row>
    <row r="99" spans="2:2" ht="13.2" customHeight="1">
      <c r="B99" s="73"/>
    </row>
    <row r="100" spans="2:2" ht="13.2" customHeight="1">
      <c r="B100" s="73"/>
    </row>
    <row r="101" spans="2:2" ht="13.2" customHeight="1">
      <c r="B101" s="73"/>
    </row>
    <row r="102" spans="2:2" ht="13.2" customHeight="1">
      <c r="B102" s="73"/>
    </row>
    <row r="103" spans="2:2" ht="13.2" customHeight="1">
      <c r="B103" s="73"/>
    </row>
    <row r="104" spans="2:2" ht="13.2" customHeight="1">
      <c r="B104" s="73"/>
    </row>
    <row r="105" spans="2:2" ht="13.2" customHeight="1">
      <c r="B105" s="73"/>
    </row>
    <row r="106" spans="2:2" ht="13.2" customHeight="1">
      <c r="B106" s="73"/>
    </row>
    <row r="107" spans="2:2" ht="13.2" customHeight="1">
      <c r="B107" s="73"/>
    </row>
    <row r="108" spans="2:2" ht="13.2" customHeight="1">
      <c r="B108" s="73"/>
    </row>
    <row r="109" spans="2:2" ht="13.2" customHeight="1">
      <c r="B109" s="73"/>
    </row>
    <row r="110" spans="2:2" ht="13.2" customHeight="1">
      <c r="B110" s="73"/>
    </row>
    <row r="111" spans="2:2" ht="13.2" customHeight="1">
      <c r="B111" s="73"/>
    </row>
    <row r="112" spans="2:2" ht="13.2" customHeight="1">
      <c r="B112" s="73"/>
    </row>
    <row r="113" spans="2:2" ht="13.2" customHeight="1">
      <c r="B113" s="73"/>
    </row>
    <row r="114" spans="2:2" ht="13.2" customHeight="1">
      <c r="B114" s="73"/>
    </row>
    <row r="115" spans="2:2" ht="13.2" customHeight="1">
      <c r="B115" s="73"/>
    </row>
    <row r="116" spans="2:2" ht="13.2" customHeight="1">
      <c r="B116" s="73"/>
    </row>
    <row r="117" spans="2:2" ht="13.2" customHeight="1">
      <c r="B117" s="73"/>
    </row>
    <row r="118" spans="2:2" ht="13.2" customHeight="1">
      <c r="B118" s="73"/>
    </row>
    <row r="119" spans="2:2" ht="13.2" customHeight="1">
      <c r="B119" s="73"/>
    </row>
    <row r="120" spans="2:2" ht="13.2" customHeight="1">
      <c r="B120" s="73"/>
    </row>
    <row r="121" spans="2:2" ht="13.2" customHeight="1">
      <c r="B121" s="73"/>
    </row>
    <row r="122" spans="2:2" ht="13.2" customHeight="1">
      <c r="B122" s="73"/>
    </row>
    <row r="123" spans="2:2" ht="13.2" customHeight="1">
      <c r="B123" s="73"/>
    </row>
    <row r="124" spans="2:2" ht="13.2" customHeight="1">
      <c r="B124" s="73"/>
    </row>
    <row r="125" spans="2:2" ht="13.2" customHeight="1">
      <c r="B125" s="73"/>
    </row>
    <row r="126" spans="2:2" ht="13.2" customHeight="1">
      <c r="B126" s="73"/>
    </row>
    <row r="127" spans="2:2" ht="13.2" customHeight="1">
      <c r="B127" s="73"/>
    </row>
    <row r="128" spans="2:2" ht="13.2" customHeight="1">
      <c r="B128" s="73"/>
    </row>
    <row r="129" spans="2:2" ht="13.2" customHeight="1">
      <c r="B129" s="73"/>
    </row>
    <row r="130" spans="2:2" ht="13.2" customHeight="1">
      <c r="B130" s="73"/>
    </row>
    <row r="131" spans="2:2" ht="13.2" customHeight="1">
      <c r="B131" s="73"/>
    </row>
    <row r="132" spans="2:2" ht="13.2" customHeight="1">
      <c r="B132" s="73"/>
    </row>
    <row r="133" spans="2:2" ht="13.2" customHeight="1">
      <c r="B133" s="73"/>
    </row>
    <row r="134" spans="2:2" ht="13.2" customHeight="1">
      <c r="B134" s="73"/>
    </row>
    <row r="135" spans="2:2" ht="13.2" customHeight="1">
      <c r="B135" s="73"/>
    </row>
    <row r="136" spans="2:2" ht="13.2" customHeight="1">
      <c r="B136" s="73"/>
    </row>
    <row r="137" spans="2:2" ht="13.2" customHeight="1">
      <c r="B137" s="73"/>
    </row>
    <row r="138" spans="2:2" ht="13.2" customHeight="1">
      <c r="B138" s="73"/>
    </row>
    <row r="139" spans="2:2" ht="13.2" customHeight="1">
      <c r="B139" s="73"/>
    </row>
    <row r="140" spans="2:2" ht="13.2" customHeight="1">
      <c r="B140" s="73"/>
    </row>
    <row r="141" spans="2:2" ht="13.2" customHeight="1">
      <c r="B141" s="73"/>
    </row>
    <row r="142" spans="2:2" ht="13.2" customHeight="1">
      <c r="B142" s="73"/>
    </row>
    <row r="143" spans="2:2" ht="13.2" customHeight="1">
      <c r="B143" s="73"/>
    </row>
    <row r="144" spans="2:2" ht="13.2" customHeight="1">
      <c r="B144" s="73"/>
    </row>
    <row r="145" spans="2:2" ht="13.2" customHeight="1">
      <c r="B145" s="73"/>
    </row>
    <row r="146" spans="2:2" ht="13.2" customHeight="1">
      <c r="B146" s="73"/>
    </row>
    <row r="147" spans="2:2" ht="13.2" customHeight="1">
      <c r="B147" s="73"/>
    </row>
    <row r="148" spans="2:2" ht="13.2" customHeight="1">
      <c r="B148" s="73"/>
    </row>
    <row r="149" spans="2:2" ht="13.2" customHeight="1">
      <c r="B149" s="73"/>
    </row>
    <row r="150" spans="2:2" ht="13.2" customHeight="1">
      <c r="B150" s="73"/>
    </row>
    <row r="151" spans="2:2" ht="13.2" customHeight="1">
      <c r="B151" s="73"/>
    </row>
    <row r="152" spans="2:2" ht="13.2" customHeight="1">
      <c r="B152" s="73"/>
    </row>
    <row r="153" spans="2:2" ht="13.2" customHeight="1">
      <c r="B153" s="73"/>
    </row>
    <row r="154" spans="2:2" ht="13.2" customHeight="1">
      <c r="B154" s="73"/>
    </row>
    <row r="155" spans="2:2" ht="13.2" customHeight="1">
      <c r="B155" s="73"/>
    </row>
    <row r="156" spans="2:2" ht="13.2" customHeight="1">
      <c r="B156" s="73"/>
    </row>
    <row r="157" spans="2:2" ht="13.2" customHeight="1">
      <c r="B157" s="73"/>
    </row>
    <row r="158" spans="2:2" ht="13.2" customHeight="1">
      <c r="B158" s="73"/>
    </row>
    <row r="159" spans="2:2" ht="13.2" customHeight="1">
      <c r="B159" s="73"/>
    </row>
    <row r="160" spans="2:2" ht="13.2" customHeight="1">
      <c r="B160" s="73"/>
    </row>
    <row r="161" spans="2:2" ht="13.2" customHeight="1">
      <c r="B161" s="73"/>
    </row>
    <row r="162" spans="2:2" ht="13.2" customHeight="1">
      <c r="B162" s="73"/>
    </row>
    <row r="163" spans="2:2" ht="13.2" customHeight="1">
      <c r="B163" s="73"/>
    </row>
    <row r="164" spans="2:2" ht="13.2" customHeight="1">
      <c r="B164" s="73"/>
    </row>
    <row r="165" spans="2:2" ht="13.2" customHeight="1">
      <c r="B165" s="73"/>
    </row>
    <row r="166" spans="2:2" ht="13.2" customHeight="1">
      <c r="B166" s="73"/>
    </row>
    <row r="167" spans="2:2" ht="13.2" customHeight="1">
      <c r="B167" s="73"/>
    </row>
    <row r="168" spans="2:2" ht="13.2" customHeight="1">
      <c r="B168" s="73"/>
    </row>
    <row r="169" spans="2:2" ht="13.2" customHeight="1">
      <c r="B169" s="73"/>
    </row>
    <row r="170" spans="2:2" ht="13.2" customHeight="1">
      <c r="B170" s="73"/>
    </row>
    <row r="171" spans="2:2" ht="13.2" customHeight="1">
      <c r="B171" s="73"/>
    </row>
    <row r="172" spans="2:2" ht="13.2" customHeight="1">
      <c r="B172" s="73"/>
    </row>
    <row r="173" spans="2:2" ht="13.2" customHeight="1">
      <c r="B173" s="73"/>
    </row>
    <row r="174" spans="2:2" ht="13.2" customHeight="1">
      <c r="B174" s="73"/>
    </row>
    <row r="175" spans="2:2" ht="13.2" customHeight="1">
      <c r="B175" s="73"/>
    </row>
    <row r="176" spans="2:2" ht="13.2" customHeight="1">
      <c r="B176" s="73"/>
    </row>
    <row r="177" spans="2:2" ht="13.2" customHeight="1">
      <c r="B177" s="73"/>
    </row>
    <row r="178" spans="2:2" ht="13.2" customHeight="1">
      <c r="B178" s="73"/>
    </row>
    <row r="179" spans="2:2" ht="13.2" customHeight="1">
      <c r="B179" s="73"/>
    </row>
    <row r="180" spans="2:2" ht="13.2" customHeight="1">
      <c r="B180" s="73"/>
    </row>
    <row r="181" spans="2:2" ht="13.2" customHeight="1">
      <c r="B181" s="73"/>
    </row>
    <row r="182" spans="2:2" ht="13.2" customHeight="1">
      <c r="B182" s="73"/>
    </row>
    <row r="183" spans="2:2" ht="13.2" customHeight="1">
      <c r="B183" s="73"/>
    </row>
    <row r="184" spans="2:2" ht="13.2" customHeight="1">
      <c r="B184" s="73"/>
    </row>
    <row r="185" spans="2:2" ht="13.2" customHeight="1">
      <c r="B185" s="73"/>
    </row>
    <row r="186" spans="2:2" ht="13.2" customHeight="1">
      <c r="B186" s="73"/>
    </row>
    <row r="187" spans="2:2" ht="13.2" customHeight="1">
      <c r="B187" s="73"/>
    </row>
    <row r="188" spans="2:2" ht="13.2" customHeight="1">
      <c r="B188" s="73"/>
    </row>
    <row r="189" spans="2:2" ht="13.2" customHeight="1">
      <c r="B189" s="73"/>
    </row>
    <row r="190" spans="2:2" ht="13.2" customHeight="1">
      <c r="B190" s="73"/>
    </row>
    <row r="191" spans="2:2" ht="13.2" customHeight="1">
      <c r="B191" s="73"/>
    </row>
    <row r="192" spans="2:2" ht="13.2" customHeight="1">
      <c r="B192" s="73"/>
    </row>
    <row r="193" spans="2:2" ht="13.2" customHeight="1">
      <c r="B193" s="73"/>
    </row>
    <row r="194" spans="2:2" ht="13.2" customHeight="1">
      <c r="B194" s="73"/>
    </row>
    <row r="195" spans="2:2" ht="13.2" customHeight="1">
      <c r="B195" s="73"/>
    </row>
    <row r="196" spans="2:2" ht="13.2" customHeight="1">
      <c r="B196" s="73"/>
    </row>
    <row r="197" spans="2:2" ht="13.2" customHeight="1">
      <c r="B197" s="73"/>
    </row>
    <row r="198" spans="2:2" ht="13.2" customHeight="1">
      <c r="B198" s="73"/>
    </row>
    <row r="199" spans="2:2" ht="13.2" customHeight="1">
      <c r="B199" s="73"/>
    </row>
    <row r="200" spans="2:2" ht="13.2" customHeight="1">
      <c r="B200" s="73"/>
    </row>
    <row r="201" spans="2:2" ht="13.2" customHeight="1">
      <c r="B201" s="73"/>
    </row>
    <row r="202" spans="2:2" ht="13.2" customHeight="1">
      <c r="B202" s="73"/>
    </row>
    <row r="203" spans="2:2" ht="13.2" customHeight="1">
      <c r="B203" s="73"/>
    </row>
    <row r="204" spans="2:2" ht="13.2" customHeight="1">
      <c r="B204" s="73"/>
    </row>
    <row r="205" spans="2:2" ht="13.2" customHeight="1">
      <c r="B205" s="73"/>
    </row>
    <row r="206" spans="2:2" ht="13.2" customHeight="1">
      <c r="B206" s="73"/>
    </row>
    <row r="207" spans="2:2" ht="13.2" customHeight="1">
      <c r="B207" s="73"/>
    </row>
    <row r="208" spans="2:2" ht="13.2" customHeight="1">
      <c r="B208" s="73"/>
    </row>
    <row r="209" spans="2:2" ht="13.2" customHeight="1">
      <c r="B209" s="73"/>
    </row>
    <row r="210" spans="2:2" ht="13.2" customHeight="1">
      <c r="B210" s="73"/>
    </row>
    <row r="211" spans="2:2" ht="13.2" customHeight="1">
      <c r="B211" s="73"/>
    </row>
    <row r="212" spans="2:2" ht="13.2" customHeight="1">
      <c r="B212" s="73"/>
    </row>
    <row r="213" spans="2:2" ht="13.2" customHeight="1">
      <c r="B213" s="73"/>
    </row>
    <row r="214" spans="2:2" ht="13.2" customHeight="1">
      <c r="B214" s="73"/>
    </row>
    <row r="215" spans="2:2" ht="13.2" customHeight="1">
      <c r="B215" s="73"/>
    </row>
    <row r="216" spans="2:2" ht="13.2" customHeight="1">
      <c r="B216" s="73"/>
    </row>
    <row r="217" spans="2:2" ht="13.2" customHeight="1">
      <c r="B217" s="73"/>
    </row>
    <row r="218" spans="2:2" ht="13.2" customHeight="1">
      <c r="B218" s="73"/>
    </row>
    <row r="219" spans="2:2" ht="13.2" customHeight="1">
      <c r="B219" s="73"/>
    </row>
    <row r="220" spans="2:2" ht="13.2" customHeight="1">
      <c r="B220" s="73"/>
    </row>
    <row r="221" spans="2:2" ht="13.2" customHeight="1">
      <c r="B221" s="73"/>
    </row>
    <row r="222" spans="2:2" ht="13.2" customHeight="1">
      <c r="B222" s="73"/>
    </row>
    <row r="223" spans="2:2" ht="13.2" customHeight="1">
      <c r="B223" s="73"/>
    </row>
    <row r="224" spans="2:2" ht="13.2" customHeight="1">
      <c r="B224" s="73"/>
    </row>
    <row r="225" spans="2:2" ht="13.2" customHeight="1">
      <c r="B225" s="73"/>
    </row>
    <row r="226" spans="2:2" ht="13.2" customHeight="1">
      <c r="B226" s="73"/>
    </row>
    <row r="227" spans="2:2" ht="13.2" customHeight="1">
      <c r="B227" s="73"/>
    </row>
    <row r="228" spans="2:2" ht="13.2" customHeight="1">
      <c r="B228" s="73"/>
    </row>
    <row r="229" spans="2:2" ht="13.2" customHeight="1">
      <c r="B229" s="73"/>
    </row>
    <row r="230" spans="2:2" ht="13.2" customHeight="1">
      <c r="B230" s="73"/>
    </row>
    <row r="231" spans="2:2" ht="13.2" customHeight="1">
      <c r="B231" s="73"/>
    </row>
    <row r="232" spans="2:2" ht="13.2" customHeight="1">
      <c r="B232" s="73"/>
    </row>
    <row r="233" spans="2:2" ht="13.2" customHeight="1">
      <c r="B233" s="73"/>
    </row>
    <row r="234" spans="2:2" ht="13.2" customHeight="1">
      <c r="B234" s="73"/>
    </row>
    <row r="235" spans="2:2" ht="13.2" customHeight="1">
      <c r="B235" s="73"/>
    </row>
    <row r="236" spans="2:2" ht="13.2" customHeight="1">
      <c r="B236" s="73"/>
    </row>
    <row r="237" spans="2:2" ht="13.2" customHeight="1">
      <c r="B237" s="73"/>
    </row>
    <row r="238" spans="2:2" ht="13.2" customHeight="1">
      <c r="B238" s="73"/>
    </row>
    <row r="239" spans="2:2" ht="13.2" customHeight="1">
      <c r="B239" s="73"/>
    </row>
    <row r="240" spans="2:2" ht="13.2" customHeight="1">
      <c r="B240" s="73"/>
    </row>
    <row r="241" spans="2:2" ht="13.2" customHeight="1">
      <c r="B241" s="73"/>
    </row>
    <row r="242" spans="2:2" ht="13.2" customHeight="1">
      <c r="B242" s="73"/>
    </row>
    <row r="243" spans="2:2" ht="13.2" customHeight="1">
      <c r="B243" s="73"/>
    </row>
    <row r="244" spans="2:2" ht="13.2" customHeight="1">
      <c r="B244" s="73"/>
    </row>
    <row r="245" spans="2:2" ht="13.2" customHeight="1">
      <c r="B245" s="73"/>
    </row>
    <row r="246" spans="2:2" ht="13.2" customHeight="1">
      <c r="B246" s="73"/>
    </row>
    <row r="247" spans="2:2" ht="13.2" customHeight="1">
      <c r="B247" s="73"/>
    </row>
    <row r="248" spans="2:2" ht="13.2" customHeight="1">
      <c r="B248" s="73"/>
    </row>
    <row r="249" spans="2:2" ht="13.2" customHeight="1">
      <c r="B249" s="73"/>
    </row>
    <row r="250" spans="2:2" ht="13.2" customHeight="1">
      <c r="B250" s="73"/>
    </row>
    <row r="251" spans="2:2" ht="13.2" customHeight="1">
      <c r="B251" s="73"/>
    </row>
    <row r="252" spans="2:2" ht="13.2" customHeight="1">
      <c r="B252" s="73"/>
    </row>
    <row r="253" spans="2:2" ht="13.2" customHeight="1">
      <c r="B253" s="73"/>
    </row>
    <row r="254" spans="2:2" ht="13.2" customHeight="1">
      <c r="B254" s="73"/>
    </row>
    <row r="255" spans="2:2" ht="13.2" customHeight="1">
      <c r="B255" s="73"/>
    </row>
    <row r="256" spans="2:2" ht="13.2" customHeight="1">
      <c r="B256" s="73"/>
    </row>
    <row r="257" spans="2:2" ht="13.2" customHeight="1">
      <c r="B257" s="73"/>
    </row>
    <row r="258" spans="2:2" ht="13.2" customHeight="1">
      <c r="B258" s="73"/>
    </row>
    <row r="259" spans="2:2" ht="13.2" customHeight="1">
      <c r="B259" s="73"/>
    </row>
    <row r="260" spans="2:2" ht="13.2" customHeight="1">
      <c r="B260" s="73"/>
    </row>
    <row r="261" spans="2:2" ht="13.2" customHeight="1">
      <c r="B261" s="73"/>
    </row>
    <row r="262" spans="2:2" ht="13.2" customHeight="1">
      <c r="B262" s="73"/>
    </row>
    <row r="263" spans="2:2" ht="13.2" customHeight="1">
      <c r="B263" s="73"/>
    </row>
    <row r="264" spans="2:2" ht="13.2" customHeight="1">
      <c r="B264" s="73"/>
    </row>
    <row r="265" spans="2:2" ht="13.2" customHeight="1">
      <c r="B265" s="73"/>
    </row>
    <row r="266" spans="2:2" ht="13.2" customHeight="1">
      <c r="B266" s="73"/>
    </row>
    <row r="267" spans="2:2" ht="13.2" customHeight="1">
      <c r="B267" s="73"/>
    </row>
    <row r="268" spans="2:2" ht="13.2" customHeight="1">
      <c r="B268" s="73"/>
    </row>
    <row r="269" spans="2:2" ht="13.2" customHeight="1">
      <c r="B269" s="73"/>
    </row>
    <row r="270" spans="2:2" ht="13.2" customHeight="1">
      <c r="B270" s="73"/>
    </row>
    <row r="271" spans="2:2" ht="13.2" customHeight="1">
      <c r="B271" s="73"/>
    </row>
    <row r="272" spans="2:2" ht="13.2" customHeight="1">
      <c r="B272" s="73"/>
    </row>
    <row r="273" spans="2:2" ht="13.2" customHeight="1">
      <c r="B273" s="73"/>
    </row>
    <row r="274" spans="2:2" ht="13.2" customHeight="1">
      <c r="B274" s="73"/>
    </row>
    <row r="275" spans="2:2" ht="13.2" customHeight="1">
      <c r="B275" s="73"/>
    </row>
    <row r="276" spans="2:2" ht="13.2" customHeight="1">
      <c r="B276" s="73"/>
    </row>
    <row r="277" spans="2:2" ht="13.2" customHeight="1">
      <c r="B277" s="73"/>
    </row>
    <row r="278" spans="2:2" ht="13.2" customHeight="1">
      <c r="B278" s="73"/>
    </row>
    <row r="279" spans="2:2" ht="13.2" customHeight="1">
      <c r="B279" s="73"/>
    </row>
    <row r="280" spans="2:2" ht="13.2" customHeight="1">
      <c r="B280" s="73"/>
    </row>
    <row r="281" spans="2:2" ht="13.2" customHeight="1">
      <c r="B281" s="73"/>
    </row>
    <row r="282" spans="2:2" ht="13.2" customHeight="1">
      <c r="B282" s="73"/>
    </row>
    <row r="283" spans="2:2" ht="13.2" customHeight="1">
      <c r="B283" s="73"/>
    </row>
    <row r="284" spans="2:2" ht="13.2" customHeight="1">
      <c r="B284" s="73"/>
    </row>
    <row r="285" spans="2:2" ht="13.2" customHeight="1">
      <c r="B285" s="73"/>
    </row>
    <row r="286" spans="2:2" ht="13.2" customHeight="1">
      <c r="B286" s="73"/>
    </row>
    <row r="287" spans="2:2" ht="13.2" customHeight="1">
      <c r="B287" s="73"/>
    </row>
    <row r="288" spans="2:2" ht="13.2" customHeight="1">
      <c r="B288" s="73"/>
    </row>
    <row r="289" spans="2:2" ht="13.2" customHeight="1">
      <c r="B289" s="73"/>
    </row>
    <row r="290" spans="2:2" ht="13.2" customHeight="1">
      <c r="B290" s="73"/>
    </row>
    <row r="291" spans="2:2" ht="13.2" customHeight="1">
      <c r="B291" s="73"/>
    </row>
    <row r="292" spans="2:2" ht="13.2" customHeight="1">
      <c r="B292" s="73"/>
    </row>
    <row r="293" spans="2:2" ht="13.2" customHeight="1">
      <c r="B293" s="73"/>
    </row>
    <row r="294" spans="2:2" ht="13.2" customHeight="1">
      <c r="B294" s="73"/>
    </row>
    <row r="295" spans="2:2" ht="13.2" customHeight="1">
      <c r="B295" s="73"/>
    </row>
    <row r="296" spans="2:2" ht="13.2" customHeight="1">
      <c r="B296" s="73"/>
    </row>
    <row r="297" spans="2:2" ht="13.2" customHeight="1">
      <c r="B297" s="73"/>
    </row>
    <row r="298" spans="2:2" ht="13.2" customHeight="1">
      <c r="B298" s="73"/>
    </row>
    <row r="299" spans="2:2" ht="13.2" customHeight="1">
      <c r="B299" s="73"/>
    </row>
    <row r="300" spans="2:2" ht="13.2" customHeight="1">
      <c r="B300" s="73"/>
    </row>
    <row r="301" spans="2:2" ht="13.2" customHeight="1">
      <c r="B301" s="73"/>
    </row>
    <row r="302" spans="2:2" ht="13.2" customHeight="1">
      <c r="B302" s="73"/>
    </row>
    <row r="303" spans="2:2" ht="13.2" customHeight="1">
      <c r="B303" s="73"/>
    </row>
    <row r="304" spans="2:2" ht="13.2" customHeight="1">
      <c r="B304" s="73"/>
    </row>
    <row r="305" spans="2:2" ht="13.2" customHeight="1">
      <c r="B305" s="73"/>
    </row>
    <row r="306" spans="2:2" ht="13.2" customHeight="1">
      <c r="B306" s="73"/>
    </row>
    <row r="307" spans="2:2" ht="13.2" customHeight="1">
      <c r="B307" s="73"/>
    </row>
    <row r="308" spans="2:2" ht="13.2" customHeight="1">
      <c r="B308" s="73"/>
    </row>
    <row r="309" spans="2:2" ht="13.2" customHeight="1">
      <c r="B309" s="73"/>
    </row>
    <row r="310" spans="2:2" ht="13.2" customHeight="1">
      <c r="B310" s="73"/>
    </row>
    <row r="311" spans="2:2" ht="13.2" customHeight="1">
      <c r="B311" s="73"/>
    </row>
    <row r="312" spans="2:2" ht="13.2" customHeight="1">
      <c r="B312" s="73"/>
    </row>
    <row r="313" spans="2:2" ht="13.2" customHeight="1">
      <c r="B313" s="73"/>
    </row>
    <row r="314" spans="2:2" ht="13.2" customHeight="1">
      <c r="B314" s="73"/>
    </row>
    <row r="315" spans="2:2" ht="13.2" customHeight="1">
      <c r="B315" s="73"/>
    </row>
    <row r="316" spans="2:2" ht="13.2" customHeight="1">
      <c r="B316" s="73"/>
    </row>
    <row r="317" spans="2:2" ht="13.2" customHeight="1">
      <c r="B317" s="73"/>
    </row>
    <row r="318" spans="2:2" ht="13.2" customHeight="1">
      <c r="B318" s="73"/>
    </row>
    <row r="319" spans="2:2" ht="13.2" customHeight="1">
      <c r="B319" s="73"/>
    </row>
    <row r="320" spans="2:2" ht="13.2" customHeight="1">
      <c r="B320" s="73"/>
    </row>
    <row r="321" spans="2:2" ht="13.2" customHeight="1">
      <c r="B321" s="73"/>
    </row>
    <row r="322" spans="2:2" ht="13.2" customHeight="1">
      <c r="B322" s="73"/>
    </row>
    <row r="323" spans="2:2" ht="13.2" customHeight="1">
      <c r="B323" s="73"/>
    </row>
    <row r="324" spans="2:2" ht="13.2" customHeight="1">
      <c r="B324" s="73"/>
    </row>
    <row r="325" spans="2:2" ht="13.2" customHeight="1">
      <c r="B325" s="73"/>
    </row>
    <row r="326" spans="2:2" ht="13.2" customHeight="1">
      <c r="B326" s="73"/>
    </row>
    <row r="327" spans="2:2" ht="13.2" customHeight="1">
      <c r="B327" s="73"/>
    </row>
    <row r="328" spans="2:2" ht="13.2" customHeight="1">
      <c r="B328" s="73"/>
    </row>
    <row r="329" spans="2:2" ht="13.2" customHeight="1">
      <c r="B329" s="73"/>
    </row>
    <row r="330" spans="2:2" ht="13.2" customHeight="1">
      <c r="B330" s="73"/>
    </row>
    <row r="331" spans="2:2" ht="13.2" customHeight="1">
      <c r="B331" s="73"/>
    </row>
    <row r="332" spans="2:2" ht="13.2" customHeight="1">
      <c r="B332" s="73"/>
    </row>
    <row r="333" spans="2:2" ht="13.2" customHeight="1">
      <c r="B333" s="73"/>
    </row>
    <row r="334" spans="2:2" ht="13.2" customHeight="1">
      <c r="B334" s="73"/>
    </row>
    <row r="335" spans="2:2" ht="13.2" customHeight="1">
      <c r="B335" s="73"/>
    </row>
    <row r="336" spans="2:2" ht="13.2" customHeight="1">
      <c r="B336" s="73"/>
    </row>
    <row r="337" spans="2:2" ht="13.2" customHeight="1">
      <c r="B337" s="73"/>
    </row>
    <row r="338" spans="2:2" ht="13.2" customHeight="1">
      <c r="B338" s="73"/>
    </row>
    <row r="339" spans="2:2" ht="13.2" customHeight="1">
      <c r="B339" s="73"/>
    </row>
    <row r="340" spans="2:2" ht="13.2" customHeight="1">
      <c r="B340" s="73"/>
    </row>
    <row r="341" spans="2:2" ht="13.2" customHeight="1">
      <c r="B341" s="73"/>
    </row>
    <row r="342" spans="2:2" ht="13.2" customHeight="1">
      <c r="B342" s="73"/>
    </row>
    <row r="343" spans="2:2" ht="13.2" customHeight="1">
      <c r="B343" s="73"/>
    </row>
    <row r="344" spans="2:2" ht="13.2" customHeight="1">
      <c r="B344" s="73"/>
    </row>
    <row r="345" spans="2:2" ht="13.2" customHeight="1">
      <c r="B345" s="73"/>
    </row>
    <row r="346" spans="2:2" ht="13.2" customHeight="1">
      <c r="B346" s="73"/>
    </row>
    <row r="347" spans="2:2" ht="13.2" customHeight="1">
      <c r="B347" s="73"/>
    </row>
    <row r="348" spans="2:2" ht="13.2" customHeight="1">
      <c r="B348" s="73"/>
    </row>
    <row r="349" spans="2:2" ht="13.2" customHeight="1">
      <c r="B349" s="73"/>
    </row>
    <row r="350" spans="2:2" ht="13.2" customHeight="1">
      <c r="B350" s="73"/>
    </row>
    <row r="351" spans="2:2" ht="13.2" customHeight="1">
      <c r="B351" s="73"/>
    </row>
    <row r="352" spans="2:2" ht="13.2" customHeight="1">
      <c r="B352" s="73"/>
    </row>
    <row r="353" spans="2:2" ht="13.2" customHeight="1">
      <c r="B353" s="73"/>
    </row>
    <row r="354" spans="2:2" ht="13.2" customHeight="1">
      <c r="B354" s="73"/>
    </row>
    <row r="355" spans="2:2" ht="13.2" customHeight="1">
      <c r="B355" s="73"/>
    </row>
    <row r="356" spans="2:2" ht="13.2" customHeight="1">
      <c r="B356" s="73"/>
    </row>
    <row r="357" spans="2:2" ht="13.2" customHeight="1">
      <c r="B357" s="73"/>
    </row>
    <row r="358" spans="2:2" ht="13.2" customHeight="1">
      <c r="B358" s="73"/>
    </row>
    <row r="359" spans="2:2" ht="13.2" customHeight="1">
      <c r="B359" s="73"/>
    </row>
    <row r="360" spans="2:2" ht="13.2" customHeight="1">
      <c r="B360" s="73"/>
    </row>
    <row r="361" spans="2:2" ht="13.2" customHeight="1">
      <c r="B361" s="73"/>
    </row>
    <row r="362" spans="2:2" ht="13.2" customHeight="1">
      <c r="B362" s="73"/>
    </row>
    <row r="363" spans="2:2" ht="13.2" customHeight="1">
      <c r="B363" s="73"/>
    </row>
    <row r="364" spans="2:2" ht="13.2" customHeight="1">
      <c r="B364" s="73"/>
    </row>
    <row r="365" spans="2:2" ht="13.2" customHeight="1">
      <c r="B365" s="73"/>
    </row>
    <row r="366" spans="2:2" ht="13.2" customHeight="1">
      <c r="B366" s="73"/>
    </row>
    <row r="367" spans="2:2" ht="13.2" customHeight="1">
      <c r="B367" s="73"/>
    </row>
    <row r="368" spans="2:2" ht="13.2" customHeight="1">
      <c r="B368" s="73"/>
    </row>
    <row r="369" spans="2:2" ht="13.2" customHeight="1">
      <c r="B369" s="73"/>
    </row>
    <row r="370" spans="2:2" ht="13.2" customHeight="1">
      <c r="B370" s="73"/>
    </row>
    <row r="371" spans="2:2" ht="13.2" customHeight="1">
      <c r="B371" s="73"/>
    </row>
    <row r="372" spans="2:2" ht="13.2" customHeight="1">
      <c r="B372" s="73"/>
    </row>
    <row r="373" spans="2:2" ht="13.2" customHeight="1">
      <c r="B373" s="73"/>
    </row>
    <row r="374" spans="2:2" ht="13.2" customHeight="1">
      <c r="B374" s="73"/>
    </row>
    <row r="375" spans="2:2" ht="13.2" customHeight="1">
      <c r="B375" s="73"/>
    </row>
    <row r="376" spans="2:2" ht="13.2" customHeight="1">
      <c r="B376" s="73"/>
    </row>
    <row r="377" spans="2:2" ht="13.2" customHeight="1">
      <c r="B377" s="73"/>
    </row>
    <row r="378" spans="2:2" ht="13.2" customHeight="1">
      <c r="B378" s="73"/>
    </row>
    <row r="379" spans="2:2" ht="13.2" customHeight="1">
      <c r="B379" s="73"/>
    </row>
    <row r="380" spans="2:2" ht="13.2" customHeight="1">
      <c r="B380" s="73"/>
    </row>
    <row r="381" spans="2:2" ht="13.2" customHeight="1">
      <c r="B381" s="73"/>
    </row>
    <row r="382" spans="2:2" ht="13.2" customHeight="1">
      <c r="B382" s="73"/>
    </row>
    <row r="383" spans="2:2" ht="13.2" customHeight="1">
      <c r="B383" s="73"/>
    </row>
    <row r="384" spans="2:2" ht="13.2" customHeight="1">
      <c r="B384" s="73"/>
    </row>
    <row r="385" spans="2:2" ht="13.2" customHeight="1">
      <c r="B385" s="73"/>
    </row>
    <row r="386" spans="2:2" ht="13.2" customHeight="1">
      <c r="B386" s="73"/>
    </row>
    <row r="387" spans="2:2" ht="13.2" customHeight="1">
      <c r="B387" s="73"/>
    </row>
    <row r="388" spans="2:2" ht="13.2" customHeight="1">
      <c r="B388" s="73"/>
    </row>
    <row r="389" spans="2:2" ht="13.2" customHeight="1">
      <c r="B389" s="73"/>
    </row>
    <row r="390" spans="2:2" ht="13.2" customHeight="1">
      <c r="B390" s="73"/>
    </row>
    <row r="391" spans="2:2" ht="13.2" customHeight="1">
      <c r="B391" s="73"/>
    </row>
    <row r="392" spans="2:2" ht="13.2" customHeight="1">
      <c r="B392" s="73"/>
    </row>
    <row r="393" spans="2:2" ht="13.2" customHeight="1">
      <c r="B393" s="73"/>
    </row>
    <row r="394" spans="2:2" ht="13.2" customHeight="1">
      <c r="B394" s="73"/>
    </row>
    <row r="395" spans="2:2" ht="13.2" customHeight="1">
      <c r="B395" s="73"/>
    </row>
    <row r="396" spans="2:2" ht="13.2" customHeight="1">
      <c r="B396" s="73"/>
    </row>
    <row r="397" spans="2:2" ht="13.2" customHeight="1">
      <c r="B397" s="73"/>
    </row>
    <row r="398" spans="2:2" ht="13.2" customHeight="1">
      <c r="B398" s="73"/>
    </row>
    <row r="399" spans="2:2" ht="13.2" customHeight="1">
      <c r="B399" s="73"/>
    </row>
    <row r="400" spans="2:2" ht="13.2" customHeight="1">
      <c r="B400" s="73"/>
    </row>
    <row r="401" spans="2:2" ht="13.2" customHeight="1">
      <c r="B401" s="73"/>
    </row>
    <row r="402" spans="2:2" ht="13.2" customHeight="1">
      <c r="B402" s="73"/>
    </row>
    <row r="403" spans="2:2" ht="13.2" customHeight="1">
      <c r="B403" s="73"/>
    </row>
    <row r="404" spans="2:2" ht="13.2" customHeight="1">
      <c r="B404" s="73"/>
    </row>
    <row r="405" spans="2:2" ht="13.2" customHeight="1">
      <c r="B405" s="73"/>
    </row>
    <row r="406" spans="2:2" ht="13.2" customHeight="1">
      <c r="B406" s="73"/>
    </row>
    <row r="407" spans="2:2" ht="13.2" customHeight="1">
      <c r="B407" s="73"/>
    </row>
    <row r="408" spans="2:2" ht="13.2" customHeight="1">
      <c r="B408" s="73"/>
    </row>
    <row r="409" spans="2:2" ht="13.2" customHeight="1">
      <c r="B409" s="73"/>
    </row>
    <row r="410" spans="2:2" ht="13.2" customHeight="1">
      <c r="B410" s="73"/>
    </row>
    <row r="411" spans="2:2" ht="13.2" customHeight="1">
      <c r="B411" s="73"/>
    </row>
    <row r="412" spans="2:2" ht="13.2" customHeight="1">
      <c r="B412" s="73"/>
    </row>
    <row r="413" spans="2:2" ht="13.2" customHeight="1">
      <c r="B413" s="73"/>
    </row>
    <row r="414" spans="2:2" ht="13.2" customHeight="1">
      <c r="B414" s="73"/>
    </row>
    <row r="415" spans="2:2" ht="13.2" customHeight="1">
      <c r="B415" s="73"/>
    </row>
    <row r="416" spans="2:2" ht="13.2" customHeight="1">
      <c r="B416" s="73"/>
    </row>
    <row r="417" spans="2:2" ht="13.2" customHeight="1">
      <c r="B417" s="73"/>
    </row>
    <row r="418" spans="2:2" ht="13.2" customHeight="1">
      <c r="B418" s="73"/>
    </row>
    <row r="419" spans="2:2" ht="13.2" customHeight="1">
      <c r="B419" s="73"/>
    </row>
    <row r="420" spans="2:2" ht="13.2" customHeight="1">
      <c r="B420" s="73"/>
    </row>
    <row r="421" spans="2:2" ht="13.2" customHeight="1">
      <c r="B421" s="73"/>
    </row>
    <row r="422" spans="2:2" ht="13.2" customHeight="1">
      <c r="B422" s="73"/>
    </row>
    <row r="423" spans="2:2" ht="13.2" customHeight="1">
      <c r="B423" s="73"/>
    </row>
    <row r="424" spans="2:2" ht="13.2" customHeight="1">
      <c r="B424" s="73"/>
    </row>
    <row r="425" spans="2:2" ht="13.2" customHeight="1">
      <c r="B425" s="73"/>
    </row>
    <row r="426" spans="2:2" ht="13.2" customHeight="1">
      <c r="B426" s="73"/>
    </row>
    <row r="427" spans="2:2" ht="13.2" customHeight="1">
      <c r="B427" s="73"/>
    </row>
    <row r="428" spans="2:2" ht="13.2" customHeight="1">
      <c r="B428" s="73"/>
    </row>
    <row r="429" spans="2:2" ht="13.2" customHeight="1">
      <c r="B429" s="73"/>
    </row>
    <row r="430" spans="2:2" ht="13.2" customHeight="1">
      <c r="B430" s="73"/>
    </row>
    <row r="431" spans="2:2" ht="13.2" customHeight="1">
      <c r="B431" s="73"/>
    </row>
    <row r="432" spans="2:2" ht="13.2" customHeight="1">
      <c r="B432" s="73"/>
    </row>
    <row r="433" spans="2:2" ht="13.2" customHeight="1">
      <c r="B433" s="73"/>
    </row>
    <row r="434" spans="2:2" ht="13.2" customHeight="1">
      <c r="B434" s="73"/>
    </row>
    <row r="435" spans="2:2" ht="13.2" customHeight="1">
      <c r="B435" s="73"/>
    </row>
    <row r="436" spans="2:2" ht="13.2" customHeight="1">
      <c r="B436" s="73"/>
    </row>
    <row r="437" spans="2:2" ht="13.2" customHeight="1">
      <c r="B437" s="73"/>
    </row>
    <row r="438" spans="2:2" ht="13.2" customHeight="1">
      <c r="B438" s="73"/>
    </row>
    <row r="439" spans="2:2" ht="13.2" customHeight="1">
      <c r="B439" s="73"/>
    </row>
    <row r="440" spans="2:2" ht="13.2" customHeight="1">
      <c r="B440" s="73"/>
    </row>
    <row r="441" spans="2:2" ht="13.2" customHeight="1">
      <c r="B441" s="73"/>
    </row>
    <row r="442" spans="2:2" ht="13.2" customHeight="1">
      <c r="B442" s="73"/>
    </row>
    <row r="443" spans="2:2" ht="13.2" customHeight="1">
      <c r="B443" s="73"/>
    </row>
    <row r="444" spans="2:2" ht="13.2" customHeight="1">
      <c r="B444" s="73"/>
    </row>
    <row r="445" spans="2:2" ht="13.2" customHeight="1">
      <c r="B445" s="73"/>
    </row>
    <row r="446" spans="2:2" ht="13.2" customHeight="1">
      <c r="B446" s="73"/>
    </row>
    <row r="447" spans="2:2" ht="13.2" customHeight="1">
      <c r="B447" s="73"/>
    </row>
    <row r="448" spans="2:2" ht="13.2" customHeight="1">
      <c r="B448" s="73"/>
    </row>
    <row r="449" spans="2:2" ht="13.2" customHeight="1">
      <c r="B449" s="73"/>
    </row>
    <row r="450" spans="2:2" ht="13.2" customHeight="1">
      <c r="B450" s="73"/>
    </row>
    <row r="451" spans="2:2" ht="13.2" customHeight="1">
      <c r="B451" s="73"/>
    </row>
    <row r="452" spans="2:2" ht="13.2" customHeight="1">
      <c r="B452" s="73"/>
    </row>
    <row r="453" spans="2:2" ht="13.2" customHeight="1">
      <c r="B453" s="73"/>
    </row>
    <row r="454" spans="2:2" ht="13.2" customHeight="1">
      <c r="B454" s="73"/>
    </row>
    <row r="455" spans="2:2" ht="13.2" customHeight="1">
      <c r="B455" s="73"/>
    </row>
    <row r="456" spans="2:2" ht="13.2" customHeight="1">
      <c r="B456" s="73"/>
    </row>
    <row r="457" spans="2:2" ht="13.2" customHeight="1">
      <c r="B457" s="73"/>
    </row>
    <row r="458" spans="2:2" ht="13.2" customHeight="1">
      <c r="B458" s="73"/>
    </row>
    <row r="459" spans="2:2" ht="13.2" customHeight="1">
      <c r="B459" s="73"/>
    </row>
    <row r="460" spans="2:2" ht="13.2" customHeight="1">
      <c r="B460" s="73"/>
    </row>
    <row r="461" spans="2:2" ht="13.2" customHeight="1">
      <c r="B461" s="73"/>
    </row>
    <row r="462" spans="2:2" ht="13.2" customHeight="1">
      <c r="B462" s="73"/>
    </row>
    <row r="463" spans="2:2" ht="13.2" customHeight="1">
      <c r="B463" s="73"/>
    </row>
    <row r="464" spans="2:2" ht="13.2" customHeight="1">
      <c r="B464" s="73"/>
    </row>
    <row r="465" spans="2:2" ht="13.2" customHeight="1">
      <c r="B465" s="73"/>
    </row>
    <row r="466" spans="2:2" ht="13.2" customHeight="1">
      <c r="B466" s="73"/>
    </row>
    <row r="467" spans="2:2" ht="13.2" customHeight="1">
      <c r="B467" s="73"/>
    </row>
    <row r="468" spans="2:2" ht="13.2" customHeight="1">
      <c r="B468" s="73"/>
    </row>
    <row r="469" spans="2:2" ht="13.2" customHeight="1">
      <c r="B469" s="73"/>
    </row>
    <row r="470" spans="2:2" ht="13.2" customHeight="1">
      <c r="B470" s="73"/>
    </row>
    <row r="471" spans="2:2" ht="13.2" customHeight="1">
      <c r="B471" s="73"/>
    </row>
    <row r="472" spans="2:2" ht="13.2" customHeight="1">
      <c r="B472" s="73"/>
    </row>
    <row r="473" spans="2:2" ht="13.2" customHeight="1">
      <c r="B473" s="73"/>
    </row>
    <row r="474" spans="2:2" ht="13.2" customHeight="1">
      <c r="B474" s="73"/>
    </row>
    <row r="475" spans="2:2" ht="13.2" customHeight="1">
      <c r="B475" s="73"/>
    </row>
    <row r="476" spans="2:2" ht="13.2" customHeight="1">
      <c r="B476" s="73"/>
    </row>
    <row r="477" spans="2:2" ht="13.2" customHeight="1">
      <c r="B477" s="73"/>
    </row>
    <row r="478" spans="2:2" ht="13.2" customHeight="1">
      <c r="B478" s="73"/>
    </row>
    <row r="479" spans="2:2" ht="13.2" customHeight="1">
      <c r="B479" s="73"/>
    </row>
    <row r="480" spans="2:2" ht="13.2" customHeight="1">
      <c r="B480" s="73"/>
    </row>
    <row r="481" spans="2:2" ht="13.2" customHeight="1">
      <c r="B481" s="73"/>
    </row>
    <row r="482" spans="2:2" ht="13.2" customHeight="1">
      <c r="B482" s="73"/>
    </row>
    <row r="483" spans="2:2" ht="13.2" customHeight="1">
      <c r="B483" s="73"/>
    </row>
    <row r="484" spans="2:2" ht="13.2" customHeight="1">
      <c r="B484" s="73"/>
    </row>
    <row r="485" spans="2:2" ht="13.2" customHeight="1">
      <c r="B485" s="73"/>
    </row>
    <row r="486" spans="2:2" ht="13.2" customHeight="1">
      <c r="B486" s="73"/>
    </row>
    <row r="487" spans="2:2" ht="13.2" customHeight="1">
      <c r="B487" s="73"/>
    </row>
    <row r="488" spans="2:2" ht="13.2" customHeight="1">
      <c r="B488" s="73"/>
    </row>
    <row r="489" spans="2:2" ht="13.2" customHeight="1">
      <c r="B489" s="73"/>
    </row>
    <row r="490" spans="2:2" ht="13.2" customHeight="1">
      <c r="B490" s="73"/>
    </row>
    <row r="491" spans="2:2" ht="13.2" customHeight="1">
      <c r="B491" s="73"/>
    </row>
    <row r="492" spans="2:2" ht="13.2" customHeight="1">
      <c r="B492" s="73"/>
    </row>
    <row r="493" spans="2:2" ht="13.2" customHeight="1">
      <c r="B493" s="73"/>
    </row>
    <row r="494" spans="2:2" ht="13.2" customHeight="1">
      <c r="B494" s="73"/>
    </row>
    <row r="495" spans="2:2" ht="13.2" customHeight="1">
      <c r="B495" s="73"/>
    </row>
    <row r="496" spans="2:2" ht="13.2" customHeight="1">
      <c r="B496" s="73"/>
    </row>
    <row r="497" spans="2:2" ht="13.2" customHeight="1">
      <c r="B497" s="73"/>
    </row>
    <row r="498" spans="2:2" ht="13.2" customHeight="1">
      <c r="B498" s="73"/>
    </row>
    <row r="499" spans="2:2" ht="13.2" customHeight="1">
      <c r="B499" s="73"/>
    </row>
    <row r="500" spans="2:2" ht="13.2" customHeight="1">
      <c r="B500" s="73"/>
    </row>
    <row r="501" spans="2:2" ht="13.2" customHeight="1">
      <c r="B501" s="73"/>
    </row>
    <row r="502" spans="2:2" ht="13.2" customHeight="1">
      <c r="B502" s="73"/>
    </row>
    <row r="503" spans="2:2" ht="13.2" customHeight="1">
      <c r="B503" s="73"/>
    </row>
    <row r="504" spans="2:2" ht="13.2" customHeight="1">
      <c r="B504" s="73"/>
    </row>
    <row r="505" spans="2:2" ht="13.2" customHeight="1">
      <c r="B505" s="73"/>
    </row>
    <row r="506" spans="2:2" ht="13.2" customHeight="1">
      <c r="B506" s="73"/>
    </row>
    <row r="507" spans="2:2" ht="13.2" customHeight="1">
      <c r="B507" s="73"/>
    </row>
    <row r="508" spans="2:2" ht="13.2" customHeight="1">
      <c r="B508" s="73"/>
    </row>
    <row r="509" spans="2:2" ht="13.2" customHeight="1">
      <c r="B509" s="73"/>
    </row>
    <row r="510" spans="2:2" ht="13.2" customHeight="1">
      <c r="B510" s="73"/>
    </row>
    <row r="511" spans="2:2" ht="13.2" customHeight="1">
      <c r="B511" s="73"/>
    </row>
    <row r="512" spans="2:2" ht="13.2" customHeight="1">
      <c r="B512" s="73"/>
    </row>
    <row r="513" spans="2:2" ht="13.2" customHeight="1">
      <c r="B513" s="73"/>
    </row>
    <row r="514" spans="2:2" ht="13.2" customHeight="1">
      <c r="B514" s="73"/>
    </row>
    <row r="515" spans="2:2" ht="13.2" customHeight="1">
      <c r="B515" s="73"/>
    </row>
    <row r="516" spans="2:2" ht="13.2" customHeight="1">
      <c r="B516" s="73"/>
    </row>
    <row r="517" spans="2:2" ht="13.2" customHeight="1">
      <c r="B517" s="73"/>
    </row>
    <row r="518" spans="2:2" ht="13.2" customHeight="1">
      <c r="B518" s="73"/>
    </row>
    <row r="519" spans="2:2" ht="13.2" customHeight="1">
      <c r="B519" s="73"/>
    </row>
    <row r="520" spans="2:2" ht="13.2" customHeight="1">
      <c r="B520" s="73"/>
    </row>
    <row r="521" spans="2:2" ht="13.2" customHeight="1">
      <c r="B521" s="73"/>
    </row>
    <row r="522" spans="2:2" ht="13.2" customHeight="1">
      <c r="B522" s="73"/>
    </row>
    <row r="523" spans="2:2" ht="13.2" customHeight="1">
      <c r="B523" s="73"/>
    </row>
    <row r="524" spans="2:2" ht="13.2" customHeight="1">
      <c r="B524" s="73"/>
    </row>
    <row r="525" spans="2:2" ht="13.2" customHeight="1">
      <c r="B525" s="73"/>
    </row>
    <row r="526" spans="2:2" ht="13.2" customHeight="1">
      <c r="B526" s="73"/>
    </row>
    <row r="527" spans="2:2" ht="13.2" customHeight="1">
      <c r="B527" s="73"/>
    </row>
    <row r="528" spans="2:2" ht="13.2" customHeight="1">
      <c r="B528" s="73"/>
    </row>
    <row r="529" spans="2:2" ht="13.2" customHeight="1">
      <c r="B529" s="73"/>
    </row>
    <row r="530" spans="2:2" ht="13.2" customHeight="1">
      <c r="B530" s="73"/>
    </row>
    <row r="531" spans="2:2" ht="13.2" customHeight="1">
      <c r="B531" s="73"/>
    </row>
    <row r="532" spans="2:2" ht="13.2" customHeight="1">
      <c r="B532" s="73"/>
    </row>
    <row r="533" spans="2:2" ht="13.2" customHeight="1">
      <c r="B533" s="73"/>
    </row>
    <row r="534" spans="2:2" ht="13.2" customHeight="1">
      <c r="B534" s="73"/>
    </row>
    <row r="535" spans="2:2" ht="13.2" customHeight="1">
      <c r="B535" s="73"/>
    </row>
    <row r="536" spans="2:2" ht="13.2" customHeight="1">
      <c r="B536" s="73"/>
    </row>
    <row r="537" spans="2:2" ht="13.2" customHeight="1">
      <c r="B537" s="73"/>
    </row>
    <row r="538" spans="2:2" ht="13.2" customHeight="1">
      <c r="B538" s="73"/>
    </row>
    <row r="539" spans="2:2" ht="13.2" customHeight="1">
      <c r="B539" s="73"/>
    </row>
    <row r="540" spans="2:2" ht="13.2" customHeight="1">
      <c r="B540" s="73"/>
    </row>
    <row r="541" spans="2:2" ht="13.2" customHeight="1">
      <c r="B541" s="73"/>
    </row>
    <row r="542" spans="2:2" ht="13.2" customHeight="1">
      <c r="B542" s="73"/>
    </row>
    <row r="543" spans="2:2" ht="13.2" customHeight="1">
      <c r="B543" s="73"/>
    </row>
    <row r="544" spans="2:2" ht="13.2" customHeight="1">
      <c r="B544" s="73"/>
    </row>
    <row r="545" spans="2:2" ht="13.2" customHeight="1">
      <c r="B545" s="73"/>
    </row>
    <row r="546" spans="2:2" ht="13.2" customHeight="1">
      <c r="B546" s="73"/>
    </row>
    <row r="547" spans="2:2" ht="13.2" customHeight="1">
      <c r="B547" s="73"/>
    </row>
    <row r="548" spans="2:2" ht="13.2" customHeight="1">
      <c r="B548" s="73"/>
    </row>
    <row r="549" spans="2:2" ht="13.2" customHeight="1">
      <c r="B549" s="73"/>
    </row>
    <row r="550" spans="2:2" ht="13.2" customHeight="1">
      <c r="B550" s="73"/>
    </row>
    <row r="551" spans="2:2" ht="13.2" customHeight="1">
      <c r="B551" s="73"/>
    </row>
    <row r="552" spans="2:2" ht="13.2" customHeight="1">
      <c r="B552" s="73"/>
    </row>
    <row r="553" spans="2:2" ht="13.2" customHeight="1">
      <c r="B553" s="73"/>
    </row>
    <row r="554" spans="2:2" ht="13.2" customHeight="1">
      <c r="B554" s="73"/>
    </row>
    <row r="555" spans="2:2" ht="13.2" customHeight="1">
      <c r="B555" s="73"/>
    </row>
    <row r="556" spans="2:2" ht="13.2" customHeight="1">
      <c r="B556" s="73"/>
    </row>
    <row r="557" spans="2:2" ht="13.2" customHeight="1">
      <c r="B557" s="73"/>
    </row>
    <row r="558" spans="2:2" ht="13.2" customHeight="1">
      <c r="B558" s="73"/>
    </row>
    <row r="559" spans="2:2" ht="13.2" customHeight="1">
      <c r="B559" s="73"/>
    </row>
    <row r="560" spans="2:2" ht="13.2" customHeight="1">
      <c r="B560" s="73"/>
    </row>
    <row r="561" spans="2:2" ht="13.2" customHeight="1">
      <c r="B561" s="73"/>
    </row>
    <row r="562" spans="2:2" ht="13.2" customHeight="1">
      <c r="B562" s="73"/>
    </row>
    <row r="563" spans="2:2" ht="13.2" customHeight="1">
      <c r="B563" s="73"/>
    </row>
    <row r="564" spans="2:2" ht="13.2" customHeight="1">
      <c r="B564" s="73"/>
    </row>
    <row r="565" spans="2:2" ht="13.2" customHeight="1">
      <c r="B565" s="73"/>
    </row>
    <row r="566" spans="2:2" ht="13.2" customHeight="1">
      <c r="B566" s="73"/>
    </row>
    <row r="567" spans="2:2" ht="13.2" customHeight="1">
      <c r="B567" s="73"/>
    </row>
    <row r="568" spans="2:2" ht="13.2" customHeight="1">
      <c r="B568" s="73"/>
    </row>
    <row r="569" spans="2:2" ht="13.2" customHeight="1">
      <c r="B569" s="73"/>
    </row>
    <row r="570" spans="2:2" ht="13.2" customHeight="1">
      <c r="B570" s="73"/>
    </row>
    <row r="571" spans="2:2" ht="13.2" customHeight="1">
      <c r="B571" s="73"/>
    </row>
    <row r="572" spans="2:2" ht="13.2" customHeight="1">
      <c r="B572" s="73"/>
    </row>
    <row r="573" spans="2:2" ht="13.2" customHeight="1">
      <c r="B573" s="73"/>
    </row>
    <row r="574" spans="2:2" ht="13.2" customHeight="1">
      <c r="B574" s="73"/>
    </row>
    <row r="575" spans="2:2" ht="13.2" customHeight="1">
      <c r="B575" s="73"/>
    </row>
    <row r="576" spans="2:2" ht="13.2" customHeight="1">
      <c r="B576" s="73"/>
    </row>
    <row r="577" spans="2:2" ht="13.2" customHeight="1">
      <c r="B577" s="73"/>
    </row>
    <row r="578" spans="2:2" ht="13.2" customHeight="1">
      <c r="B578" s="73"/>
    </row>
    <row r="579" spans="2:2" ht="13.2" customHeight="1">
      <c r="B579" s="73"/>
    </row>
    <row r="580" spans="2:2" ht="13.2" customHeight="1">
      <c r="B580" s="73"/>
    </row>
    <row r="581" spans="2:2" ht="13.2" customHeight="1">
      <c r="B581" s="73"/>
    </row>
    <row r="582" spans="2:2" ht="13.2" customHeight="1">
      <c r="B582" s="73"/>
    </row>
    <row r="583" spans="2:2" ht="13.2" customHeight="1">
      <c r="B583" s="73"/>
    </row>
    <row r="584" spans="2:2" ht="13.2" customHeight="1">
      <c r="B584" s="73"/>
    </row>
    <row r="585" spans="2:2" ht="13.2" customHeight="1">
      <c r="B585" s="73"/>
    </row>
    <row r="586" spans="2:2" ht="13.2" customHeight="1">
      <c r="B586" s="73"/>
    </row>
    <row r="587" spans="2:2" ht="13.2" customHeight="1">
      <c r="B587" s="73"/>
    </row>
    <row r="588" spans="2:2" ht="13.2" customHeight="1">
      <c r="B588" s="73"/>
    </row>
    <row r="589" spans="2:2" ht="13.2" customHeight="1">
      <c r="B589" s="73"/>
    </row>
    <row r="590" spans="2:2" ht="13.2" customHeight="1">
      <c r="B590" s="73"/>
    </row>
    <row r="591" spans="2:2" ht="13.2" customHeight="1">
      <c r="B591" s="73"/>
    </row>
    <row r="592" spans="2:2" ht="13.2" customHeight="1">
      <c r="B592" s="73"/>
    </row>
    <row r="593" spans="2:2" ht="13.2" customHeight="1">
      <c r="B593" s="73"/>
    </row>
    <row r="594" spans="2:2" ht="13.2" customHeight="1">
      <c r="B594" s="73"/>
    </row>
    <row r="595" spans="2:2" ht="13.2" customHeight="1">
      <c r="B595" s="73"/>
    </row>
    <row r="596" spans="2:2" ht="13.2" customHeight="1">
      <c r="B596" s="73"/>
    </row>
    <row r="597" spans="2:2" ht="13.2" customHeight="1">
      <c r="B597" s="73"/>
    </row>
    <row r="598" spans="2:2" ht="13.2" customHeight="1">
      <c r="B598" s="73"/>
    </row>
    <row r="599" spans="2:2" ht="13.2" customHeight="1">
      <c r="B599" s="73"/>
    </row>
    <row r="600" spans="2:2" ht="13.2" customHeight="1">
      <c r="B600" s="73"/>
    </row>
    <row r="601" spans="2:2" ht="13.2" customHeight="1">
      <c r="B601" s="73"/>
    </row>
    <row r="602" spans="2:2" ht="13.2" customHeight="1">
      <c r="B602" s="73"/>
    </row>
    <row r="603" spans="2:2" ht="13.2" customHeight="1">
      <c r="B603" s="73"/>
    </row>
    <row r="604" spans="2:2" ht="13.2" customHeight="1">
      <c r="B604" s="73"/>
    </row>
    <row r="605" spans="2:2" ht="13.2" customHeight="1">
      <c r="B605" s="73"/>
    </row>
    <row r="606" spans="2:2" ht="13.2" customHeight="1">
      <c r="B606" s="73"/>
    </row>
    <row r="607" spans="2:2" ht="13.2" customHeight="1">
      <c r="B607" s="73"/>
    </row>
    <row r="608" spans="2:2" ht="13.2" customHeight="1">
      <c r="B608" s="73"/>
    </row>
    <row r="609" spans="2:2" ht="13.2" customHeight="1">
      <c r="B609" s="73"/>
    </row>
    <row r="610" spans="2:2" ht="13.2" customHeight="1">
      <c r="B610" s="73"/>
    </row>
    <row r="611" spans="2:2" ht="13.2" customHeight="1">
      <c r="B611" s="73"/>
    </row>
    <row r="612" spans="2:2" ht="13.2" customHeight="1">
      <c r="B612" s="73"/>
    </row>
    <row r="613" spans="2:2" ht="13.2" customHeight="1">
      <c r="B613" s="73"/>
    </row>
    <row r="614" spans="2:2" ht="13.2" customHeight="1">
      <c r="B614" s="73"/>
    </row>
    <row r="615" spans="2:2" ht="13.2" customHeight="1">
      <c r="B615" s="73"/>
    </row>
    <row r="616" spans="2:2" ht="13.2" customHeight="1">
      <c r="B616" s="73"/>
    </row>
    <row r="617" spans="2:2" ht="13.2" customHeight="1">
      <c r="B617" s="73"/>
    </row>
    <row r="618" spans="2:2" ht="13.2" customHeight="1">
      <c r="B618" s="73"/>
    </row>
    <row r="619" spans="2:2" ht="13.2" customHeight="1">
      <c r="B619" s="73"/>
    </row>
    <row r="620" spans="2:2" ht="13.2" customHeight="1">
      <c r="B620" s="73"/>
    </row>
    <row r="621" spans="2:2" ht="13.2" customHeight="1">
      <c r="B621" s="73"/>
    </row>
    <row r="622" spans="2:2" ht="13.2" customHeight="1">
      <c r="B622" s="73"/>
    </row>
    <row r="623" spans="2:2" ht="13.2" customHeight="1">
      <c r="B623" s="73"/>
    </row>
    <row r="624" spans="2:2" ht="13.2" customHeight="1">
      <c r="B624" s="73"/>
    </row>
    <row r="625" spans="2:2" ht="13.2" customHeight="1">
      <c r="B625" s="73"/>
    </row>
    <row r="626" spans="2:2" ht="13.2" customHeight="1">
      <c r="B626" s="73"/>
    </row>
    <row r="627" spans="2:2" ht="13.2" customHeight="1">
      <c r="B627" s="73"/>
    </row>
    <row r="628" spans="2:2" ht="13.2" customHeight="1">
      <c r="B628" s="73"/>
    </row>
    <row r="629" spans="2:2" ht="13.2" customHeight="1">
      <c r="B629" s="73"/>
    </row>
    <row r="630" spans="2:2" ht="13.2" customHeight="1">
      <c r="B630" s="73"/>
    </row>
    <row r="631" spans="2:2" ht="13.2" customHeight="1">
      <c r="B631" s="73"/>
    </row>
    <row r="632" spans="2:2" ht="13.2" customHeight="1">
      <c r="B632" s="73"/>
    </row>
    <row r="633" spans="2:2" ht="13.2" customHeight="1">
      <c r="B633" s="73"/>
    </row>
    <row r="634" spans="2:2" ht="13.2" customHeight="1">
      <c r="B634" s="73"/>
    </row>
    <row r="635" spans="2:2" ht="13.2" customHeight="1">
      <c r="B635" s="73"/>
    </row>
    <row r="636" spans="2:2" ht="13.2" customHeight="1">
      <c r="B636" s="73"/>
    </row>
    <row r="637" spans="2:2" ht="13.2" customHeight="1">
      <c r="B637" s="73"/>
    </row>
    <row r="638" spans="2:2" ht="13.2" customHeight="1">
      <c r="B638" s="73"/>
    </row>
    <row r="639" spans="2:2" ht="13.2" customHeight="1">
      <c r="B639" s="73"/>
    </row>
    <row r="640" spans="2:2" ht="13.2" customHeight="1">
      <c r="B640" s="73"/>
    </row>
    <row r="641" spans="2:2" ht="13.2" customHeight="1">
      <c r="B641" s="73"/>
    </row>
    <row r="642" spans="2:2" ht="13.2" customHeight="1">
      <c r="B642" s="73"/>
    </row>
    <row r="643" spans="2:2" ht="13.2" customHeight="1">
      <c r="B643" s="73"/>
    </row>
    <row r="644" spans="2:2" ht="13.2" customHeight="1">
      <c r="B644" s="73"/>
    </row>
    <row r="645" spans="2:2" ht="13.2" customHeight="1">
      <c r="B645" s="73"/>
    </row>
    <row r="646" spans="2:2" ht="13.2" customHeight="1">
      <c r="B646" s="73"/>
    </row>
    <row r="647" spans="2:2" ht="13.2" customHeight="1">
      <c r="B647" s="73"/>
    </row>
    <row r="648" spans="2:2" ht="13.2" customHeight="1">
      <c r="B648" s="73"/>
    </row>
    <row r="649" spans="2:2" ht="13.2" customHeight="1">
      <c r="B649" s="73"/>
    </row>
    <row r="650" spans="2:2" ht="13.2" customHeight="1">
      <c r="B650" s="73"/>
    </row>
    <row r="651" spans="2:2" ht="13.2" customHeight="1">
      <c r="B651" s="73"/>
    </row>
    <row r="652" spans="2:2" ht="13.2" customHeight="1">
      <c r="B652" s="73"/>
    </row>
    <row r="653" spans="2:2" ht="13.2" customHeight="1">
      <c r="B653" s="73"/>
    </row>
    <row r="654" spans="2:2" ht="13.2" customHeight="1">
      <c r="B654" s="73"/>
    </row>
    <row r="655" spans="2:2" ht="13.2" customHeight="1">
      <c r="B655" s="73"/>
    </row>
    <row r="656" spans="2:2" ht="13.2" customHeight="1">
      <c r="B656" s="73"/>
    </row>
    <row r="657" spans="2:2" ht="13.2" customHeight="1">
      <c r="B657" s="73"/>
    </row>
    <row r="658" spans="2:2" ht="13.2" customHeight="1">
      <c r="B658" s="73"/>
    </row>
    <row r="659" spans="2:2" ht="13.2" customHeight="1">
      <c r="B659" s="73"/>
    </row>
    <row r="660" spans="2:2" ht="13.2" customHeight="1">
      <c r="B660" s="73"/>
    </row>
    <row r="661" spans="2:2" ht="13.2" customHeight="1">
      <c r="B661" s="73"/>
    </row>
    <row r="662" spans="2:2" ht="13.2" customHeight="1">
      <c r="B662" s="73"/>
    </row>
    <row r="663" spans="2:2" ht="13.2" customHeight="1">
      <c r="B663" s="73"/>
    </row>
    <row r="664" spans="2:2" ht="13.2" customHeight="1">
      <c r="B664" s="73"/>
    </row>
    <row r="665" spans="2:2" ht="13.2" customHeight="1">
      <c r="B665" s="73"/>
    </row>
    <row r="666" spans="2:2" ht="13.2" customHeight="1">
      <c r="B666" s="73"/>
    </row>
    <row r="667" spans="2:2" ht="13.2" customHeight="1">
      <c r="B667" s="73"/>
    </row>
    <row r="668" spans="2:2" ht="13.2" customHeight="1">
      <c r="B668" s="73"/>
    </row>
    <row r="669" spans="2:2" ht="13.2" customHeight="1">
      <c r="B669" s="73"/>
    </row>
    <row r="670" spans="2:2" ht="13.2" customHeight="1">
      <c r="B670" s="73"/>
    </row>
    <row r="671" spans="2:2" ht="13.2" customHeight="1">
      <c r="B671" s="73"/>
    </row>
    <row r="672" spans="2:2" ht="13.2" customHeight="1">
      <c r="B672" s="73"/>
    </row>
    <row r="673" spans="2:2" ht="13.2" customHeight="1">
      <c r="B673" s="73"/>
    </row>
    <row r="674" spans="2:2" ht="13.2" customHeight="1">
      <c r="B674" s="73"/>
    </row>
    <row r="675" spans="2:2" ht="13.2" customHeight="1">
      <c r="B675" s="73"/>
    </row>
    <row r="676" spans="2:2" ht="13.2" customHeight="1">
      <c r="B676" s="73"/>
    </row>
    <row r="677" spans="2:2" ht="13.2" customHeight="1">
      <c r="B677" s="73"/>
    </row>
    <row r="678" spans="2:2" ht="13.2" customHeight="1">
      <c r="B678" s="73"/>
    </row>
    <row r="679" spans="2:2" ht="13.2" customHeight="1">
      <c r="B679" s="73"/>
    </row>
    <row r="680" spans="2:2" ht="13.2" customHeight="1">
      <c r="B680" s="73"/>
    </row>
    <row r="681" spans="2:2" ht="13.2" customHeight="1">
      <c r="B681" s="73"/>
    </row>
    <row r="682" spans="2:2" ht="13.2" customHeight="1">
      <c r="B682" s="73"/>
    </row>
    <row r="683" spans="2:2" ht="13.2" customHeight="1">
      <c r="B683" s="73"/>
    </row>
    <row r="684" spans="2:2" ht="13.2" customHeight="1">
      <c r="B684" s="73"/>
    </row>
    <row r="685" spans="2:2" ht="13.2" customHeight="1">
      <c r="B685" s="73"/>
    </row>
    <row r="686" spans="2:2" ht="13.2" customHeight="1">
      <c r="B686" s="73"/>
    </row>
    <row r="687" spans="2:2" ht="13.2" customHeight="1">
      <c r="B687" s="73"/>
    </row>
    <row r="688" spans="2:2" ht="13.2" customHeight="1">
      <c r="B688" s="73"/>
    </row>
    <row r="689" spans="2:2" ht="13.2" customHeight="1">
      <c r="B689" s="73"/>
    </row>
    <row r="690" spans="2:2" ht="13.2" customHeight="1">
      <c r="B690" s="73"/>
    </row>
    <row r="691" spans="2:2" ht="13.2" customHeight="1">
      <c r="B691" s="73"/>
    </row>
    <row r="692" spans="2:2" ht="13.2" customHeight="1">
      <c r="B692" s="73"/>
    </row>
    <row r="693" spans="2:2" ht="13.2" customHeight="1">
      <c r="B693" s="73"/>
    </row>
    <row r="694" spans="2:2" ht="13.2" customHeight="1">
      <c r="B694" s="73"/>
    </row>
    <row r="695" spans="2:2" ht="13.2" customHeight="1">
      <c r="B695" s="73"/>
    </row>
    <row r="696" spans="2:2" ht="13.2" customHeight="1">
      <c r="B696" s="73"/>
    </row>
    <row r="697" spans="2:2" ht="13.2" customHeight="1">
      <c r="B697" s="73"/>
    </row>
    <row r="698" spans="2:2" ht="13.2" customHeight="1">
      <c r="B698" s="73"/>
    </row>
    <row r="699" spans="2:2" ht="13.2" customHeight="1">
      <c r="B699" s="73"/>
    </row>
    <row r="700" spans="2:2" ht="13.2" customHeight="1">
      <c r="B700" s="73"/>
    </row>
    <row r="701" spans="2:2" ht="13.2" customHeight="1">
      <c r="B701" s="73"/>
    </row>
    <row r="702" spans="2:2" ht="13.2" customHeight="1">
      <c r="B702" s="73"/>
    </row>
    <row r="703" spans="2:2" ht="13.2" customHeight="1">
      <c r="B703" s="73"/>
    </row>
    <row r="704" spans="2:2" ht="13.2" customHeight="1">
      <c r="B704" s="73"/>
    </row>
    <row r="705" spans="2:2" ht="13.2" customHeight="1">
      <c r="B705" s="73"/>
    </row>
    <row r="706" spans="2:2" ht="13.2" customHeight="1">
      <c r="B706" s="73"/>
    </row>
    <row r="707" spans="2:2" ht="13.2" customHeight="1">
      <c r="B707" s="73"/>
    </row>
    <row r="708" spans="2:2" ht="13.2" customHeight="1">
      <c r="B708" s="73"/>
    </row>
    <row r="709" spans="2:2" ht="13.2" customHeight="1">
      <c r="B709" s="73"/>
    </row>
    <row r="710" spans="2:2" ht="13.2" customHeight="1">
      <c r="B710" s="73"/>
    </row>
    <row r="711" spans="2:2" ht="13.2" customHeight="1">
      <c r="B711" s="73"/>
    </row>
    <row r="712" spans="2:2" ht="13.2" customHeight="1">
      <c r="B712" s="73"/>
    </row>
    <row r="713" spans="2:2" ht="13.2" customHeight="1">
      <c r="B713" s="73"/>
    </row>
    <row r="714" spans="2:2" ht="13.2" customHeight="1">
      <c r="B714" s="73"/>
    </row>
    <row r="715" spans="2:2" ht="13.2" customHeight="1">
      <c r="B715" s="73"/>
    </row>
    <row r="716" spans="2:2" ht="13.2" customHeight="1">
      <c r="B716" s="73"/>
    </row>
    <row r="717" spans="2:2" ht="13.2" customHeight="1">
      <c r="B717" s="73"/>
    </row>
    <row r="718" spans="2:2" ht="13.2" customHeight="1">
      <c r="B718" s="73"/>
    </row>
    <row r="719" spans="2:2" ht="13.2" customHeight="1">
      <c r="B719" s="73"/>
    </row>
    <row r="720" spans="2:2" ht="13.2" customHeight="1">
      <c r="B720" s="73"/>
    </row>
    <row r="721" spans="2:2" ht="13.2" customHeight="1">
      <c r="B721" s="73"/>
    </row>
    <row r="722" spans="2:2" ht="13.2" customHeight="1">
      <c r="B722" s="73"/>
    </row>
    <row r="723" spans="2:2" ht="13.2" customHeight="1">
      <c r="B723" s="73"/>
    </row>
    <row r="724" spans="2:2" ht="13.2" customHeight="1">
      <c r="B724" s="73"/>
    </row>
    <row r="725" spans="2:2" ht="13.2" customHeight="1">
      <c r="B725" s="73"/>
    </row>
    <row r="726" spans="2:2" ht="13.2" customHeight="1">
      <c r="B726" s="73"/>
    </row>
    <row r="727" spans="2:2" ht="13.2" customHeight="1">
      <c r="B727" s="73"/>
    </row>
    <row r="728" spans="2:2" ht="13.2" customHeight="1">
      <c r="B728" s="73"/>
    </row>
    <row r="729" spans="2:2" ht="13.2" customHeight="1">
      <c r="B729" s="73"/>
    </row>
    <row r="730" spans="2:2" ht="13.2" customHeight="1">
      <c r="B730" s="73"/>
    </row>
    <row r="731" spans="2:2" ht="13.2" customHeight="1">
      <c r="B731" s="73"/>
    </row>
    <row r="732" spans="2:2" ht="13.2" customHeight="1">
      <c r="B732" s="73"/>
    </row>
    <row r="733" spans="2:2" ht="13.2" customHeight="1">
      <c r="B733" s="73"/>
    </row>
    <row r="734" spans="2:2" ht="13.2" customHeight="1">
      <c r="B734" s="73"/>
    </row>
    <row r="735" spans="2:2" ht="13.2" customHeight="1">
      <c r="B735" s="73"/>
    </row>
    <row r="736" spans="2:2" ht="13.2" customHeight="1">
      <c r="B736" s="73"/>
    </row>
    <row r="737" spans="2:2" ht="13.2" customHeight="1">
      <c r="B737" s="73"/>
    </row>
    <row r="738" spans="2:2" ht="13.2" customHeight="1">
      <c r="B738" s="73"/>
    </row>
    <row r="739" spans="2:2" ht="13.2" customHeight="1">
      <c r="B739" s="73"/>
    </row>
    <row r="740" spans="2:2" ht="13.2" customHeight="1">
      <c r="B740" s="73"/>
    </row>
    <row r="741" spans="2:2" ht="13.2" customHeight="1">
      <c r="B741" s="73"/>
    </row>
    <row r="742" spans="2:2" ht="13.2" customHeight="1">
      <c r="B742" s="73"/>
    </row>
    <row r="743" spans="2:2" ht="13.2" customHeight="1">
      <c r="B743" s="73"/>
    </row>
    <row r="744" spans="2:2" ht="13.2" customHeight="1">
      <c r="B744" s="73"/>
    </row>
    <row r="745" spans="2:2" ht="13.2" customHeight="1">
      <c r="B745" s="73"/>
    </row>
    <row r="746" spans="2:2" ht="13.2" customHeight="1">
      <c r="B746" s="73"/>
    </row>
    <row r="747" spans="2:2" ht="13.2" customHeight="1">
      <c r="B747" s="73"/>
    </row>
    <row r="748" spans="2:2" ht="13.2" customHeight="1">
      <c r="B748" s="73"/>
    </row>
    <row r="749" spans="2:2" ht="13.2" customHeight="1">
      <c r="B749" s="73"/>
    </row>
    <row r="750" spans="2:2" ht="13.2" customHeight="1">
      <c r="B750" s="73"/>
    </row>
    <row r="751" spans="2:2" ht="13.2" customHeight="1">
      <c r="B751" s="73"/>
    </row>
    <row r="752" spans="2:2" ht="13.2" customHeight="1">
      <c r="B752" s="73"/>
    </row>
    <row r="753" spans="2:2" ht="13.2" customHeight="1">
      <c r="B753" s="73"/>
    </row>
    <row r="754" spans="2:2" ht="13.2" customHeight="1">
      <c r="B754" s="73"/>
    </row>
    <row r="755" spans="2:2" ht="13.2" customHeight="1">
      <c r="B755" s="73"/>
    </row>
    <row r="756" spans="2:2" ht="13.2" customHeight="1">
      <c r="B756" s="73"/>
    </row>
    <row r="757" spans="2:2" ht="13.2" customHeight="1">
      <c r="B757" s="73"/>
    </row>
    <row r="758" spans="2:2" ht="13.2" customHeight="1">
      <c r="B758" s="73"/>
    </row>
    <row r="759" spans="2:2" ht="13.2" customHeight="1">
      <c r="B759" s="73"/>
    </row>
    <row r="760" spans="2:2" ht="13.2" customHeight="1">
      <c r="B760" s="73"/>
    </row>
    <row r="761" spans="2:2" ht="13.2" customHeight="1">
      <c r="B761" s="73"/>
    </row>
    <row r="762" spans="2:2" ht="13.2" customHeight="1">
      <c r="B762" s="73"/>
    </row>
    <row r="763" spans="2:2" ht="13.2" customHeight="1">
      <c r="B763" s="73"/>
    </row>
    <row r="764" spans="2:2" ht="13.2" customHeight="1">
      <c r="B764" s="73"/>
    </row>
    <row r="765" spans="2:2" ht="13.2" customHeight="1">
      <c r="B765" s="73"/>
    </row>
    <row r="766" spans="2:2" ht="13.2" customHeight="1">
      <c r="B766" s="73"/>
    </row>
    <row r="767" spans="2:2" ht="13.2" customHeight="1">
      <c r="B767" s="73"/>
    </row>
    <row r="768" spans="2:2" ht="13.2" customHeight="1">
      <c r="B768" s="73"/>
    </row>
    <row r="769" spans="2:2" ht="13.2" customHeight="1">
      <c r="B769" s="73"/>
    </row>
    <row r="770" spans="2:2" ht="13.2" customHeight="1">
      <c r="B770" s="73"/>
    </row>
    <row r="771" spans="2:2" ht="13.2" customHeight="1">
      <c r="B771" s="73"/>
    </row>
    <row r="772" spans="2:2" ht="13.2" customHeight="1">
      <c r="B772" s="73"/>
    </row>
    <row r="773" spans="2:2" ht="13.2" customHeight="1">
      <c r="B773" s="73"/>
    </row>
    <row r="774" spans="2:2" ht="13.2" customHeight="1">
      <c r="B774" s="73"/>
    </row>
    <row r="775" spans="2:2" ht="13.2" customHeight="1">
      <c r="B775" s="73"/>
    </row>
    <row r="776" spans="2:2" ht="13.2" customHeight="1">
      <c r="B776" s="73"/>
    </row>
    <row r="777" spans="2:2" ht="13.2" customHeight="1">
      <c r="B777" s="73"/>
    </row>
    <row r="778" spans="2:2" ht="13.2" customHeight="1">
      <c r="B778" s="73"/>
    </row>
    <row r="779" spans="2:2" ht="13.2" customHeight="1">
      <c r="B779" s="73"/>
    </row>
    <row r="780" spans="2:2" ht="13.2" customHeight="1">
      <c r="B780" s="73"/>
    </row>
    <row r="781" spans="2:2" ht="13.2" customHeight="1">
      <c r="B781" s="73"/>
    </row>
    <row r="782" spans="2:2" ht="13.2" customHeight="1">
      <c r="B782" s="73"/>
    </row>
    <row r="783" spans="2:2" ht="13.2" customHeight="1">
      <c r="B783" s="73"/>
    </row>
    <row r="784" spans="2:2" ht="13.2" customHeight="1">
      <c r="B784" s="73"/>
    </row>
    <row r="785" spans="2:2" ht="13.2" customHeight="1">
      <c r="B785" s="73"/>
    </row>
    <row r="786" spans="2:2" ht="13.2" customHeight="1">
      <c r="B786" s="73"/>
    </row>
    <row r="787" spans="2:2" ht="13.2" customHeight="1">
      <c r="B787" s="73"/>
    </row>
    <row r="788" spans="2:2" ht="13.2" customHeight="1">
      <c r="B788" s="73"/>
    </row>
    <row r="789" spans="2:2" ht="13.2" customHeight="1">
      <c r="B789" s="73"/>
    </row>
    <row r="790" spans="2:2" ht="13.2" customHeight="1">
      <c r="B790" s="73"/>
    </row>
    <row r="791" spans="2:2" ht="13.2" customHeight="1">
      <c r="B791" s="73"/>
    </row>
    <row r="792" spans="2:2" ht="13.2" customHeight="1">
      <c r="B792" s="73"/>
    </row>
    <row r="793" spans="2:2" ht="13.2" customHeight="1">
      <c r="B793" s="73"/>
    </row>
    <row r="794" spans="2:2" ht="13.2" customHeight="1">
      <c r="B794" s="73"/>
    </row>
    <row r="795" spans="2:2" ht="13.2" customHeight="1">
      <c r="B795" s="73"/>
    </row>
    <row r="796" spans="2:2" ht="13.2" customHeight="1">
      <c r="B796" s="73"/>
    </row>
    <row r="797" spans="2:2" ht="13.2" customHeight="1">
      <c r="B797" s="73"/>
    </row>
    <row r="798" spans="2:2" ht="13.2" customHeight="1">
      <c r="B798" s="73"/>
    </row>
    <row r="799" spans="2:2" ht="13.2" customHeight="1">
      <c r="B799" s="73"/>
    </row>
    <row r="800" spans="2:2" ht="13.2" customHeight="1">
      <c r="B800" s="73"/>
    </row>
    <row r="801" spans="2:2" ht="13.2" customHeight="1">
      <c r="B801" s="73"/>
    </row>
    <row r="802" spans="2:2" ht="13.2" customHeight="1">
      <c r="B802" s="73"/>
    </row>
    <row r="803" spans="2:2" ht="13.2" customHeight="1">
      <c r="B803" s="73"/>
    </row>
    <row r="804" spans="2:2" ht="13.2" customHeight="1">
      <c r="B804" s="73"/>
    </row>
    <row r="805" spans="2:2" ht="13.2" customHeight="1">
      <c r="B805" s="73"/>
    </row>
    <row r="806" spans="2:2" ht="13.2" customHeight="1">
      <c r="B806" s="73"/>
    </row>
    <row r="807" spans="2:2" ht="13.2" customHeight="1">
      <c r="B807" s="73"/>
    </row>
    <row r="808" spans="2:2" ht="13.2" customHeight="1">
      <c r="B808" s="73"/>
    </row>
    <row r="809" spans="2:2" ht="13.2" customHeight="1">
      <c r="B809" s="73"/>
    </row>
    <row r="810" spans="2:2" ht="13.2" customHeight="1">
      <c r="B810" s="73"/>
    </row>
    <row r="811" spans="2:2" ht="13.2" customHeight="1">
      <c r="B811" s="73"/>
    </row>
    <row r="812" spans="2:2" ht="13.2" customHeight="1">
      <c r="B812" s="73"/>
    </row>
    <row r="813" spans="2:2" ht="13.2" customHeight="1">
      <c r="B813" s="73"/>
    </row>
    <row r="814" spans="2:2" ht="13.2" customHeight="1">
      <c r="B814" s="73"/>
    </row>
    <row r="815" spans="2:2" ht="13.2" customHeight="1">
      <c r="B815" s="73"/>
    </row>
    <row r="816" spans="2:2" ht="13.2" customHeight="1">
      <c r="B816" s="73"/>
    </row>
    <row r="817" spans="2:2" ht="13.2" customHeight="1">
      <c r="B817" s="73"/>
    </row>
    <row r="818" spans="2:2" ht="13.2" customHeight="1">
      <c r="B818" s="73"/>
    </row>
    <row r="819" spans="2:2" ht="13.2" customHeight="1">
      <c r="B819" s="73"/>
    </row>
    <row r="820" spans="2:2" ht="13.2" customHeight="1">
      <c r="B820" s="73"/>
    </row>
    <row r="821" spans="2:2" ht="13.2" customHeight="1">
      <c r="B821" s="73"/>
    </row>
    <row r="822" spans="2:2" ht="13.2" customHeight="1">
      <c r="B822" s="73"/>
    </row>
    <row r="823" spans="2:2" ht="13.2" customHeight="1">
      <c r="B823" s="73"/>
    </row>
    <row r="824" spans="2:2" ht="13.2" customHeight="1">
      <c r="B824" s="73"/>
    </row>
    <row r="825" spans="2:2" ht="13.2" customHeight="1">
      <c r="B825" s="73"/>
    </row>
    <row r="826" spans="2:2" ht="13.2" customHeight="1">
      <c r="B826" s="73"/>
    </row>
    <row r="827" spans="2:2" ht="13.2" customHeight="1">
      <c r="B827" s="73"/>
    </row>
    <row r="828" spans="2:2" ht="13.2" customHeight="1">
      <c r="B828" s="73"/>
    </row>
    <row r="829" spans="2:2" ht="13.2" customHeight="1">
      <c r="B829" s="73"/>
    </row>
    <row r="830" spans="2:2" ht="13.2" customHeight="1">
      <c r="B830" s="73"/>
    </row>
    <row r="831" spans="2:2" ht="13.2" customHeight="1">
      <c r="B831" s="73"/>
    </row>
    <row r="832" spans="2:2" ht="13.2" customHeight="1">
      <c r="B832" s="73"/>
    </row>
    <row r="833" spans="2:2" ht="13.2" customHeight="1">
      <c r="B833" s="73"/>
    </row>
    <row r="834" spans="2:2" ht="13.2" customHeight="1">
      <c r="B834" s="73"/>
    </row>
    <row r="835" spans="2:2" ht="13.2" customHeight="1">
      <c r="B835" s="73"/>
    </row>
    <row r="836" spans="2:2" ht="13.2" customHeight="1">
      <c r="B836" s="73"/>
    </row>
    <row r="837" spans="2:2" ht="13.2" customHeight="1">
      <c r="B837" s="73"/>
    </row>
    <row r="838" spans="2:2" ht="13.2" customHeight="1">
      <c r="B838" s="73"/>
    </row>
    <row r="839" spans="2:2" ht="13.2" customHeight="1">
      <c r="B839" s="73"/>
    </row>
    <row r="840" spans="2:2" ht="13.2" customHeight="1">
      <c r="B840" s="73"/>
    </row>
    <row r="841" spans="2:2" ht="13.2" customHeight="1">
      <c r="B841" s="73"/>
    </row>
    <row r="842" spans="2:2" ht="13.2" customHeight="1">
      <c r="B842" s="73"/>
    </row>
    <row r="843" spans="2:2" ht="13.2" customHeight="1">
      <c r="B843" s="73"/>
    </row>
    <row r="844" spans="2:2" ht="13.2" customHeight="1">
      <c r="B844" s="73"/>
    </row>
    <row r="845" spans="2:2" ht="13.2" customHeight="1">
      <c r="B845" s="73"/>
    </row>
    <row r="846" spans="2:2" ht="13.2" customHeight="1">
      <c r="B846" s="73"/>
    </row>
    <row r="847" spans="2:2" ht="13.2" customHeight="1">
      <c r="B847" s="73"/>
    </row>
    <row r="848" spans="2:2" ht="13.2" customHeight="1">
      <c r="B848" s="73"/>
    </row>
    <row r="849" spans="2:2" ht="13.2" customHeight="1">
      <c r="B849" s="73"/>
    </row>
    <row r="850" spans="2:2" ht="13.2" customHeight="1">
      <c r="B850" s="73"/>
    </row>
    <row r="851" spans="2:2" ht="13.2" customHeight="1">
      <c r="B851" s="73"/>
    </row>
    <row r="852" spans="2:2" ht="13.2" customHeight="1">
      <c r="B852" s="73"/>
    </row>
    <row r="853" spans="2:2" ht="13.2" customHeight="1">
      <c r="B853" s="73"/>
    </row>
    <row r="854" spans="2:2" ht="13.2" customHeight="1">
      <c r="B854" s="73"/>
    </row>
    <row r="855" spans="2:2" ht="13.2" customHeight="1">
      <c r="B855" s="73"/>
    </row>
    <row r="856" spans="2:2" ht="13.2" customHeight="1">
      <c r="B856" s="73"/>
    </row>
    <row r="857" spans="2:2" ht="13.2" customHeight="1">
      <c r="B857" s="73"/>
    </row>
    <row r="858" spans="2:2" ht="13.2" customHeight="1">
      <c r="B858" s="73"/>
    </row>
    <row r="859" spans="2:2" ht="13.2" customHeight="1">
      <c r="B859" s="73"/>
    </row>
    <row r="860" spans="2:2" ht="13.2" customHeight="1">
      <c r="B860" s="73"/>
    </row>
    <row r="861" spans="2:2" ht="13.2" customHeight="1">
      <c r="B861" s="73"/>
    </row>
    <row r="862" spans="2:2" ht="13.2" customHeight="1">
      <c r="B862" s="73"/>
    </row>
    <row r="863" spans="2:2" ht="13.2" customHeight="1">
      <c r="B863" s="73"/>
    </row>
    <row r="864" spans="2:2" ht="13.2" customHeight="1">
      <c r="B864" s="73"/>
    </row>
    <row r="865" spans="2:2" ht="13.2" customHeight="1">
      <c r="B865" s="73"/>
    </row>
    <row r="866" spans="2:2" ht="13.2" customHeight="1">
      <c r="B866" s="73"/>
    </row>
    <row r="867" spans="2:2" ht="13.2" customHeight="1">
      <c r="B867" s="73"/>
    </row>
    <row r="868" spans="2:2" ht="13.2" customHeight="1">
      <c r="B868" s="73"/>
    </row>
    <row r="869" spans="2:2" ht="13.2" customHeight="1">
      <c r="B869" s="73"/>
    </row>
    <row r="870" spans="2:2" ht="13.2" customHeight="1">
      <c r="B870" s="73"/>
    </row>
    <row r="871" spans="2:2" ht="13.2" customHeight="1">
      <c r="B871" s="73"/>
    </row>
    <row r="872" spans="2:2" ht="13.2" customHeight="1">
      <c r="B872" s="73"/>
    </row>
    <row r="873" spans="2:2" ht="13.2" customHeight="1">
      <c r="B873" s="73"/>
    </row>
    <row r="874" spans="2:2" ht="13.2" customHeight="1">
      <c r="B874" s="73"/>
    </row>
    <row r="875" spans="2:2" ht="13.2" customHeight="1">
      <c r="B875" s="73"/>
    </row>
    <row r="876" spans="2:2" ht="13.2" customHeight="1">
      <c r="B876" s="73"/>
    </row>
    <row r="877" spans="2:2" ht="13.2" customHeight="1">
      <c r="B877" s="73"/>
    </row>
    <row r="878" spans="2:2" ht="13.2" customHeight="1">
      <c r="B878" s="73"/>
    </row>
    <row r="879" spans="2:2" ht="13.2" customHeight="1">
      <c r="B879" s="73"/>
    </row>
    <row r="880" spans="2:2" ht="13.2" customHeight="1">
      <c r="B880" s="73"/>
    </row>
    <row r="881" spans="2:2" ht="13.2" customHeight="1">
      <c r="B881" s="73"/>
    </row>
    <row r="882" spans="2:2" ht="13.2" customHeight="1">
      <c r="B882" s="73"/>
    </row>
    <row r="883" spans="2:2" ht="13.2" customHeight="1">
      <c r="B883" s="73"/>
    </row>
    <row r="884" spans="2:2" ht="13.2" customHeight="1">
      <c r="B884" s="73"/>
    </row>
    <row r="885" spans="2:2" ht="13.2" customHeight="1">
      <c r="B885" s="73"/>
    </row>
    <row r="886" spans="2:2" ht="13.2" customHeight="1">
      <c r="B886" s="73"/>
    </row>
    <row r="887" spans="2:2" ht="13.2" customHeight="1">
      <c r="B887" s="73"/>
    </row>
    <row r="888" spans="2:2" ht="13.2" customHeight="1">
      <c r="B888" s="73"/>
    </row>
    <row r="889" spans="2:2" ht="13.2" customHeight="1">
      <c r="B889" s="73"/>
    </row>
    <row r="890" spans="2:2" ht="13.2" customHeight="1">
      <c r="B890" s="73"/>
    </row>
    <row r="891" spans="2:2" ht="13.2" customHeight="1">
      <c r="B891" s="73"/>
    </row>
    <row r="892" spans="2:2" ht="13.2" customHeight="1">
      <c r="B892" s="73"/>
    </row>
    <row r="893" spans="2:2" ht="13.2" customHeight="1">
      <c r="B893" s="73"/>
    </row>
    <row r="894" spans="2:2" ht="13.2" customHeight="1">
      <c r="B894" s="73"/>
    </row>
    <row r="895" spans="2:2" ht="13.2" customHeight="1">
      <c r="B895" s="73"/>
    </row>
    <row r="896" spans="2:2" ht="13.2" customHeight="1">
      <c r="B896" s="73"/>
    </row>
    <row r="897" spans="2:2" ht="13.2" customHeight="1">
      <c r="B897" s="73"/>
    </row>
    <row r="898" spans="2:2" ht="13.2" customHeight="1">
      <c r="B898" s="73"/>
    </row>
    <row r="899" spans="2:2" ht="13.2" customHeight="1">
      <c r="B899" s="73"/>
    </row>
    <row r="900" spans="2:2" ht="13.2" customHeight="1">
      <c r="B900" s="73"/>
    </row>
    <row r="901" spans="2:2" ht="13.2" customHeight="1">
      <c r="B901" s="73"/>
    </row>
    <row r="902" spans="2:2" ht="13.2" customHeight="1">
      <c r="B902" s="73"/>
    </row>
    <row r="903" spans="2:2" ht="13.2" customHeight="1">
      <c r="B903" s="73"/>
    </row>
    <row r="904" spans="2:2" ht="13.2" customHeight="1">
      <c r="B904" s="73"/>
    </row>
    <row r="905" spans="2:2" ht="13.2" customHeight="1">
      <c r="B905" s="73"/>
    </row>
    <row r="906" spans="2:2" ht="13.2" customHeight="1">
      <c r="B906" s="73"/>
    </row>
    <row r="907" spans="2:2" ht="13.2" customHeight="1">
      <c r="B907" s="73"/>
    </row>
    <row r="908" spans="2:2" ht="13.2" customHeight="1">
      <c r="B908" s="73"/>
    </row>
    <row r="909" spans="2:2" ht="13.2" customHeight="1">
      <c r="B909" s="73"/>
    </row>
    <row r="910" spans="2:2" ht="13.2" customHeight="1">
      <c r="B910" s="73"/>
    </row>
    <row r="911" spans="2:2" ht="13.2" customHeight="1">
      <c r="B911" s="73"/>
    </row>
    <row r="912" spans="2:2" ht="13.2" customHeight="1">
      <c r="B912" s="73"/>
    </row>
    <row r="913" spans="2:2" ht="13.2" customHeight="1">
      <c r="B913" s="73"/>
    </row>
    <row r="914" spans="2:2" ht="13.2" customHeight="1">
      <c r="B914" s="73"/>
    </row>
    <row r="915" spans="2:2" ht="13.2" customHeight="1">
      <c r="B915" s="73"/>
    </row>
    <row r="916" spans="2:2" ht="13.2" customHeight="1">
      <c r="B916" s="73"/>
    </row>
    <row r="917" spans="2:2" ht="13.2" customHeight="1">
      <c r="B917" s="73"/>
    </row>
    <row r="918" spans="2:2" ht="13.2" customHeight="1">
      <c r="B918" s="73"/>
    </row>
    <row r="919" spans="2:2" ht="13.2" customHeight="1">
      <c r="B919" s="73"/>
    </row>
    <row r="920" spans="2:2" ht="13.2" customHeight="1">
      <c r="B920" s="73"/>
    </row>
    <row r="921" spans="2:2" ht="13.2" customHeight="1">
      <c r="B921" s="73"/>
    </row>
    <row r="922" spans="2:2" ht="13.2" customHeight="1">
      <c r="B922" s="73"/>
    </row>
    <row r="923" spans="2:2" ht="13.2" customHeight="1">
      <c r="B923" s="73"/>
    </row>
    <row r="924" spans="2:2" ht="13.2" customHeight="1">
      <c r="B924" s="73"/>
    </row>
    <row r="925" spans="2:2" ht="13.2" customHeight="1">
      <c r="B925" s="73"/>
    </row>
    <row r="926" spans="2:2" ht="13.2" customHeight="1">
      <c r="B926" s="73"/>
    </row>
    <row r="927" spans="2:2" ht="13.2" customHeight="1">
      <c r="B927" s="73"/>
    </row>
    <row r="928" spans="2:2" ht="13.2" customHeight="1">
      <c r="B928" s="73"/>
    </row>
    <row r="929" spans="2:2" ht="13.2" customHeight="1">
      <c r="B929" s="73"/>
    </row>
    <row r="930" spans="2:2" ht="13.2" customHeight="1">
      <c r="B930" s="73"/>
    </row>
    <row r="931" spans="2:2" ht="13.2" customHeight="1">
      <c r="B931" s="73"/>
    </row>
    <row r="932" spans="2:2" ht="13.2" customHeight="1">
      <c r="B932" s="73"/>
    </row>
    <row r="933" spans="2:2" ht="13.2" customHeight="1">
      <c r="B933" s="73"/>
    </row>
    <row r="934" spans="2:2" ht="13.2" customHeight="1">
      <c r="B934" s="73"/>
    </row>
    <row r="935" spans="2:2" ht="13.2" customHeight="1">
      <c r="B935" s="73"/>
    </row>
    <row r="936" spans="2:2" ht="13.2" customHeight="1">
      <c r="B936" s="73"/>
    </row>
    <row r="937" spans="2:2" ht="13.2" customHeight="1">
      <c r="B937" s="73"/>
    </row>
    <row r="938" spans="2:2" ht="13.2" customHeight="1">
      <c r="B938" s="73"/>
    </row>
    <row r="939" spans="2:2" ht="13.2" customHeight="1">
      <c r="B939" s="73"/>
    </row>
    <row r="940" spans="2:2" ht="13.2" customHeight="1">
      <c r="B940" s="73"/>
    </row>
    <row r="941" spans="2:2" ht="13.2" customHeight="1">
      <c r="B941" s="73"/>
    </row>
    <row r="942" spans="2:2" ht="13.2" customHeight="1">
      <c r="B942" s="73"/>
    </row>
    <row r="943" spans="2:2" ht="13.2" customHeight="1">
      <c r="B943" s="73"/>
    </row>
    <row r="944" spans="2:2" ht="13.2" customHeight="1">
      <c r="B944" s="73"/>
    </row>
    <row r="945" spans="2:2" ht="13.2" customHeight="1">
      <c r="B945" s="73"/>
    </row>
    <row r="946" spans="2:2" ht="13.2" customHeight="1">
      <c r="B946" s="73"/>
    </row>
    <row r="947" spans="2:2" ht="13.2" customHeight="1">
      <c r="B947" s="73"/>
    </row>
    <row r="948" spans="2:2" ht="13.2" customHeight="1">
      <c r="B948" s="73"/>
    </row>
    <row r="949" spans="2:2" ht="13.2" customHeight="1">
      <c r="B949" s="73"/>
    </row>
    <row r="950" spans="2:2" ht="13.2" customHeight="1">
      <c r="B950" s="73"/>
    </row>
    <row r="951" spans="2:2" ht="13.2" customHeight="1">
      <c r="B951" s="73"/>
    </row>
    <row r="952" spans="2:2" ht="13.2" customHeight="1">
      <c r="B952" s="73"/>
    </row>
    <row r="953" spans="2:2" ht="13.2" customHeight="1">
      <c r="B953" s="73"/>
    </row>
    <row r="954" spans="2:2" ht="13.2" customHeight="1">
      <c r="B954" s="73"/>
    </row>
    <row r="955" spans="2:2" ht="13.2" customHeight="1">
      <c r="B955" s="73"/>
    </row>
    <row r="956" spans="2:2" ht="13.2" customHeight="1">
      <c r="B956" s="73"/>
    </row>
    <row r="957" spans="2:2" ht="13.2" customHeight="1">
      <c r="B957" s="73"/>
    </row>
    <row r="958" spans="2:2" ht="13.2" customHeight="1">
      <c r="B958" s="73"/>
    </row>
    <row r="959" spans="2:2" ht="13.2" customHeight="1">
      <c r="B959" s="73"/>
    </row>
    <row r="960" spans="2:2" ht="13.2" customHeight="1">
      <c r="B960" s="73"/>
    </row>
    <row r="961" spans="2:2" ht="13.2" customHeight="1">
      <c r="B961" s="73"/>
    </row>
    <row r="962" spans="2:2" ht="13.2" customHeight="1">
      <c r="B962" s="73"/>
    </row>
    <row r="963" spans="2:2" ht="13.2" customHeight="1">
      <c r="B963" s="73"/>
    </row>
    <row r="964" spans="2:2" ht="13.2" customHeight="1">
      <c r="B964" s="73"/>
    </row>
    <row r="965" spans="2:2" ht="13.2" customHeight="1">
      <c r="B965" s="73"/>
    </row>
    <row r="966" spans="2:2" ht="13.2" customHeight="1">
      <c r="B966" s="73"/>
    </row>
    <row r="967" spans="2:2" ht="13.2" customHeight="1">
      <c r="B967" s="73"/>
    </row>
    <row r="968" spans="2:2" ht="13.2" customHeight="1">
      <c r="B968" s="73"/>
    </row>
    <row r="969" spans="2:2" ht="13.2" customHeight="1">
      <c r="B969" s="73"/>
    </row>
    <row r="970" spans="2:2" ht="13.2" customHeight="1">
      <c r="B970" s="73"/>
    </row>
    <row r="971" spans="2:2" ht="13.2" customHeight="1">
      <c r="B971" s="73"/>
    </row>
    <row r="972" spans="2:2" ht="13.2" customHeight="1">
      <c r="B972" s="73"/>
    </row>
    <row r="973" spans="2:2" ht="13.2" customHeight="1">
      <c r="B973" s="73"/>
    </row>
    <row r="974" spans="2:2" ht="13.2" customHeight="1">
      <c r="B974" s="73"/>
    </row>
    <row r="975" spans="2:2" ht="13.2" customHeight="1">
      <c r="B975" s="73"/>
    </row>
    <row r="976" spans="2:2" ht="13.2" customHeight="1">
      <c r="B976" s="73"/>
    </row>
    <row r="977" spans="2:2" ht="13.2" customHeight="1">
      <c r="B977" s="73"/>
    </row>
    <row r="978" spans="2:2" ht="13.2" customHeight="1">
      <c r="B978" s="73"/>
    </row>
    <row r="979" spans="2:2" ht="13.2" customHeight="1">
      <c r="B979" s="73"/>
    </row>
    <row r="980" spans="2:2" ht="13.2" customHeight="1">
      <c r="B980" s="73"/>
    </row>
    <row r="981" spans="2:2" ht="13.2" customHeight="1">
      <c r="B981" s="73"/>
    </row>
    <row r="982" spans="2:2" ht="13.2" customHeight="1">
      <c r="B982" s="73"/>
    </row>
    <row r="983" spans="2:2" ht="13.2" customHeight="1">
      <c r="B983" s="73"/>
    </row>
    <row r="984" spans="2:2" ht="13.2" customHeight="1">
      <c r="B984" s="73"/>
    </row>
    <row r="985" spans="2:2" ht="13.2" customHeight="1">
      <c r="B985" s="73"/>
    </row>
    <row r="986" spans="2:2" ht="13.2" customHeight="1">
      <c r="B986" s="73"/>
    </row>
    <row r="987" spans="2:2" ht="13.2" customHeight="1">
      <c r="B987" s="73"/>
    </row>
    <row r="988" spans="2:2" ht="13.2" customHeight="1">
      <c r="B988" s="73"/>
    </row>
    <row r="989" spans="2:2" ht="13.2" customHeight="1">
      <c r="B989" s="73"/>
    </row>
    <row r="990" spans="2:2" ht="13.2" customHeight="1">
      <c r="B990" s="73"/>
    </row>
    <row r="991" spans="2:2" ht="13.2" customHeight="1">
      <c r="B991" s="73"/>
    </row>
    <row r="992" spans="2:2" ht="13.2" customHeight="1">
      <c r="B992" s="73"/>
    </row>
    <row r="993" spans="2:2" ht="13.2" customHeight="1">
      <c r="B993" s="73"/>
    </row>
    <row r="994" spans="2:2" ht="13.2" customHeight="1">
      <c r="B994" s="73"/>
    </row>
    <row r="995" spans="2:2" ht="13.2" customHeight="1">
      <c r="B995" s="73"/>
    </row>
    <row r="996" spans="2:2" ht="13.2" customHeight="1">
      <c r="B996" s="73"/>
    </row>
    <row r="997" spans="2:2" ht="13.2" customHeight="1">
      <c r="B997" s="73"/>
    </row>
    <row r="998" spans="2:2" ht="13.2" customHeight="1">
      <c r="B998" s="73"/>
    </row>
    <row r="999" spans="2:2" ht="13.2" customHeight="1">
      <c r="B999" s="73"/>
    </row>
  </sheetData>
  <mergeCells count="3">
    <mergeCell ref="A1:D1"/>
    <mergeCell ref="A2:A3"/>
    <mergeCell ref="B2:B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32"/>
  <sheetViews>
    <sheetView workbookViewId="0">
      <pane xSplit="3" topLeftCell="D1" activePane="topRight" state="frozen"/>
      <selection pane="topRight" activeCell="E2" sqref="E2"/>
    </sheetView>
  </sheetViews>
  <sheetFormatPr defaultColWidth="12.6640625" defaultRowHeight="15.75" customHeight="1"/>
  <cols>
    <col min="1" max="1" width="5.33203125" style="323" customWidth="1"/>
    <col min="2" max="2" width="20.109375" style="323" customWidth="1"/>
    <col min="10" max="10" width="34" style="323" customWidth="1"/>
    <col min="11" max="11" width="20" style="323" customWidth="1"/>
  </cols>
  <sheetData>
    <row r="1" spans="1:35" ht="15.75" customHeight="1">
      <c r="A1" s="279"/>
      <c r="B1" s="279"/>
      <c r="C1" s="279"/>
      <c r="D1" s="6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ht="15.75" customHeight="1">
      <c r="A2" s="365" t="s">
        <v>0</v>
      </c>
      <c r="B2" s="366" t="s">
        <v>7</v>
      </c>
      <c r="C2" s="364" t="s">
        <v>8</v>
      </c>
      <c r="D2" s="11" t="s">
        <v>9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27"/>
      <c r="AI2" s="7"/>
    </row>
    <row r="3" spans="1:35" ht="15.75" customHeight="1">
      <c r="A3" s="362"/>
      <c r="B3" s="362"/>
      <c r="C3" s="362"/>
      <c r="D3" s="30">
        <v>46204</v>
      </c>
      <c r="E3" s="30">
        <v>46205</v>
      </c>
      <c r="F3" s="30">
        <v>46206</v>
      </c>
      <c r="G3" s="30">
        <v>46207</v>
      </c>
      <c r="H3" s="30">
        <v>46208</v>
      </c>
      <c r="I3" s="30">
        <v>46209</v>
      </c>
      <c r="J3" s="30">
        <v>46210</v>
      </c>
      <c r="K3" s="30">
        <v>46211</v>
      </c>
      <c r="L3" s="30">
        <v>46212</v>
      </c>
      <c r="M3" s="30">
        <v>46213</v>
      </c>
      <c r="N3" s="30">
        <v>46214</v>
      </c>
      <c r="O3" s="30">
        <v>46215</v>
      </c>
      <c r="P3" s="30">
        <v>46216</v>
      </c>
      <c r="Q3" s="30">
        <v>46217</v>
      </c>
      <c r="R3" s="30">
        <v>46218</v>
      </c>
      <c r="S3" s="30">
        <v>46219</v>
      </c>
      <c r="T3" s="30">
        <v>46220</v>
      </c>
      <c r="U3" s="30">
        <v>46221</v>
      </c>
      <c r="V3" s="30">
        <v>46222</v>
      </c>
      <c r="W3" s="30">
        <v>46223</v>
      </c>
      <c r="X3" s="30">
        <v>46224</v>
      </c>
      <c r="Y3" s="30">
        <v>46225</v>
      </c>
      <c r="Z3" s="30">
        <v>46226</v>
      </c>
      <c r="AA3" s="30">
        <v>46227</v>
      </c>
      <c r="AB3" s="30">
        <v>46228</v>
      </c>
      <c r="AC3" s="30">
        <v>46229</v>
      </c>
      <c r="AD3" s="30">
        <v>46230</v>
      </c>
      <c r="AE3" s="30">
        <v>46231</v>
      </c>
      <c r="AF3" s="30">
        <v>46232</v>
      </c>
      <c r="AG3" s="30">
        <v>46233</v>
      </c>
      <c r="AH3" s="30">
        <v>46234</v>
      </c>
      <c r="AI3" s="7"/>
    </row>
    <row r="4" spans="1:35" ht="15.75" customHeight="1">
      <c r="A4" s="281">
        <v>1</v>
      </c>
      <c r="B4" s="308" t="s">
        <v>562</v>
      </c>
      <c r="C4" s="308">
        <v>1695</v>
      </c>
      <c r="D4" s="192">
        <v>3182169</v>
      </c>
      <c r="E4" s="193">
        <v>5698428</v>
      </c>
      <c r="F4" s="192">
        <v>0</v>
      </c>
      <c r="G4" s="193">
        <v>6387087</v>
      </c>
      <c r="H4" s="194">
        <v>0</v>
      </c>
      <c r="I4" s="309">
        <v>7606052</v>
      </c>
      <c r="J4" s="193">
        <v>0</v>
      </c>
      <c r="K4" s="193">
        <v>8284958</v>
      </c>
      <c r="L4" s="192">
        <v>0</v>
      </c>
      <c r="M4" s="193">
        <v>8095570</v>
      </c>
      <c r="N4" s="192"/>
      <c r="O4" s="192"/>
      <c r="P4" s="193"/>
      <c r="Q4" s="193"/>
      <c r="R4" s="192"/>
      <c r="S4" s="193"/>
      <c r="T4" s="196"/>
      <c r="U4" s="192"/>
      <c r="V4" s="193"/>
      <c r="W4" s="193"/>
      <c r="X4" s="197"/>
      <c r="Y4" s="197"/>
      <c r="Z4" s="193"/>
      <c r="AA4" s="198"/>
      <c r="AB4" s="199"/>
      <c r="AC4" s="198"/>
      <c r="AD4" s="198"/>
      <c r="AE4" s="201"/>
      <c r="AF4" s="198"/>
      <c r="AG4" s="199"/>
      <c r="AH4" s="198"/>
      <c r="AI4" s="42"/>
    </row>
    <row r="5" spans="1:35" ht="15.75" customHeight="1">
      <c r="A5" s="281">
        <v>2</v>
      </c>
      <c r="B5" s="308"/>
      <c r="C5" s="308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259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8"/>
      <c r="AA5" s="198"/>
      <c r="AB5" s="199"/>
      <c r="AC5" s="199"/>
      <c r="AD5" s="198"/>
      <c r="AE5" s="198"/>
      <c r="AF5" s="198"/>
      <c r="AG5" s="199"/>
      <c r="AH5" s="198"/>
      <c r="AI5" s="42"/>
    </row>
    <row r="6" spans="1:35" ht="15.75" customHeight="1">
      <c r="A6" s="281">
        <v>3</v>
      </c>
      <c r="B6" s="259"/>
      <c r="C6" s="259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42"/>
      <c r="Z6" s="201"/>
      <c r="AA6" s="198"/>
      <c r="AB6" s="201"/>
      <c r="AC6" s="203"/>
      <c r="AD6" s="203"/>
      <c r="AE6" s="198"/>
      <c r="AF6" s="201"/>
      <c r="AG6" s="42"/>
      <c r="AH6" s="201"/>
      <c r="AI6" s="42"/>
    </row>
    <row r="7" spans="1:35" ht="15.75" customHeight="1">
      <c r="A7" s="281">
        <v>4</v>
      </c>
      <c r="B7" s="259"/>
      <c r="C7" s="259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203"/>
      <c r="P7" s="193"/>
      <c r="Q7" s="193"/>
      <c r="R7" s="193"/>
      <c r="S7" s="193"/>
      <c r="T7" s="193"/>
      <c r="U7" s="193"/>
      <c r="V7" s="193"/>
      <c r="W7" s="193"/>
      <c r="X7" s="193"/>
      <c r="Y7" s="201"/>
      <c r="Z7" s="201"/>
      <c r="AA7" s="201"/>
      <c r="AB7" s="198"/>
      <c r="AC7" s="201"/>
      <c r="AD7" s="203"/>
      <c r="AE7" s="199"/>
      <c r="AF7" s="201"/>
      <c r="AG7" s="204"/>
      <c r="AH7" s="201"/>
      <c r="AI7" s="42"/>
    </row>
    <row r="8" spans="1:35" ht="15.75" customHeight="1">
      <c r="A8" s="46" t="s">
        <v>10</v>
      </c>
      <c r="B8" s="47"/>
      <c r="C8" s="47">
        <f>+D8+E8+F8+G8+H8+I8+J8+K8+L8+M8+N8+O8++P8+Q8+R8+S8+T8+U8+V8+W8+X8+Y8+Z8+AA8+AB8+AC8+AD8+AE8+AF8+AG8+AH8</f>
        <v>35685694.545454547</v>
      </c>
      <c r="D8" s="47">
        <f t="shared" ref="D8:AD8" si="0">SUM(D4:D7) /1.1</f>
        <v>2892880.9090909087</v>
      </c>
      <c r="E8" s="47">
        <f t="shared" si="0"/>
        <v>5180389.0909090908</v>
      </c>
      <c r="F8" s="47">
        <f t="shared" si="0"/>
        <v>0</v>
      </c>
      <c r="G8" s="47">
        <f t="shared" si="0"/>
        <v>5806442.7272727266</v>
      </c>
      <c r="H8" s="47">
        <f t="shared" si="0"/>
        <v>0</v>
      </c>
      <c r="I8" s="47">
        <f t="shared" si="0"/>
        <v>6914592.7272727266</v>
      </c>
      <c r="J8" s="47">
        <f t="shared" si="0"/>
        <v>0</v>
      </c>
      <c r="K8" s="47">
        <f t="shared" si="0"/>
        <v>7531779.9999999991</v>
      </c>
      <c r="L8" s="47">
        <f t="shared" si="0"/>
        <v>0</v>
      </c>
      <c r="M8" s="47">
        <f t="shared" si="0"/>
        <v>7359609.0909090899</v>
      </c>
      <c r="N8" s="47">
        <f t="shared" si="0"/>
        <v>0</v>
      </c>
      <c r="O8" s="47">
        <f t="shared" si="0"/>
        <v>0</v>
      </c>
      <c r="P8" s="47">
        <f t="shared" si="0"/>
        <v>0</v>
      </c>
      <c r="Q8" s="47">
        <f t="shared" si="0"/>
        <v>0</v>
      </c>
      <c r="R8" s="47">
        <f t="shared" si="0"/>
        <v>0</v>
      </c>
      <c r="S8" s="47">
        <f t="shared" si="0"/>
        <v>0</v>
      </c>
      <c r="T8" s="47">
        <f t="shared" si="0"/>
        <v>0</v>
      </c>
      <c r="U8" s="47">
        <f t="shared" si="0"/>
        <v>0</v>
      </c>
      <c r="V8" s="47">
        <f t="shared" si="0"/>
        <v>0</v>
      </c>
      <c r="W8" s="47">
        <f t="shared" si="0"/>
        <v>0</v>
      </c>
      <c r="X8" s="47">
        <f t="shared" si="0"/>
        <v>0</v>
      </c>
      <c r="Y8" s="47">
        <f t="shared" si="0"/>
        <v>0</v>
      </c>
      <c r="Z8" s="47">
        <f t="shared" si="0"/>
        <v>0</v>
      </c>
      <c r="AA8" s="47">
        <f t="shared" si="0"/>
        <v>0</v>
      </c>
      <c r="AB8" s="47">
        <f t="shared" si="0"/>
        <v>0</v>
      </c>
      <c r="AC8" s="47">
        <f t="shared" si="0"/>
        <v>0</v>
      </c>
      <c r="AD8" s="47">
        <f t="shared" si="0"/>
        <v>0</v>
      </c>
      <c r="AE8" s="47">
        <f>SUM(AE5:AE7) /1.1</f>
        <v>0</v>
      </c>
      <c r="AF8" s="47">
        <f>SUM(AF4:AF7) /1.1</f>
        <v>0</v>
      </c>
      <c r="AG8" s="47">
        <f>SUM(AG4:AG7) /1.1</f>
        <v>0</v>
      </c>
      <c r="AH8" s="47">
        <f>SUM(AH4:AH7) /1.1</f>
        <v>0</v>
      </c>
      <c r="AI8" s="42"/>
    </row>
    <row r="9" spans="1:35" ht="15.75" customHeight="1">
      <c r="A9" s="279" t="s">
        <v>11</v>
      </c>
      <c r="B9" s="279"/>
      <c r="C9" s="279"/>
      <c r="D9" s="6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1:35" ht="15.75" customHeight="1">
      <c r="A10" s="67" t="s">
        <v>12</v>
      </c>
      <c r="B10" s="279"/>
      <c r="C10" s="279"/>
      <c r="D10" s="70">
        <f t="shared" ref="D10:AH10" si="1">D8-D9</f>
        <v>2892880.9090909087</v>
      </c>
      <c r="E10" s="70">
        <f t="shared" si="1"/>
        <v>5180389.0909090908</v>
      </c>
      <c r="F10" s="70">
        <f t="shared" si="1"/>
        <v>0</v>
      </c>
      <c r="G10" s="70">
        <f t="shared" si="1"/>
        <v>5806442.7272727266</v>
      </c>
      <c r="H10" s="70">
        <f t="shared" si="1"/>
        <v>0</v>
      </c>
      <c r="I10" s="70">
        <f t="shared" si="1"/>
        <v>6914592.7272727266</v>
      </c>
      <c r="J10" s="70">
        <f t="shared" si="1"/>
        <v>0</v>
      </c>
      <c r="K10" s="70">
        <f t="shared" si="1"/>
        <v>7531779.9999999991</v>
      </c>
      <c r="L10" s="70">
        <f t="shared" si="1"/>
        <v>0</v>
      </c>
      <c r="M10" s="70">
        <f t="shared" si="1"/>
        <v>7359609.0909090899</v>
      </c>
      <c r="N10" s="70">
        <f t="shared" si="1"/>
        <v>0</v>
      </c>
      <c r="O10" s="70">
        <f t="shared" si="1"/>
        <v>0</v>
      </c>
      <c r="P10" s="70">
        <f t="shared" si="1"/>
        <v>0</v>
      </c>
      <c r="Q10" s="70">
        <f t="shared" si="1"/>
        <v>0</v>
      </c>
      <c r="R10" s="70">
        <f t="shared" si="1"/>
        <v>0</v>
      </c>
      <c r="S10" s="70">
        <f t="shared" si="1"/>
        <v>0</v>
      </c>
      <c r="T10" s="70">
        <f t="shared" si="1"/>
        <v>0</v>
      </c>
      <c r="U10" s="70">
        <f t="shared" si="1"/>
        <v>0</v>
      </c>
      <c r="V10" s="70">
        <f t="shared" si="1"/>
        <v>0</v>
      </c>
      <c r="W10" s="70">
        <f t="shared" si="1"/>
        <v>0</v>
      </c>
      <c r="X10" s="70">
        <f t="shared" si="1"/>
        <v>0</v>
      </c>
      <c r="Y10" s="70">
        <f t="shared" si="1"/>
        <v>0</v>
      </c>
      <c r="Z10" s="70">
        <f t="shared" si="1"/>
        <v>0</v>
      </c>
      <c r="AA10" s="70">
        <f t="shared" si="1"/>
        <v>0</v>
      </c>
      <c r="AB10" s="70">
        <f t="shared" si="1"/>
        <v>0</v>
      </c>
      <c r="AC10" s="70">
        <f t="shared" si="1"/>
        <v>0</v>
      </c>
      <c r="AD10" s="70">
        <f t="shared" si="1"/>
        <v>0</v>
      </c>
      <c r="AE10" s="70">
        <f t="shared" si="1"/>
        <v>0</v>
      </c>
      <c r="AF10" s="70">
        <f t="shared" si="1"/>
        <v>0</v>
      </c>
      <c r="AG10" s="70">
        <f t="shared" si="1"/>
        <v>0</v>
      </c>
      <c r="AH10" s="70">
        <f t="shared" si="1"/>
        <v>0</v>
      </c>
      <c r="AI10" s="7"/>
    </row>
    <row r="11" spans="1:35" ht="13.2"/>
    <row r="12" spans="1:35" ht="13.2"/>
    <row r="13" spans="1:35" ht="13.8">
      <c r="B13" s="74" t="s">
        <v>13</v>
      </c>
      <c r="D13" s="74"/>
    </row>
    <row r="14" spans="1:35" ht="15.75" customHeight="1">
      <c r="B14" s="75" t="s">
        <v>14</v>
      </c>
      <c r="C14" s="75" t="s">
        <v>15</v>
      </c>
      <c r="D14" s="75" t="s">
        <v>16</v>
      </c>
      <c r="E14" s="76" t="s">
        <v>17</v>
      </c>
      <c r="G14" s="325" t="s">
        <v>18</v>
      </c>
      <c r="J14" t="s">
        <v>167</v>
      </c>
      <c r="K14" t="s">
        <v>168</v>
      </c>
    </row>
    <row r="15" spans="1:35" ht="13.2">
      <c r="B15" s="311">
        <v>46204</v>
      </c>
      <c r="C15" s="54" t="s">
        <v>563</v>
      </c>
      <c r="D15" s="54" t="s">
        <v>564</v>
      </c>
      <c r="E15" s="312">
        <v>3094859</v>
      </c>
      <c r="F15" s="350" t="s">
        <v>171</v>
      </c>
      <c r="G15" s="351">
        <v>3094859</v>
      </c>
      <c r="H15" s="139" t="s">
        <v>563</v>
      </c>
      <c r="I15" s="139" t="s">
        <v>564</v>
      </c>
      <c r="J15" s="139" t="s">
        <v>565</v>
      </c>
      <c r="K15" s="139" t="s">
        <v>173</v>
      </c>
    </row>
    <row r="16" spans="1:35" ht="13.2" customHeight="1">
      <c r="B16" s="311">
        <v>46205</v>
      </c>
      <c r="C16" s="54" t="s">
        <v>563</v>
      </c>
      <c r="D16" s="54" t="s">
        <v>566</v>
      </c>
      <c r="E16" s="312">
        <v>2603569</v>
      </c>
      <c r="F16" s="350" t="s">
        <v>178</v>
      </c>
      <c r="G16" s="351">
        <v>2603569</v>
      </c>
      <c r="H16" s="139" t="s">
        <v>563</v>
      </c>
      <c r="I16" s="139" t="s">
        <v>566</v>
      </c>
      <c r="J16" s="139" t="s">
        <v>565</v>
      </c>
      <c r="K16" s="139" t="s">
        <v>173</v>
      </c>
    </row>
    <row r="17" spans="2:11" ht="13.2" customHeight="1">
      <c r="B17" s="311">
        <v>46205</v>
      </c>
      <c r="C17" s="54" t="s">
        <v>563</v>
      </c>
      <c r="D17" s="54" t="s">
        <v>567</v>
      </c>
      <c r="E17" s="312">
        <v>3094859</v>
      </c>
      <c r="F17" s="350" t="s">
        <v>178</v>
      </c>
      <c r="G17" s="351">
        <v>3094859</v>
      </c>
      <c r="H17" s="139" t="s">
        <v>563</v>
      </c>
      <c r="I17" s="139" t="s">
        <v>567</v>
      </c>
      <c r="J17" s="139" t="s">
        <v>565</v>
      </c>
      <c r="K17" s="139" t="s">
        <v>173</v>
      </c>
    </row>
    <row r="18" spans="2:11" ht="13.2" customHeight="1">
      <c r="B18" s="311">
        <v>46207</v>
      </c>
      <c r="C18" s="54" t="s">
        <v>563</v>
      </c>
      <c r="D18" s="54" t="s">
        <v>568</v>
      </c>
      <c r="E18" s="312">
        <v>6387087</v>
      </c>
      <c r="F18" s="350" t="s">
        <v>332</v>
      </c>
      <c r="G18" s="351">
        <v>6387087</v>
      </c>
      <c r="H18" s="139" t="s">
        <v>563</v>
      </c>
      <c r="I18" s="139" t="s">
        <v>568</v>
      </c>
      <c r="J18" s="139" t="s">
        <v>565</v>
      </c>
      <c r="K18" s="139" t="s">
        <v>173</v>
      </c>
    </row>
    <row r="19" spans="2:11" ht="13.2" customHeight="1">
      <c r="B19" s="311">
        <v>46209</v>
      </c>
      <c r="C19" s="54" t="s">
        <v>563</v>
      </c>
      <c r="D19" s="54" t="s">
        <v>569</v>
      </c>
      <c r="E19" s="312">
        <v>7606052</v>
      </c>
      <c r="F19" s="350" t="s">
        <v>187</v>
      </c>
      <c r="G19" s="351">
        <v>7606052</v>
      </c>
      <c r="H19" s="139" t="s">
        <v>563</v>
      </c>
      <c r="I19" s="139" t="s">
        <v>569</v>
      </c>
      <c r="J19" s="139" t="s">
        <v>565</v>
      </c>
      <c r="K19" s="139" t="s">
        <v>173</v>
      </c>
    </row>
    <row r="20" spans="2:11" ht="13.2" customHeight="1">
      <c r="B20" s="311">
        <v>46211</v>
      </c>
      <c r="C20" s="54" t="s">
        <v>563</v>
      </c>
      <c r="D20" s="54" t="s">
        <v>570</v>
      </c>
      <c r="E20" s="312">
        <v>8284958</v>
      </c>
      <c r="F20" s="350" t="s">
        <v>192</v>
      </c>
      <c r="G20" s="351">
        <v>8284958</v>
      </c>
      <c r="H20" s="139" t="s">
        <v>563</v>
      </c>
      <c r="I20" s="139" t="s">
        <v>570</v>
      </c>
      <c r="J20" s="139" t="s">
        <v>565</v>
      </c>
      <c r="K20" s="139" t="s">
        <v>173</v>
      </c>
    </row>
    <row r="21" spans="2:11" ht="13.2" customHeight="1">
      <c r="B21" s="311">
        <v>46213</v>
      </c>
      <c r="C21" s="54" t="s">
        <v>563</v>
      </c>
      <c r="D21" s="54" t="s">
        <v>571</v>
      </c>
      <c r="E21" s="312">
        <v>8095570</v>
      </c>
      <c r="F21" s="350" t="s">
        <v>196</v>
      </c>
      <c r="G21" s="351">
        <v>8095570</v>
      </c>
      <c r="H21" s="139" t="s">
        <v>563</v>
      </c>
      <c r="I21" s="139" t="s">
        <v>571</v>
      </c>
      <c r="J21" s="139" t="s">
        <v>565</v>
      </c>
      <c r="K21" s="139" t="s">
        <v>173</v>
      </c>
    </row>
    <row r="22" spans="2:11" ht="13.2" customHeight="1">
      <c r="B22" s="311">
        <v>46217</v>
      </c>
      <c r="C22" s="54" t="s">
        <v>563</v>
      </c>
      <c r="D22" s="54" t="s">
        <v>572</v>
      </c>
      <c r="E22" s="312">
        <v>8636605</v>
      </c>
      <c r="F22" s="350" t="s">
        <v>204</v>
      </c>
      <c r="G22" s="351">
        <v>8636605</v>
      </c>
      <c r="H22" s="139" t="s">
        <v>563</v>
      </c>
      <c r="I22" s="139" t="s">
        <v>572</v>
      </c>
      <c r="J22" s="139" t="s">
        <v>565</v>
      </c>
      <c r="K22" s="139" t="s">
        <v>173</v>
      </c>
    </row>
    <row r="23" spans="2:11" ht="13.2" customHeight="1">
      <c r="B23" s="311">
        <v>46207</v>
      </c>
      <c r="C23" s="54" t="s">
        <v>563</v>
      </c>
      <c r="D23" s="54" t="s">
        <v>573</v>
      </c>
      <c r="E23" s="312">
        <v>98747</v>
      </c>
      <c r="F23" s="350" t="s">
        <v>332</v>
      </c>
      <c r="G23" s="351">
        <v>98747</v>
      </c>
      <c r="H23" s="139" t="s">
        <v>563</v>
      </c>
      <c r="I23" s="139" t="s">
        <v>573</v>
      </c>
      <c r="J23" s="139" t="s">
        <v>574</v>
      </c>
      <c r="K23" s="139" t="s">
        <v>173</v>
      </c>
    </row>
    <row r="24" spans="2:11" ht="13.2" customHeight="1">
      <c r="B24" s="54"/>
      <c r="C24" s="54"/>
      <c r="D24" s="54"/>
      <c r="E24" s="54"/>
    </row>
    <row r="25" spans="2:11" ht="13.2" customHeight="1">
      <c r="B25" s="54"/>
      <c r="C25" s="54"/>
      <c r="D25" s="54"/>
      <c r="E25" s="54"/>
    </row>
    <row r="26" spans="2:11" ht="13.2" customHeight="1">
      <c r="B26" s="54"/>
      <c r="C26" s="54"/>
      <c r="D26" s="54"/>
      <c r="E26" s="54"/>
    </row>
    <row r="27" spans="2:11" ht="13.2" customHeight="1">
      <c r="B27" s="54"/>
      <c r="C27" s="54"/>
      <c r="D27" s="54"/>
      <c r="E27" s="54"/>
    </row>
    <row r="28" spans="2:11" ht="13.2" customHeight="1">
      <c r="B28" s="54"/>
      <c r="C28" s="54"/>
      <c r="D28" s="54"/>
      <c r="E28" s="54"/>
    </row>
    <row r="29" spans="2:11" ht="13.2" customHeight="1">
      <c r="B29" s="54"/>
      <c r="C29" s="54"/>
      <c r="D29" s="54"/>
      <c r="E29" s="54"/>
    </row>
    <row r="30" spans="2:11" ht="13.2" customHeight="1">
      <c r="B30" s="54"/>
      <c r="C30" s="54"/>
      <c r="D30" s="54"/>
      <c r="E30" s="54"/>
    </row>
    <row r="31" spans="2:11" ht="13.2" customHeight="1">
      <c r="B31" s="54"/>
      <c r="C31" s="54"/>
      <c r="D31" s="54"/>
      <c r="E31" s="54"/>
    </row>
    <row r="32" spans="2:11" ht="13.2" customHeight="1">
      <c r="B32" s="54"/>
      <c r="C32" s="54"/>
      <c r="D32" s="54"/>
      <c r="E32" s="54"/>
    </row>
  </sheetData>
  <mergeCells count="3">
    <mergeCell ref="C2:C3"/>
    <mergeCell ref="A2:A3"/>
    <mergeCell ref="B2:B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99"/>
  <sheetViews>
    <sheetView workbookViewId="0"/>
  </sheetViews>
  <sheetFormatPr defaultColWidth="12.6640625" defaultRowHeight="15.75" customHeight="1"/>
  <cols>
    <col min="1" max="1" width="4.33203125" style="323" customWidth="1"/>
  </cols>
  <sheetData>
    <row r="1" spans="1:9" ht="15.75" customHeight="1">
      <c r="A1" s="358"/>
      <c r="B1" s="359"/>
      <c r="C1" s="359"/>
      <c r="D1" s="360"/>
      <c r="E1" s="4"/>
      <c r="F1" s="4"/>
      <c r="G1" s="4"/>
    </row>
    <row r="2" spans="1:9" ht="26.4">
      <c r="A2" s="361" t="s">
        <v>0</v>
      </c>
      <c r="B2" s="363" t="s">
        <v>1</v>
      </c>
      <c r="C2" s="8" t="s">
        <v>2</v>
      </c>
      <c r="D2" s="17" t="s">
        <v>3</v>
      </c>
      <c r="E2" s="150" t="s">
        <v>4</v>
      </c>
      <c r="F2" s="150" t="s">
        <v>5</v>
      </c>
      <c r="G2" s="150" t="s">
        <v>6</v>
      </c>
      <c r="H2" s="232" t="s">
        <v>310</v>
      </c>
      <c r="I2" s="233" t="s">
        <v>311</v>
      </c>
    </row>
    <row r="3" spans="1:9" ht="13.2">
      <c r="A3" s="362"/>
      <c r="B3" s="362"/>
      <c r="C3" s="10">
        <f>+SUM(C4:C34)</f>
        <v>100000000</v>
      </c>
      <c r="D3" s="13">
        <f>SUM(D4:D34)</f>
        <v>91629631.818181783</v>
      </c>
      <c r="E3" s="17">
        <f>SUM(E4:E34)</f>
        <v>42</v>
      </c>
      <c r="F3" s="13">
        <f>SUM(F4:F36)</f>
        <v>170205000</v>
      </c>
      <c r="G3" s="21">
        <f t="shared" ref="G3:G19" si="0">IFERROR(D3/F3,0)</f>
        <v>0.53834864908893265</v>
      </c>
    </row>
    <row r="4" spans="1:9" ht="15.75" customHeight="1">
      <c r="A4" s="23">
        <v>1</v>
      </c>
      <c r="B4" s="25">
        <v>46204</v>
      </c>
      <c r="C4" s="234">
        <v>5000000</v>
      </c>
      <c r="D4" s="304">
        <f>'ĐQ Anh CT'!D8</f>
        <v>1986109.9999999998</v>
      </c>
      <c r="E4" s="264">
        <v>5</v>
      </c>
      <c r="F4" s="247">
        <v>16280000</v>
      </c>
      <c r="G4" s="34">
        <f t="shared" si="0"/>
        <v>0.12199692874692873</v>
      </c>
    </row>
    <row r="5" spans="1:9" ht="15.75" customHeight="1">
      <c r="A5" s="35">
        <v>2</v>
      </c>
      <c r="B5" s="36">
        <v>46205</v>
      </c>
      <c r="C5" s="241">
        <v>5000000</v>
      </c>
      <c r="D5" s="305">
        <f>'ĐQ Anh CT'!E8</f>
        <v>3290990.9090909087</v>
      </c>
      <c r="E5" s="266">
        <v>2</v>
      </c>
      <c r="F5" s="245">
        <v>6400000</v>
      </c>
      <c r="G5" s="39">
        <f t="shared" si="0"/>
        <v>0.51421732954545452</v>
      </c>
      <c r="H5" s="306"/>
      <c r="I5" s="307"/>
    </row>
    <row r="6" spans="1:9" ht="15.75" customHeight="1">
      <c r="A6" s="23">
        <v>3</v>
      </c>
      <c r="B6" s="25">
        <v>46206</v>
      </c>
      <c r="C6" s="234">
        <v>5000000</v>
      </c>
      <c r="D6" s="304">
        <f>'ĐQ Anh CT'!F8</f>
        <v>5726589.0909090908</v>
      </c>
      <c r="E6" s="264">
        <v>4</v>
      </c>
      <c r="F6" s="247">
        <v>12645000</v>
      </c>
      <c r="G6" s="34">
        <f t="shared" si="0"/>
        <v>0.45287379129372013</v>
      </c>
      <c r="H6" s="306"/>
      <c r="I6" s="307"/>
    </row>
    <row r="7" spans="1:9" ht="15.75" customHeight="1">
      <c r="A7" s="35">
        <v>4</v>
      </c>
      <c r="B7" s="36">
        <v>46207</v>
      </c>
      <c r="C7" s="241">
        <v>5000000</v>
      </c>
      <c r="D7" s="305">
        <f>'ĐQ Anh CT'!G8</f>
        <v>5629089.0909090908</v>
      </c>
      <c r="E7" s="266">
        <v>0</v>
      </c>
      <c r="F7" s="245">
        <v>0</v>
      </c>
      <c r="G7" s="39">
        <f t="shared" si="0"/>
        <v>0</v>
      </c>
      <c r="H7" s="306"/>
      <c r="I7" s="307"/>
    </row>
    <row r="8" spans="1:9" ht="15.75" customHeight="1">
      <c r="A8" s="23">
        <v>5</v>
      </c>
      <c r="B8" s="25">
        <v>46208</v>
      </c>
      <c r="C8" s="234">
        <v>5000000</v>
      </c>
      <c r="D8" s="304">
        <f>'ĐQ Anh CT'!H8</f>
        <v>5466980.9090909082</v>
      </c>
      <c r="E8" s="264">
        <v>0</v>
      </c>
      <c r="F8" s="247">
        <v>2530000</v>
      </c>
      <c r="G8" s="34">
        <f t="shared" si="0"/>
        <v>2.1608620194035209</v>
      </c>
      <c r="H8" s="306"/>
      <c r="I8" s="307"/>
    </row>
    <row r="9" spans="1:9" ht="15.75" customHeight="1">
      <c r="A9" s="35">
        <v>6</v>
      </c>
      <c r="B9" s="36">
        <v>46209</v>
      </c>
      <c r="C9" s="241">
        <v>5000000</v>
      </c>
      <c r="D9" s="305">
        <f>'ĐQ Anh CT'!I8</f>
        <v>0</v>
      </c>
      <c r="E9" s="266">
        <v>4</v>
      </c>
      <c r="F9" s="245">
        <v>16050000</v>
      </c>
      <c r="G9" s="39">
        <f t="shared" si="0"/>
        <v>0</v>
      </c>
      <c r="H9" s="306"/>
      <c r="I9" s="307"/>
    </row>
    <row r="10" spans="1:9" ht="15.75" customHeight="1">
      <c r="A10" s="23">
        <v>7</v>
      </c>
      <c r="B10" s="25">
        <v>46210</v>
      </c>
      <c r="C10" s="234">
        <v>5000000</v>
      </c>
      <c r="D10" s="304">
        <f>'ĐQ Anh CT'!J8</f>
        <v>7003819.0909090899</v>
      </c>
      <c r="E10" s="264">
        <v>3</v>
      </c>
      <c r="F10" s="247">
        <v>10080000</v>
      </c>
      <c r="G10" s="34">
        <f t="shared" si="0"/>
        <v>0.69482332251082246</v>
      </c>
      <c r="H10" s="306"/>
      <c r="I10" s="307"/>
    </row>
    <row r="11" spans="1:9" ht="15.75" customHeight="1">
      <c r="A11" s="35">
        <v>8</v>
      </c>
      <c r="B11" s="36">
        <v>46211</v>
      </c>
      <c r="C11" s="241">
        <v>5000000</v>
      </c>
      <c r="D11" s="305">
        <f>'ĐQ Anh CT'!K8</f>
        <v>6315219.0909090908</v>
      </c>
      <c r="E11" s="266">
        <v>2</v>
      </c>
      <c r="F11" s="245">
        <v>9125000</v>
      </c>
      <c r="G11" s="39">
        <f t="shared" si="0"/>
        <v>0.69207880448318804</v>
      </c>
      <c r="H11" s="306"/>
      <c r="I11" s="307"/>
    </row>
    <row r="12" spans="1:9" ht="15.75" customHeight="1">
      <c r="A12" s="23">
        <v>9</v>
      </c>
      <c r="B12" s="25">
        <v>46212</v>
      </c>
      <c r="C12" s="234">
        <v>5000000</v>
      </c>
      <c r="D12" s="304">
        <f>'ĐQ Anh CT'!L8</f>
        <v>3623687.2727272725</v>
      </c>
      <c r="E12" s="264">
        <v>3</v>
      </c>
      <c r="F12" s="247">
        <v>8455000</v>
      </c>
      <c r="G12" s="34">
        <f t="shared" si="0"/>
        <v>0.42858512983172947</v>
      </c>
      <c r="H12" s="306"/>
      <c r="I12" s="307"/>
    </row>
    <row r="13" spans="1:9" ht="15.75" customHeight="1">
      <c r="A13" s="35">
        <v>10</v>
      </c>
      <c r="B13" s="36">
        <v>46213</v>
      </c>
      <c r="C13" s="241">
        <v>5000000</v>
      </c>
      <c r="D13" s="305">
        <f>'ĐQ Anh CT'!M8</f>
        <v>5491600.9090909082</v>
      </c>
      <c r="E13" s="266">
        <v>0</v>
      </c>
      <c r="F13" s="245">
        <v>0</v>
      </c>
      <c r="G13" s="39">
        <f t="shared" si="0"/>
        <v>0</v>
      </c>
      <c r="H13" s="306"/>
      <c r="I13" s="307"/>
    </row>
    <row r="14" spans="1:9" ht="15.75" customHeight="1">
      <c r="A14" s="23">
        <v>11</v>
      </c>
      <c r="B14" s="25">
        <v>46214</v>
      </c>
      <c r="C14" s="234">
        <v>5000000</v>
      </c>
      <c r="D14" s="304">
        <f>'ĐQ Anh CT'!N8</f>
        <v>0</v>
      </c>
      <c r="E14" s="264"/>
      <c r="F14" s="247"/>
      <c r="G14" s="34">
        <f t="shared" si="0"/>
        <v>0</v>
      </c>
      <c r="H14" s="306"/>
      <c r="I14" s="307"/>
    </row>
    <row r="15" spans="1:9" ht="15.75" customHeight="1">
      <c r="A15" s="35">
        <v>12</v>
      </c>
      <c r="B15" s="36">
        <v>46215</v>
      </c>
      <c r="C15" s="234">
        <v>5000000</v>
      </c>
      <c r="D15" s="305">
        <f>'ĐQ Anh CT'!O8</f>
        <v>6640572.7272727266</v>
      </c>
      <c r="E15" s="266">
        <v>1</v>
      </c>
      <c r="F15" s="245">
        <v>3330000</v>
      </c>
      <c r="G15" s="39">
        <f t="shared" si="0"/>
        <v>1.994165984165984</v>
      </c>
      <c r="H15" s="306"/>
      <c r="I15" s="307"/>
    </row>
    <row r="16" spans="1:9" ht="14.4" customHeight="1">
      <c r="A16" s="23">
        <v>13</v>
      </c>
      <c r="B16" s="25">
        <v>46216</v>
      </c>
      <c r="C16" s="234">
        <v>4000000</v>
      </c>
      <c r="D16" s="304">
        <f>'ĐQ Anh CT'!P8</f>
        <v>2263460</v>
      </c>
      <c r="E16" s="264">
        <v>2</v>
      </c>
      <c r="F16" s="247">
        <v>9380000</v>
      </c>
      <c r="G16" s="34">
        <f t="shared" si="0"/>
        <v>0.24130703624733477</v>
      </c>
      <c r="H16" s="306"/>
      <c r="I16" s="307"/>
    </row>
    <row r="17" spans="1:9" ht="14.4" customHeight="1">
      <c r="A17" s="35">
        <v>14</v>
      </c>
      <c r="B17" s="36">
        <v>46217</v>
      </c>
      <c r="C17" s="234">
        <v>4000000</v>
      </c>
      <c r="D17" s="305">
        <f>'ĐQ Anh CT'!Q8</f>
        <v>2047091.8181818181</v>
      </c>
      <c r="E17" s="266">
        <v>1</v>
      </c>
      <c r="F17" s="245">
        <v>3830000</v>
      </c>
      <c r="G17" s="34">
        <f t="shared" si="0"/>
        <v>0.53448872537384284</v>
      </c>
      <c r="H17" s="306"/>
      <c r="I17" s="307"/>
    </row>
    <row r="18" spans="1:9" ht="14.4" customHeight="1">
      <c r="A18" s="23">
        <v>15</v>
      </c>
      <c r="B18" s="25">
        <v>46218</v>
      </c>
      <c r="C18" s="234">
        <v>4000000</v>
      </c>
      <c r="D18" s="304">
        <f>'ĐQ Anh CT'!R8</f>
        <v>3543669.9999999995</v>
      </c>
      <c r="E18" s="264">
        <v>2</v>
      </c>
      <c r="F18" s="247">
        <v>6810000</v>
      </c>
      <c r="G18" s="34">
        <f t="shared" si="0"/>
        <v>0.52036270190895739</v>
      </c>
      <c r="H18" s="306"/>
      <c r="I18" s="307"/>
    </row>
    <row r="19" spans="1:9" ht="14.4" customHeight="1">
      <c r="A19" s="35">
        <v>16</v>
      </c>
      <c r="B19" s="36">
        <v>46219</v>
      </c>
      <c r="C19" s="234">
        <v>4000000</v>
      </c>
      <c r="D19" s="305">
        <f>'ĐQ Anh CT'!S8</f>
        <v>2263460</v>
      </c>
      <c r="E19" s="266"/>
      <c r="F19" s="245"/>
      <c r="G19" s="39">
        <f t="shared" si="0"/>
        <v>0</v>
      </c>
      <c r="H19" s="306"/>
      <c r="I19" s="307"/>
    </row>
    <row r="20" spans="1:9" ht="14.4" customHeight="1">
      <c r="A20" s="23">
        <v>17</v>
      </c>
      <c r="B20" s="25">
        <v>46220</v>
      </c>
      <c r="C20" s="234">
        <v>4000000</v>
      </c>
      <c r="D20" s="45">
        <f>'ĐQ Anh CT'!T8</f>
        <v>0</v>
      </c>
      <c r="E20" s="264">
        <v>2</v>
      </c>
      <c r="F20" s="247">
        <v>5680000</v>
      </c>
      <c r="G20" s="34">
        <f>IFERROR(#REF!/F20,0)</f>
        <v>0</v>
      </c>
      <c r="H20" s="306"/>
      <c r="I20" s="307"/>
    </row>
    <row r="21" spans="1:9" ht="14.4" customHeight="1">
      <c r="A21" s="35">
        <v>18</v>
      </c>
      <c r="B21" s="36">
        <v>46221</v>
      </c>
      <c r="C21" s="234">
        <v>4000000</v>
      </c>
      <c r="D21" s="305">
        <f>'ĐQ Anh CT'!U8</f>
        <v>4377112.7272727266</v>
      </c>
      <c r="E21" s="266">
        <v>3</v>
      </c>
      <c r="F21" s="245">
        <v>7660000</v>
      </c>
      <c r="G21" s="34">
        <f>IFERROR(D21/F21,0)</f>
        <v>0.57142463802516008</v>
      </c>
      <c r="H21" s="306"/>
      <c r="I21" s="310"/>
    </row>
    <row r="22" spans="1:9" ht="14.4" customHeight="1">
      <c r="A22" s="23">
        <v>19</v>
      </c>
      <c r="B22" s="25">
        <v>46222</v>
      </c>
      <c r="C22" s="234">
        <v>4000000</v>
      </c>
      <c r="D22" s="304">
        <f>'ĐQ Anh CT'!V8</f>
        <v>4276280</v>
      </c>
      <c r="E22" s="264"/>
      <c r="F22" s="247">
        <v>2910000</v>
      </c>
      <c r="G22" s="34">
        <f>IFERROR(D22/F22,0)</f>
        <v>1.4695120274914089</v>
      </c>
      <c r="H22" s="306"/>
      <c r="I22" s="310"/>
    </row>
    <row r="23" spans="1:9" ht="14.4" customHeight="1">
      <c r="A23" s="35">
        <v>20</v>
      </c>
      <c r="B23" s="36">
        <v>46223</v>
      </c>
      <c r="C23" s="234">
        <v>4000000</v>
      </c>
      <c r="D23" s="305">
        <f>'ĐQ Anh CT'!W8</f>
        <v>4377112.7272727266</v>
      </c>
      <c r="E23" s="266">
        <v>2</v>
      </c>
      <c r="F23" s="247">
        <v>6390000</v>
      </c>
      <c r="G23" s="34">
        <f>IFERROR(D23/#REF!,0)</f>
        <v>0</v>
      </c>
      <c r="H23" s="306"/>
      <c r="I23" s="310"/>
    </row>
    <row r="24" spans="1:9" ht="14.4" customHeight="1">
      <c r="A24" s="23">
        <v>21</v>
      </c>
      <c r="B24" s="25">
        <v>46224</v>
      </c>
      <c r="C24" s="234">
        <v>4000000</v>
      </c>
      <c r="D24" s="304">
        <f>'ĐQ Anh CT'!X8</f>
        <v>0</v>
      </c>
      <c r="E24" s="271">
        <v>2</v>
      </c>
      <c r="F24" s="247">
        <v>5880000</v>
      </c>
      <c r="G24" s="34">
        <f>IFERROR(D24/F23,0)</f>
        <v>0</v>
      </c>
      <c r="H24" s="306"/>
      <c r="I24" s="307"/>
    </row>
    <row r="25" spans="1:9" ht="14.4" customHeight="1">
      <c r="A25" s="35">
        <v>22</v>
      </c>
      <c r="B25" s="36">
        <v>46225</v>
      </c>
      <c r="C25" s="234">
        <v>4000000</v>
      </c>
      <c r="D25" s="305">
        <f>'ĐQ Anh CT'!Y8</f>
        <v>4276280</v>
      </c>
      <c r="E25" s="266">
        <v>1</v>
      </c>
      <c r="F25" s="245">
        <v>2420000</v>
      </c>
      <c r="G25" s="34">
        <f t="shared" ref="G25:G34" si="1">IFERROR(D25/F25,0)</f>
        <v>1.7670578512396695</v>
      </c>
      <c r="H25" s="306"/>
      <c r="I25" s="310"/>
    </row>
    <row r="26" spans="1:9" ht="14.4" customHeight="1">
      <c r="A26" s="23">
        <v>23</v>
      </c>
      <c r="B26" s="25">
        <v>46226</v>
      </c>
      <c r="C26" s="234"/>
      <c r="D26" s="304">
        <f>'ĐQ Anh CT'!Z8</f>
        <v>4377112.7272727266</v>
      </c>
      <c r="E26" s="264">
        <v>3</v>
      </c>
      <c r="F26" s="245">
        <v>9500000</v>
      </c>
      <c r="G26" s="39">
        <f t="shared" si="1"/>
        <v>0.46074870813397123</v>
      </c>
      <c r="H26" s="306"/>
      <c r="I26" s="310"/>
    </row>
    <row r="27" spans="1:9" ht="14.4" customHeight="1">
      <c r="A27" s="35">
        <v>24</v>
      </c>
      <c r="B27" s="36">
        <v>46227</v>
      </c>
      <c r="C27" s="241"/>
      <c r="D27" s="305">
        <f>'ĐQ Anh CT'!AA8</f>
        <v>0</v>
      </c>
      <c r="E27" s="266"/>
      <c r="F27" s="245"/>
      <c r="G27" s="34">
        <f t="shared" si="1"/>
        <v>0</v>
      </c>
      <c r="H27" s="306"/>
      <c r="I27" s="310"/>
    </row>
    <row r="28" spans="1:9" ht="14.4" customHeight="1">
      <c r="A28" s="23">
        <v>25</v>
      </c>
      <c r="B28" s="25">
        <v>46228</v>
      </c>
      <c r="C28" s="234"/>
      <c r="D28" s="304">
        <f>'ĐQ Anh CT'!AB8</f>
        <v>0</v>
      </c>
      <c r="E28" s="264"/>
      <c r="F28" s="245">
        <v>7250000</v>
      </c>
      <c r="G28" s="34">
        <f t="shared" si="1"/>
        <v>0</v>
      </c>
      <c r="H28" s="306"/>
      <c r="I28" s="310"/>
    </row>
    <row r="29" spans="1:9" ht="14.4" customHeight="1">
      <c r="A29" s="35">
        <v>26</v>
      </c>
      <c r="B29" s="36">
        <v>46229</v>
      </c>
      <c r="C29" s="241"/>
      <c r="D29" s="305">
        <f>'ĐQ Anh CT'!AC8</f>
        <v>8653392.7272727266</v>
      </c>
      <c r="E29" s="266"/>
      <c r="F29" s="245">
        <v>3330000</v>
      </c>
      <c r="G29" s="39">
        <f t="shared" si="1"/>
        <v>2.5986164346164342</v>
      </c>
      <c r="H29" s="306"/>
      <c r="I29" s="310"/>
    </row>
    <row r="30" spans="1:9" ht="14.4" customHeight="1">
      <c r="A30" s="23">
        <v>27</v>
      </c>
      <c r="B30" s="25">
        <v>46230</v>
      </c>
      <c r="C30" s="234"/>
      <c r="D30" s="305"/>
      <c r="E30" s="264"/>
      <c r="F30" s="245"/>
      <c r="G30" s="34">
        <f t="shared" si="1"/>
        <v>0</v>
      </c>
      <c r="H30" s="306"/>
      <c r="I30" s="310"/>
    </row>
    <row r="31" spans="1:9" ht="14.4" customHeight="1">
      <c r="A31" s="35">
        <v>28</v>
      </c>
      <c r="B31" s="36">
        <v>46231</v>
      </c>
      <c r="C31" s="241"/>
      <c r="D31" s="305">
        <f>'ĐQ Anh CT'!AE8</f>
        <v>0</v>
      </c>
      <c r="E31" s="266"/>
      <c r="F31" s="245"/>
      <c r="G31" s="39">
        <f t="shared" si="1"/>
        <v>0</v>
      </c>
      <c r="H31" s="306"/>
      <c r="I31" s="310"/>
    </row>
    <row r="32" spans="1:9" ht="14.4" customHeight="1">
      <c r="A32" s="23">
        <v>29</v>
      </c>
      <c r="B32" s="25">
        <v>46232</v>
      </c>
      <c r="C32" s="234"/>
      <c r="D32" s="304">
        <f>'ĐQ Anh CT'!AF8</f>
        <v>0</v>
      </c>
      <c r="E32" s="264"/>
      <c r="F32" s="247">
        <v>7395000</v>
      </c>
      <c r="G32" s="34">
        <f t="shared" si="1"/>
        <v>0</v>
      </c>
      <c r="H32" s="306"/>
      <c r="I32" s="310"/>
    </row>
    <row r="33" spans="1:9" ht="14.4" customHeight="1">
      <c r="A33" s="35">
        <v>30</v>
      </c>
      <c r="B33" s="36">
        <v>46233</v>
      </c>
      <c r="C33" s="241"/>
      <c r="D33" s="305">
        <f>'ĐQ Anh CT'!AG8</f>
        <v>0</v>
      </c>
      <c r="E33" s="266"/>
      <c r="F33" s="245">
        <v>3330000</v>
      </c>
      <c r="G33" s="39">
        <f t="shared" si="1"/>
        <v>0</v>
      </c>
      <c r="H33" s="306"/>
      <c r="I33" s="310"/>
    </row>
    <row r="34" spans="1:9" ht="14.4" customHeight="1">
      <c r="A34" s="23">
        <v>31</v>
      </c>
      <c r="B34" s="25">
        <v>46234</v>
      </c>
      <c r="C34" s="234"/>
      <c r="D34" s="304">
        <f>'ĐQ Anh CT'!AH8</f>
        <v>0</v>
      </c>
      <c r="E34" s="264"/>
      <c r="F34" s="247">
        <v>3545000</v>
      </c>
      <c r="G34" s="34">
        <f t="shared" si="1"/>
        <v>0</v>
      </c>
      <c r="H34" s="306"/>
      <c r="I34" s="310"/>
    </row>
    <row r="35" spans="1:9" ht="14.4" customHeight="1">
      <c r="A35" s="259"/>
      <c r="B35" s="36"/>
      <c r="C35" s="72"/>
      <c r="D35" s="241"/>
      <c r="E35" s="259"/>
      <c r="F35" s="245"/>
      <c r="G35" s="201"/>
    </row>
    <row r="36" spans="1:9" ht="13.2" customHeight="1">
      <c r="B36" s="73"/>
    </row>
    <row r="37" spans="1:9" ht="13.2" customHeight="1">
      <c r="B37" s="73"/>
    </row>
    <row r="38" spans="1:9" ht="13.2" customHeight="1">
      <c r="B38" s="73"/>
    </row>
    <row r="39" spans="1:9" ht="13.2" customHeight="1">
      <c r="B39" s="73"/>
    </row>
    <row r="40" spans="1:9" ht="13.2" customHeight="1">
      <c r="B40" s="73"/>
    </row>
    <row r="41" spans="1:9" ht="13.2" customHeight="1">
      <c r="B41" s="73"/>
    </row>
    <row r="42" spans="1:9" ht="13.2" customHeight="1">
      <c r="B42" s="73"/>
    </row>
    <row r="43" spans="1:9" ht="13.2" customHeight="1">
      <c r="B43" s="73"/>
    </row>
    <row r="44" spans="1:9" ht="13.2" customHeight="1">
      <c r="B44" s="73"/>
    </row>
    <row r="45" spans="1:9" ht="13.2" customHeight="1">
      <c r="B45" s="73"/>
    </row>
    <row r="46" spans="1:9" ht="13.2" customHeight="1">
      <c r="B46" s="73"/>
    </row>
    <row r="47" spans="1:9" ht="13.2" customHeight="1">
      <c r="B47" s="73"/>
    </row>
    <row r="48" spans="1:9" ht="13.2" customHeight="1">
      <c r="B48" s="73"/>
    </row>
    <row r="49" spans="2:2" ht="13.2" customHeight="1">
      <c r="B49" s="73"/>
    </row>
    <row r="50" spans="2:2" ht="13.2" customHeight="1">
      <c r="B50" s="73"/>
    </row>
    <row r="51" spans="2:2" ht="13.2" customHeight="1">
      <c r="B51" s="73"/>
    </row>
    <row r="52" spans="2:2" ht="13.2" customHeight="1">
      <c r="B52" s="73"/>
    </row>
    <row r="53" spans="2:2" ht="13.2" customHeight="1">
      <c r="B53" s="73"/>
    </row>
    <row r="54" spans="2:2" ht="13.2" customHeight="1">
      <c r="B54" s="73"/>
    </row>
    <row r="55" spans="2:2" ht="13.2" customHeight="1">
      <c r="B55" s="73"/>
    </row>
    <row r="56" spans="2:2" ht="13.2" customHeight="1">
      <c r="B56" s="73"/>
    </row>
    <row r="57" spans="2:2" ht="13.2" customHeight="1">
      <c r="B57" s="73"/>
    </row>
    <row r="58" spans="2:2" ht="13.2" customHeight="1">
      <c r="B58" s="73"/>
    </row>
    <row r="59" spans="2:2" ht="13.2" customHeight="1">
      <c r="B59" s="73"/>
    </row>
    <row r="60" spans="2:2" ht="13.2" customHeight="1">
      <c r="B60" s="73"/>
    </row>
    <row r="61" spans="2:2" ht="13.2" customHeight="1">
      <c r="B61" s="73"/>
    </row>
    <row r="62" spans="2:2" ht="13.2" customHeight="1">
      <c r="B62" s="73"/>
    </row>
    <row r="63" spans="2:2" ht="13.2" customHeight="1">
      <c r="B63" s="73"/>
    </row>
    <row r="64" spans="2:2" ht="13.2" customHeight="1">
      <c r="B64" s="73"/>
    </row>
    <row r="65" spans="2:2" ht="13.2" customHeight="1">
      <c r="B65" s="73"/>
    </row>
    <row r="66" spans="2:2" ht="13.2" customHeight="1">
      <c r="B66" s="73"/>
    </row>
    <row r="67" spans="2:2" ht="13.2" customHeight="1">
      <c r="B67" s="73"/>
    </row>
    <row r="68" spans="2:2" ht="13.2" customHeight="1">
      <c r="B68" s="73"/>
    </row>
    <row r="69" spans="2:2" ht="13.2" customHeight="1">
      <c r="B69" s="73"/>
    </row>
    <row r="70" spans="2:2" ht="13.2" customHeight="1">
      <c r="B70" s="73"/>
    </row>
    <row r="71" spans="2:2" ht="13.2" customHeight="1">
      <c r="B71" s="73"/>
    </row>
    <row r="72" spans="2:2" ht="13.2" customHeight="1">
      <c r="B72" s="73"/>
    </row>
    <row r="73" spans="2:2" ht="13.2" customHeight="1">
      <c r="B73" s="73"/>
    </row>
    <row r="74" spans="2:2" ht="13.2" customHeight="1">
      <c r="B74" s="73"/>
    </row>
    <row r="75" spans="2:2" ht="13.2" customHeight="1">
      <c r="B75" s="73"/>
    </row>
    <row r="76" spans="2:2" ht="13.2" customHeight="1">
      <c r="B76" s="73"/>
    </row>
    <row r="77" spans="2:2" ht="13.2" customHeight="1">
      <c r="B77" s="73"/>
    </row>
    <row r="78" spans="2:2" ht="13.2" customHeight="1">
      <c r="B78" s="73"/>
    </row>
    <row r="79" spans="2:2" ht="13.2" customHeight="1">
      <c r="B79" s="73"/>
    </row>
    <row r="80" spans="2:2" ht="13.2" customHeight="1">
      <c r="B80" s="73"/>
    </row>
    <row r="81" spans="2:2" ht="13.2" customHeight="1">
      <c r="B81" s="73"/>
    </row>
    <row r="82" spans="2:2" ht="13.2" customHeight="1">
      <c r="B82" s="73"/>
    </row>
    <row r="83" spans="2:2" ht="13.2" customHeight="1">
      <c r="B83" s="73"/>
    </row>
    <row r="84" spans="2:2" ht="13.2" customHeight="1">
      <c r="B84" s="73"/>
    </row>
    <row r="85" spans="2:2" ht="13.2" customHeight="1">
      <c r="B85" s="73"/>
    </row>
    <row r="86" spans="2:2" ht="13.2" customHeight="1">
      <c r="B86" s="73"/>
    </row>
    <row r="87" spans="2:2" ht="13.2" customHeight="1">
      <c r="B87" s="73"/>
    </row>
    <row r="88" spans="2:2" ht="13.2" customHeight="1">
      <c r="B88" s="73"/>
    </row>
    <row r="89" spans="2:2" ht="13.2" customHeight="1">
      <c r="B89" s="73"/>
    </row>
    <row r="90" spans="2:2" ht="13.2" customHeight="1">
      <c r="B90" s="73"/>
    </row>
    <row r="91" spans="2:2" ht="13.2" customHeight="1">
      <c r="B91" s="73"/>
    </row>
    <row r="92" spans="2:2" ht="13.2" customHeight="1">
      <c r="B92" s="73"/>
    </row>
    <row r="93" spans="2:2" ht="13.2" customHeight="1">
      <c r="B93" s="73"/>
    </row>
    <row r="94" spans="2:2" ht="13.2" customHeight="1">
      <c r="B94" s="73"/>
    </row>
    <row r="95" spans="2:2" ht="13.2" customHeight="1">
      <c r="B95" s="73"/>
    </row>
    <row r="96" spans="2:2" ht="13.2" customHeight="1">
      <c r="B96" s="73"/>
    </row>
    <row r="97" spans="2:2" ht="13.2" customHeight="1">
      <c r="B97" s="73"/>
    </row>
    <row r="98" spans="2:2" ht="13.2" customHeight="1">
      <c r="B98" s="73"/>
    </row>
    <row r="99" spans="2:2" ht="13.2" customHeight="1">
      <c r="B99" s="73"/>
    </row>
    <row r="100" spans="2:2" ht="13.2" customHeight="1">
      <c r="B100" s="73"/>
    </row>
    <row r="101" spans="2:2" ht="13.2" customHeight="1">
      <c r="B101" s="73"/>
    </row>
    <row r="102" spans="2:2" ht="13.2" customHeight="1">
      <c r="B102" s="73"/>
    </row>
    <row r="103" spans="2:2" ht="13.2" customHeight="1">
      <c r="B103" s="73"/>
    </row>
    <row r="104" spans="2:2" ht="13.2" customHeight="1">
      <c r="B104" s="73"/>
    </row>
    <row r="105" spans="2:2" ht="13.2" customHeight="1">
      <c r="B105" s="73"/>
    </row>
    <row r="106" spans="2:2" ht="13.2" customHeight="1">
      <c r="B106" s="73"/>
    </row>
    <row r="107" spans="2:2" ht="13.2" customHeight="1">
      <c r="B107" s="73"/>
    </row>
    <row r="108" spans="2:2" ht="13.2" customHeight="1">
      <c r="B108" s="73"/>
    </row>
    <row r="109" spans="2:2" ht="13.2" customHeight="1">
      <c r="B109" s="73"/>
    </row>
    <row r="110" spans="2:2" ht="13.2" customHeight="1">
      <c r="B110" s="73"/>
    </row>
    <row r="111" spans="2:2" ht="13.2" customHeight="1">
      <c r="B111" s="73"/>
    </row>
    <row r="112" spans="2:2" ht="13.2" customHeight="1">
      <c r="B112" s="73"/>
    </row>
    <row r="113" spans="2:2" ht="13.2" customHeight="1">
      <c r="B113" s="73"/>
    </row>
    <row r="114" spans="2:2" ht="13.2" customHeight="1">
      <c r="B114" s="73"/>
    </row>
    <row r="115" spans="2:2" ht="13.2" customHeight="1">
      <c r="B115" s="73"/>
    </row>
    <row r="116" spans="2:2" ht="13.2" customHeight="1">
      <c r="B116" s="73"/>
    </row>
    <row r="117" spans="2:2" ht="13.2" customHeight="1">
      <c r="B117" s="73"/>
    </row>
    <row r="118" spans="2:2" ht="13.2" customHeight="1">
      <c r="B118" s="73"/>
    </row>
    <row r="119" spans="2:2" ht="13.2" customHeight="1">
      <c r="B119" s="73"/>
    </row>
    <row r="120" spans="2:2" ht="13.2" customHeight="1">
      <c r="B120" s="73"/>
    </row>
    <row r="121" spans="2:2" ht="13.2" customHeight="1">
      <c r="B121" s="73"/>
    </row>
    <row r="122" spans="2:2" ht="13.2" customHeight="1">
      <c r="B122" s="73"/>
    </row>
    <row r="123" spans="2:2" ht="13.2" customHeight="1">
      <c r="B123" s="73"/>
    </row>
    <row r="124" spans="2:2" ht="13.2" customHeight="1">
      <c r="B124" s="73"/>
    </row>
    <row r="125" spans="2:2" ht="13.2" customHeight="1">
      <c r="B125" s="73"/>
    </row>
    <row r="126" spans="2:2" ht="13.2" customHeight="1">
      <c r="B126" s="73"/>
    </row>
    <row r="127" spans="2:2" ht="13.2" customHeight="1">
      <c r="B127" s="73"/>
    </row>
    <row r="128" spans="2:2" ht="13.2" customHeight="1">
      <c r="B128" s="73"/>
    </row>
    <row r="129" spans="2:2" ht="13.2" customHeight="1">
      <c r="B129" s="73"/>
    </row>
    <row r="130" spans="2:2" ht="13.2" customHeight="1">
      <c r="B130" s="73"/>
    </row>
    <row r="131" spans="2:2" ht="13.2" customHeight="1">
      <c r="B131" s="73"/>
    </row>
    <row r="132" spans="2:2" ht="13.2" customHeight="1">
      <c r="B132" s="73"/>
    </row>
    <row r="133" spans="2:2" ht="13.2" customHeight="1">
      <c r="B133" s="73"/>
    </row>
    <row r="134" spans="2:2" ht="13.2" customHeight="1">
      <c r="B134" s="73"/>
    </row>
    <row r="135" spans="2:2" ht="13.2" customHeight="1">
      <c r="B135" s="73"/>
    </row>
    <row r="136" spans="2:2" ht="13.2" customHeight="1">
      <c r="B136" s="73"/>
    </row>
    <row r="137" spans="2:2" ht="13.2" customHeight="1">
      <c r="B137" s="73"/>
    </row>
    <row r="138" spans="2:2" ht="13.2" customHeight="1">
      <c r="B138" s="73"/>
    </row>
    <row r="139" spans="2:2" ht="13.2" customHeight="1">
      <c r="B139" s="73"/>
    </row>
    <row r="140" spans="2:2" ht="13.2" customHeight="1">
      <c r="B140" s="73"/>
    </row>
    <row r="141" spans="2:2" ht="13.2" customHeight="1">
      <c r="B141" s="73"/>
    </row>
    <row r="142" spans="2:2" ht="13.2" customHeight="1">
      <c r="B142" s="73"/>
    </row>
    <row r="143" spans="2:2" ht="13.2" customHeight="1">
      <c r="B143" s="73"/>
    </row>
    <row r="144" spans="2:2" ht="13.2" customHeight="1">
      <c r="B144" s="73"/>
    </row>
    <row r="145" spans="2:2" ht="13.2" customHeight="1">
      <c r="B145" s="73"/>
    </row>
    <row r="146" spans="2:2" ht="13.2" customHeight="1">
      <c r="B146" s="73"/>
    </row>
    <row r="147" spans="2:2" ht="13.2" customHeight="1">
      <c r="B147" s="73"/>
    </row>
    <row r="148" spans="2:2" ht="13.2" customHeight="1">
      <c r="B148" s="73"/>
    </row>
    <row r="149" spans="2:2" ht="13.2" customHeight="1">
      <c r="B149" s="73"/>
    </row>
    <row r="150" spans="2:2" ht="13.2" customHeight="1">
      <c r="B150" s="73"/>
    </row>
    <row r="151" spans="2:2" ht="13.2" customHeight="1">
      <c r="B151" s="73"/>
    </row>
    <row r="152" spans="2:2" ht="13.2" customHeight="1">
      <c r="B152" s="73"/>
    </row>
    <row r="153" spans="2:2" ht="13.2" customHeight="1">
      <c r="B153" s="73"/>
    </row>
    <row r="154" spans="2:2" ht="13.2" customHeight="1">
      <c r="B154" s="73"/>
    </row>
    <row r="155" spans="2:2" ht="13.2" customHeight="1">
      <c r="B155" s="73"/>
    </row>
    <row r="156" spans="2:2" ht="13.2" customHeight="1">
      <c r="B156" s="73"/>
    </row>
    <row r="157" spans="2:2" ht="13.2" customHeight="1">
      <c r="B157" s="73"/>
    </row>
    <row r="158" spans="2:2" ht="13.2" customHeight="1">
      <c r="B158" s="73"/>
    </row>
    <row r="159" spans="2:2" ht="13.2" customHeight="1">
      <c r="B159" s="73"/>
    </row>
    <row r="160" spans="2:2" ht="13.2" customHeight="1">
      <c r="B160" s="73"/>
    </row>
    <row r="161" spans="2:2" ht="13.2" customHeight="1">
      <c r="B161" s="73"/>
    </row>
    <row r="162" spans="2:2" ht="13.2" customHeight="1">
      <c r="B162" s="73"/>
    </row>
    <row r="163" spans="2:2" ht="13.2" customHeight="1">
      <c r="B163" s="73"/>
    </row>
    <row r="164" spans="2:2" ht="13.2" customHeight="1">
      <c r="B164" s="73"/>
    </row>
    <row r="165" spans="2:2" ht="13.2" customHeight="1">
      <c r="B165" s="73"/>
    </row>
    <row r="166" spans="2:2" ht="13.2" customHeight="1">
      <c r="B166" s="73"/>
    </row>
    <row r="167" spans="2:2" ht="13.2" customHeight="1">
      <c r="B167" s="73"/>
    </row>
    <row r="168" spans="2:2" ht="13.2" customHeight="1">
      <c r="B168" s="73"/>
    </row>
    <row r="169" spans="2:2" ht="13.2" customHeight="1">
      <c r="B169" s="73"/>
    </row>
    <row r="170" spans="2:2" ht="13.2" customHeight="1">
      <c r="B170" s="73"/>
    </row>
    <row r="171" spans="2:2" ht="13.2" customHeight="1">
      <c r="B171" s="73"/>
    </row>
    <row r="172" spans="2:2" ht="13.2" customHeight="1">
      <c r="B172" s="73"/>
    </row>
    <row r="173" spans="2:2" ht="13.2" customHeight="1">
      <c r="B173" s="73"/>
    </row>
    <row r="174" spans="2:2" ht="13.2" customHeight="1">
      <c r="B174" s="73"/>
    </row>
    <row r="175" spans="2:2" ht="13.2" customHeight="1">
      <c r="B175" s="73"/>
    </row>
    <row r="176" spans="2:2" ht="13.2" customHeight="1">
      <c r="B176" s="73"/>
    </row>
    <row r="177" spans="2:2" ht="13.2" customHeight="1">
      <c r="B177" s="73"/>
    </row>
    <row r="178" spans="2:2" ht="13.2" customHeight="1">
      <c r="B178" s="73"/>
    </row>
    <row r="179" spans="2:2" ht="13.2" customHeight="1">
      <c r="B179" s="73"/>
    </row>
    <row r="180" spans="2:2" ht="13.2" customHeight="1">
      <c r="B180" s="73"/>
    </row>
    <row r="181" spans="2:2" ht="13.2" customHeight="1">
      <c r="B181" s="73"/>
    </row>
    <row r="182" spans="2:2" ht="13.2" customHeight="1">
      <c r="B182" s="73"/>
    </row>
    <row r="183" spans="2:2" ht="13.2" customHeight="1">
      <c r="B183" s="73"/>
    </row>
    <row r="184" spans="2:2" ht="13.2" customHeight="1">
      <c r="B184" s="73"/>
    </row>
    <row r="185" spans="2:2" ht="13.2" customHeight="1">
      <c r="B185" s="73"/>
    </row>
    <row r="186" spans="2:2" ht="13.2" customHeight="1">
      <c r="B186" s="73"/>
    </row>
    <row r="187" spans="2:2" ht="13.2" customHeight="1">
      <c r="B187" s="73"/>
    </row>
    <row r="188" spans="2:2" ht="13.2" customHeight="1">
      <c r="B188" s="73"/>
    </row>
    <row r="189" spans="2:2" ht="13.2" customHeight="1">
      <c r="B189" s="73"/>
    </row>
    <row r="190" spans="2:2" ht="13.2" customHeight="1">
      <c r="B190" s="73"/>
    </row>
    <row r="191" spans="2:2" ht="13.2" customHeight="1">
      <c r="B191" s="73"/>
    </row>
    <row r="192" spans="2:2" ht="13.2" customHeight="1">
      <c r="B192" s="73"/>
    </row>
    <row r="193" spans="2:2" ht="13.2" customHeight="1">
      <c r="B193" s="73"/>
    </row>
    <row r="194" spans="2:2" ht="13.2" customHeight="1">
      <c r="B194" s="73"/>
    </row>
    <row r="195" spans="2:2" ht="13.2" customHeight="1">
      <c r="B195" s="73"/>
    </row>
    <row r="196" spans="2:2" ht="13.2" customHeight="1">
      <c r="B196" s="73"/>
    </row>
    <row r="197" spans="2:2" ht="13.2" customHeight="1">
      <c r="B197" s="73"/>
    </row>
    <row r="198" spans="2:2" ht="13.2" customHeight="1">
      <c r="B198" s="73"/>
    </row>
    <row r="199" spans="2:2" ht="13.2" customHeight="1">
      <c r="B199" s="73"/>
    </row>
    <row r="200" spans="2:2" ht="13.2" customHeight="1">
      <c r="B200" s="73"/>
    </row>
    <row r="201" spans="2:2" ht="13.2" customHeight="1">
      <c r="B201" s="73"/>
    </row>
    <row r="202" spans="2:2" ht="13.2" customHeight="1">
      <c r="B202" s="73"/>
    </row>
    <row r="203" spans="2:2" ht="13.2" customHeight="1">
      <c r="B203" s="73"/>
    </row>
    <row r="204" spans="2:2" ht="13.2" customHeight="1">
      <c r="B204" s="73"/>
    </row>
    <row r="205" spans="2:2" ht="13.2" customHeight="1">
      <c r="B205" s="73"/>
    </row>
    <row r="206" spans="2:2" ht="13.2" customHeight="1">
      <c r="B206" s="73"/>
    </row>
    <row r="207" spans="2:2" ht="13.2" customHeight="1">
      <c r="B207" s="73"/>
    </row>
    <row r="208" spans="2:2" ht="13.2" customHeight="1">
      <c r="B208" s="73"/>
    </row>
    <row r="209" spans="2:2" ht="13.2" customHeight="1">
      <c r="B209" s="73"/>
    </row>
    <row r="210" spans="2:2" ht="13.2" customHeight="1">
      <c r="B210" s="73"/>
    </row>
    <row r="211" spans="2:2" ht="13.2" customHeight="1">
      <c r="B211" s="73"/>
    </row>
    <row r="212" spans="2:2" ht="13.2" customHeight="1">
      <c r="B212" s="73"/>
    </row>
    <row r="213" spans="2:2" ht="13.2" customHeight="1">
      <c r="B213" s="73"/>
    </row>
    <row r="214" spans="2:2" ht="13.2" customHeight="1">
      <c r="B214" s="73"/>
    </row>
    <row r="215" spans="2:2" ht="13.2" customHeight="1">
      <c r="B215" s="73"/>
    </row>
    <row r="216" spans="2:2" ht="13.2" customHeight="1">
      <c r="B216" s="73"/>
    </row>
    <row r="217" spans="2:2" ht="13.2" customHeight="1">
      <c r="B217" s="73"/>
    </row>
    <row r="218" spans="2:2" ht="13.2" customHeight="1">
      <c r="B218" s="73"/>
    </row>
    <row r="219" spans="2:2" ht="13.2" customHeight="1">
      <c r="B219" s="73"/>
    </row>
    <row r="220" spans="2:2" ht="13.2" customHeight="1">
      <c r="B220" s="73"/>
    </row>
    <row r="221" spans="2:2" ht="13.2" customHeight="1">
      <c r="B221" s="73"/>
    </row>
    <row r="222" spans="2:2" ht="13.2" customHeight="1">
      <c r="B222" s="73"/>
    </row>
    <row r="223" spans="2:2" ht="13.2" customHeight="1">
      <c r="B223" s="73"/>
    </row>
    <row r="224" spans="2:2" ht="13.2" customHeight="1">
      <c r="B224" s="73"/>
    </row>
    <row r="225" spans="2:2" ht="13.2" customHeight="1">
      <c r="B225" s="73"/>
    </row>
    <row r="226" spans="2:2" ht="13.2" customHeight="1">
      <c r="B226" s="73"/>
    </row>
    <row r="227" spans="2:2" ht="13.2" customHeight="1">
      <c r="B227" s="73"/>
    </row>
    <row r="228" spans="2:2" ht="13.2" customHeight="1">
      <c r="B228" s="73"/>
    </row>
    <row r="229" spans="2:2" ht="13.2" customHeight="1">
      <c r="B229" s="73"/>
    </row>
    <row r="230" spans="2:2" ht="13.2" customHeight="1">
      <c r="B230" s="73"/>
    </row>
    <row r="231" spans="2:2" ht="13.2" customHeight="1">
      <c r="B231" s="73"/>
    </row>
    <row r="232" spans="2:2" ht="13.2" customHeight="1">
      <c r="B232" s="73"/>
    </row>
    <row r="233" spans="2:2" ht="13.2" customHeight="1">
      <c r="B233" s="73"/>
    </row>
    <row r="234" spans="2:2" ht="13.2" customHeight="1">
      <c r="B234" s="73"/>
    </row>
    <row r="235" spans="2:2" ht="13.2" customHeight="1">
      <c r="B235" s="73"/>
    </row>
    <row r="236" spans="2:2" ht="13.2" customHeight="1">
      <c r="B236" s="73"/>
    </row>
    <row r="237" spans="2:2" ht="13.2" customHeight="1">
      <c r="B237" s="73"/>
    </row>
    <row r="238" spans="2:2" ht="13.2" customHeight="1">
      <c r="B238" s="73"/>
    </row>
    <row r="239" spans="2:2" ht="13.2" customHeight="1">
      <c r="B239" s="73"/>
    </row>
    <row r="240" spans="2:2" ht="13.2" customHeight="1">
      <c r="B240" s="73"/>
    </row>
    <row r="241" spans="2:2" ht="13.2" customHeight="1">
      <c r="B241" s="73"/>
    </row>
    <row r="242" spans="2:2" ht="13.2" customHeight="1">
      <c r="B242" s="73"/>
    </row>
    <row r="243" spans="2:2" ht="13.2" customHeight="1">
      <c r="B243" s="73"/>
    </row>
    <row r="244" spans="2:2" ht="13.2" customHeight="1">
      <c r="B244" s="73"/>
    </row>
    <row r="245" spans="2:2" ht="13.2" customHeight="1">
      <c r="B245" s="73"/>
    </row>
    <row r="246" spans="2:2" ht="13.2" customHeight="1">
      <c r="B246" s="73"/>
    </row>
    <row r="247" spans="2:2" ht="13.2" customHeight="1">
      <c r="B247" s="73"/>
    </row>
    <row r="248" spans="2:2" ht="13.2" customHeight="1">
      <c r="B248" s="73"/>
    </row>
    <row r="249" spans="2:2" ht="13.2" customHeight="1">
      <c r="B249" s="73"/>
    </row>
    <row r="250" spans="2:2" ht="13.2" customHeight="1">
      <c r="B250" s="73"/>
    </row>
    <row r="251" spans="2:2" ht="13.2" customHeight="1">
      <c r="B251" s="73"/>
    </row>
    <row r="252" spans="2:2" ht="13.2" customHeight="1">
      <c r="B252" s="73"/>
    </row>
    <row r="253" spans="2:2" ht="13.2" customHeight="1">
      <c r="B253" s="73"/>
    </row>
    <row r="254" spans="2:2" ht="13.2" customHeight="1">
      <c r="B254" s="73"/>
    </row>
    <row r="255" spans="2:2" ht="13.2" customHeight="1">
      <c r="B255" s="73"/>
    </row>
    <row r="256" spans="2:2" ht="13.2" customHeight="1">
      <c r="B256" s="73"/>
    </row>
    <row r="257" spans="2:2" ht="13.2" customHeight="1">
      <c r="B257" s="73"/>
    </row>
    <row r="258" spans="2:2" ht="13.2" customHeight="1">
      <c r="B258" s="73"/>
    </row>
    <row r="259" spans="2:2" ht="13.2" customHeight="1">
      <c r="B259" s="73"/>
    </row>
    <row r="260" spans="2:2" ht="13.2" customHeight="1">
      <c r="B260" s="73"/>
    </row>
    <row r="261" spans="2:2" ht="13.2" customHeight="1">
      <c r="B261" s="73"/>
    </row>
    <row r="262" spans="2:2" ht="13.2" customHeight="1">
      <c r="B262" s="73"/>
    </row>
    <row r="263" spans="2:2" ht="13.2" customHeight="1">
      <c r="B263" s="73"/>
    </row>
    <row r="264" spans="2:2" ht="13.2" customHeight="1">
      <c r="B264" s="73"/>
    </row>
    <row r="265" spans="2:2" ht="13.2" customHeight="1">
      <c r="B265" s="73"/>
    </row>
    <row r="266" spans="2:2" ht="13.2" customHeight="1">
      <c r="B266" s="73"/>
    </row>
    <row r="267" spans="2:2" ht="13.2" customHeight="1">
      <c r="B267" s="73"/>
    </row>
    <row r="268" spans="2:2" ht="13.2" customHeight="1">
      <c r="B268" s="73"/>
    </row>
    <row r="269" spans="2:2" ht="13.2" customHeight="1">
      <c r="B269" s="73"/>
    </row>
    <row r="270" spans="2:2" ht="13.2" customHeight="1">
      <c r="B270" s="73"/>
    </row>
    <row r="271" spans="2:2" ht="13.2" customHeight="1">
      <c r="B271" s="73"/>
    </row>
    <row r="272" spans="2:2" ht="13.2" customHeight="1">
      <c r="B272" s="73"/>
    </row>
    <row r="273" spans="2:2" ht="13.2" customHeight="1">
      <c r="B273" s="73"/>
    </row>
    <row r="274" spans="2:2" ht="13.2" customHeight="1">
      <c r="B274" s="73"/>
    </row>
    <row r="275" spans="2:2" ht="13.2" customHeight="1">
      <c r="B275" s="73"/>
    </row>
    <row r="276" spans="2:2" ht="13.2" customHeight="1">
      <c r="B276" s="73"/>
    </row>
    <row r="277" spans="2:2" ht="13.2" customHeight="1">
      <c r="B277" s="73"/>
    </row>
    <row r="278" spans="2:2" ht="13.2" customHeight="1">
      <c r="B278" s="73"/>
    </row>
    <row r="279" spans="2:2" ht="13.2" customHeight="1">
      <c r="B279" s="73"/>
    </row>
    <row r="280" spans="2:2" ht="13.2" customHeight="1">
      <c r="B280" s="73"/>
    </row>
    <row r="281" spans="2:2" ht="13.2" customHeight="1">
      <c r="B281" s="73"/>
    </row>
    <row r="282" spans="2:2" ht="13.2" customHeight="1">
      <c r="B282" s="73"/>
    </row>
    <row r="283" spans="2:2" ht="13.2" customHeight="1">
      <c r="B283" s="73"/>
    </row>
    <row r="284" spans="2:2" ht="13.2" customHeight="1">
      <c r="B284" s="73"/>
    </row>
    <row r="285" spans="2:2" ht="13.2" customHeight="1">
      <c r="B285" s="73"/>
    </row>
    <row r="286" spans="2:2" ht="13.2" customHeight="1">
      <c r="B286" s="73"/>
    </row>
    <row r="287" spans="2:2" ht="13.2" customHeight="1">
      <c r="B287" s="73"/>
    </row>
    <row r="288" spans="2:2" ht="13.2" customHeight="1">
      <c r="B288" s="73"/>
    </row>
    <row r="289" spans="2:2" ht="13.2" customHeight="1">
      <c r="B289" s="73"/>
    </row>
    <row r="290" spans="2:2" ht="13.2" customHeight="1">
      <c r="B290" s="73"/>
    </row>
    <row r="291" spans="2:2" ht="13.2" customHeight="1">
      <c r="B291" s="73"/>
    </row>
    <row r="292" spans="2:2" ht="13.2" customHeight="1">
      <c r="B292" s="73"/>
    </row>
    <row r="293" spans="2:2" ht="13.2" customHeight="1">
      <c r="B293" s="73"/>
    </row>
    <row r="294" spans="2:2" ht="13.2" customHeight="1">
      <c r="B294" s="73"/>
    </row>
    <row r="295" spans="2:2" ht="13.2" customHeight="1">
      <c r="B295" s="73"/>
    </row>
    <row r="296" spans="2:2" ht="13.2" customHeight="1">
      <c r="B296" s="73"/>
    </row>
    <row r="297" spans="2:2" ht="13.2" customHeight="1">
      <c r="B297" s="73"/>
    </row>
    <row r="298" spans="2:2" ht="13.2" customHeight="1">
      <c r="B298" s="73"/>
    </row>
    <row r="299" spans="2:2" ht="13.2" customHeight="1">
      <c r="B299" s="73"/>
    </row>
    <row r="300" spans="2:2" ht="13.2" customHeight="1">
      <c r="B300" s="73"/>
    </row>
    <row r="301" spans="2:2" ht="13.2" customHeight="1">
      <c r="B301" s="73"/>
    </row>
    <row r="302" spans="2:2" ht="13.2" customHeight="1">
      <c r="B302" s="73"/>
    </row>
    <row r="303" spans="2:2" ht="13.2" customHeight="1">
      <c r="B303" s="73"/>
    </row>
    <row r="304" spans="2:2" ht="13.2" customHeight="1">
      <c r="B304" s="73"/>
    </row>
    <row r="305" spans="2:2" ht="13.2" customHeight="1">
      <c r="B305" s="73"/>
    </row>
    <row r="306" spans="2:2" ht="13.2" customHeight="1">
      <c r="B306" s="73"/>
    </row>
    <row r="307" spans="2:2" ht="13.2" customHeight="1">
      <c r="B307" s="73"/>
    </row>
    <row r="308" spans="2:2" ht="13.2" customHeight="1">
      <c r="B308" s="73"/>
    </row>
    <row r="309" spans="2:2" ht="13.2" customHeight="1">
      <c r="B309" s="73"/>
    </row>
    <row r="310" spans="2:2" ht="13.2" customHeight="1">
      <c r="B310" s="73"/>
    </row>
    <row r="311" spans="2:2" ht="13.2" customHeight="1">
      <c r="B311" s="73"/>
    </row>
    <row r="312" spans="2:2" ht="13.2" customHeight="1">
      <c r="B312" s="73"/>
    </row>
    <row r="313" spans="2:2" ht="13.2" customHeight="1">
      <c r="B313" s="73"/>
    </row>
    <row r="314" spans="2:2" ht="13.2" customHeight="1">
      <c r="B314" s="73"/>
    </row>
    <row r="315" spans="2:2" ht="13.2" customHeight="1">
      <c r="B315" s="73"/>
    </row>
    <row r="316" spans="2:2" ht="13.2" customHeight="1">
      <c r="B316" s="73"/>
    </row>
    <row r="317" spans="2:2" ht="13.2" customHeight="1">
      <c r="B317" s="73"/>
    </row>
    <row r="318" spans="2:2" ht="13.2" customHeight="1">
      <c r="B318" s="73"/>
    </row>
    <row r="319" spans="2:2" ht="13.2" customHeight="1">
      <c r="B319" s="73"/>
    </row>
    <row r="320" spans="2:2" ht="13.2" customHeight="1">
      <c r="B320" s="73"/>
    </row>
    <row r="321" spans="2:2" ht="13.2" customHeight="1">
      <c r="B321" s="73"/>
    </row>
    <row r="322" spans="2:2" ht="13.2" customHeight="1">
      <c r="B322" s="73"/>
    </row>
    <row r="323" spans="2:2" ht="13.2" customHeight="1">
      <c r="B323" s="73"/>
    </row>
    <row r="324" spans="2:2" ht="13.2" customHeight="1">
      <c r="B324" s="73"/>
    </row>
    <row r="325" spans="2:2" ht="13.2" customHeight="1">
      <c r="B325" s="73"/>
    </row>
    <row r="326" spans="2:2" ht="13.2" customHeight="1">
      <c r="B326" s="73"/>
    </row>
    <row r="327" spans="2:2" ht="13.2" customHeight="1">
      <c r="B327" s="73"/>
    </row>
    <row r="328" spans="2:2" ht="13.2" customHeight="1">
      <c r="B328" s="73"/>
    </row>
    <row r="329" spans="2:2" ht="13.2" customHeight="1">
      <c r="B329" s="73"/>
    </row>
    <row r="330" spans="2:2" ht="13.2" customHeight="1">
      <c r="B330" s="73"/>
    </row>
    <row r="331" spans="2:2" ht="13.2" customHeight="1">
      <c r="B331" s="73"/>
    </row>
    <row r="332" spans="2:2" ht="13.2" customHeight="1">
      <c r="B332" s="73"/>
    </row>
    <row r="333" spans="2:2" ht="13.2" customHeight="1">
      <c r="B333" s="73"/>
    </row>
    <row r="334" spans="2:2" ht="13.2" customHeight="1">
      <c r="B334" s="73"/>
    </row>
    <row r="335" spans="2:2" ht="13.2" customHeight="1">
      <c r="B335" s="73"/>
    </row>
    <row r="336" spans="2:2" ht="13.2" customHeight="1">
      <c r="B336" s="73"/>
    </row>
    <row r="337" spans="2:2" ht="13.2" customHeight="1">
      <c r="B337" s="73"/>
    </row>
    <row r="338" spans="2:2" ht="13.2" customHeight="1">
      <c r="B338" s="73"/>
    </row>
    <row r="339" spans="2:2" ht="13.2" customHeight="1">
      <c r="B339" s="73"/>
    </row>
    <row r="340" spans="2:2" ht="13.2" customHeight="1">
      <c r="B340" s="73"/>
    </row>
    <row r="341" spans="2:2" ht="13.2" customHeight="1">
      <c r="B341" s="73"/>
    </row>
    <row r="342" spans="2:2" ht="13.2" customHeight="1">
      <c r="B342" s="73"/>
    </row>
    <row r="343" spans="2:2" ht="13.2" customHeight="1">
      <c r="B343" s="73"/>
    </row>
    <row r="344" spans="2:2" ht="13.2" customHeight="1">
      <c r="B344" s="73"/>
    </row>
    <row r="345" spans="2:2" ht="13.2" customHeight="1">
      <c r="B345" s="73"/>
    </row>
    <row r="346" spans="2:2" ht="13.2" customHeight="1">
      <c r="B346" s="73"/>
    </row>
    <row r="347" spans="2:2" ht="13.2" customHeight="1">
      <c r="B347" s="73"/>
    </row>
    <row r="348" spans="2:2" ht="13.2" customHeight="1">
      <c r="B348" s="73"/>
    </row>
    <row r="349" spans="2:2" ht="13.2" customHeight="1">
      <c r="B349" s="73"/>
    </row>
    <row r="350" spans="2:2" ht="13.2" customHeight="1">
      <c r="B350" s="73"/>
    </row>
    <row r="351" spans="2:2" ht="13.2" customHeight="1">
      <c r="B351" s="73"/>
    </row>
    <row r="352" spans="2:2" ht="13.2" customHeight="1">
      <c r="B352" s="73"/>
    </row>
    <row r="353" spans="2:2" ht="13.2" customHeight="1">
      <c r="B353" s="73"/>
    </row>
    <row r="354" spans="2:2" ht="13.2" customHeight="1">
      <c r="B354" s="73"/>
    </row>
    <row r="355" spans="2:2" ht="13.2" customHeight="1">
      <c r="B355" s="73"/>
    </row>
    <row r="356" spans="2:2" ht="13.2" customHeight="1">
      <c r="B356" s="73"/>
    </row>
    <row r="357" spans="2:2" ht="13.2" customHeight="1">
      <c r="B357" s="73"/>
    </row>
    <row r="358" spans="2:2" ht="13.2" customHeight="1">
      <c r="B358" s="73"/>
    </row>
    <row r="359" spans="2:2" ht="13.2" customHeight="1">
      <c r="B359" s="73"/>
    </row>
    <row r="360" spans="2:2" ht="13.2" customHeight="1">
      <c r="B360" s="73"/>
    </row>
    <row r="361" spans="2:2" ht="13.2" customHeight="1">
      <c r="B361" s="73"/>
    </row>
    <row r="362" spans="2:2" ht="13.2" customHeight="1">
      <c r="B362" s="73"/>
    </row>
    <row r="363" spans="2:2" ht="13.2" customHeight="1">
      <c r="B363" s="73"/>
    </row>
    <row r="364" spans="2:2" ht="13.2" customHeight="1">
      <c r="B364" s="73"/>
    </row>
    <row r="365" spans="2:2" ht="13.2" customHeight="1">
      <c r="B365" s="73"/>
    </row>
    <row r="366" spans="2:2" ht="13.2" customHeight="1">
      <c r="B366" s="73"/>
    </row>
    <row r="367" spans="2:2" ht="13.2" customHeight="1">
      <c r="B367" s="73"/>
    </row>
    <row r="368" spans="2:2" ht="13.2" customHeight="1">
      <c r="B368" s="73"/>
    </row>
    <row r="369" spans="2:2" ht="13.2" customHeight="1">
      <c r="B369" s="73"/>
    </row>
    <row r="370" spans="2:2" ht="13.2" customHeight="1">
      <c r="B370" s="73"/>
    </row>
    <row r="371" spans="2:2" ht="13.2" customHeight="1">
      <c r="B371" s="73"/>
    </row>
    <row r="372" spans="2:2" ht="13.2" customHeight="1">
      <c r="B372" s="73"/>
    </row>
    <row r="373" spans="2:2" ht="13.2" customHeight="1">
      <c r="B373" s="73"/>
    </row>
    <row r="374" spans="2:2" ht="13.2" customHeight="1">
      <c r="B374" s="73"/>
    </row>
    <row r="375" spans="2:2" ht="13.2" customHeight="1">
      <c r="B375" s="73"/>
    </row>
    <row r="376" spans="2:2" ht="13.2" customHeight="1">
      <c r="B376" s="73"/>
    </row>
    <row r="377" spans="2:2" ht="13.2" customHeight="1">
      <c r="B377" s="73"/>
    </row>
    <row r="378" spans="2:2" ht="13.2" customHeight="1">
      <c r="B378" s="73"/>
    </row>
    <row r="379" spans="2:2" ht="13.2" customHeight="1">
      <c r="B379" s="73"/>
    </row>
    <row r="380" spans="2:2" ht="13.2" customHeight="1">
      <c r="B380" s="73"/>
    </row>
    <row r="381" spans="2:2" ht="13.2" customHeight="1">
      <c r="B381" s="73"/>
    </row>
    <row r="382" spans="2:2" ht="13.2" customHeight="1">
      <c r="B382" s="73"/>
    </row>
    <row r="383" spans="2:2" ht="13.2" customHeight="1">
      <c r="B383" s="73"/>
    </row>
    <row r="384" spans="2:2" ht="13.2" customHeight="1">
      <c r="B384" s="73"/>
    </row>
    <row r="385" spans="2:2" ht="13.2" customHeight="1">
      <c r="B385" s="73"/>
    </row>
    <row r="386" spans="2:2" ht="13.2" customHeight="1">
      <c r="B386" s="73"/>
    </row>
    <row r="387" spans="2:2" ht="13.2" customHeight="1">
      <c r="B387" s="73"/>
    </row>
    <row r="388" spans="2:2" ht="13.2" customHeight="1">
      <c r="B388" s="73"/>
    </row>
    <row r="389" spans="2:2" ht="13.2" customHeight="1">
      <c r="B389" s="73"/>
    </row>
    <row r="390" spans="2:2" ht="13.2" customHeight="1">
      <c r="B390" s="73"/>
    </row>
    <row r="391" spans="2:2" ht="13.2" customHeight="1">
      <c r="B391" s="73"/>
    </row>
    <row r="392" spans="2:2" ht="13.2" customHeight="1">
      <c r="B392" s="73"/>
    </row>
    <row r="393" spans="2:2" ht="13.2" customHeight="1">
      <c r="B393" s="73"/>
    </row>
    <row r="394" spans="2:2" ht="13.2" customHeight="1">
      <c r="B394" s="73"/>
    </row>
    <row r="395" spans="2:2" ht="13.2" customHeight="1">
      <c r="B395" s="73"/>
    </row>
    <row r="396" spans="2:2" ht="13.2" customHeight="1">
      <c r="B396" s="73"/>
    </row>
    <row r="397" spans="2:2" ht="13.2" customHeight="1">
      <c r="B397" s="73"/>
    </row>
    <row r="398" spans="2:2" ht="13.2" customHeight="1">
      <c r="B398" s="73"/>
    </row>
    <row r="399" spans="2:2" ht="13.2" customHeight="1">
      <c r="B399" s="73"/>
    </row>
    <row r="400" spans="2:2" ht="13.2" customHeight="1">
      <c r="B400" s="73"/>
    </row>
    <row r="401" spans="2:2" ht="13.2" customHeight="1">
      <c r="B401" s="73"/>
    </row>
    <row r="402" spans="2:2" ht="13.2" customHeight="1">
      <c r="B402" s="73"/>
    </row>
    <row r="403" spans="2:2" ht="13.2" customHeight="1">
      <c r="B403" s="73"/>
    </row>
    <row r="404" spans="2:2" ht="13.2" customHeight="1">
      <c r="B404" s="73"/>
    </row>
    <row r="405" spans="2:2" ht="13.2" customHeight="1">
      <c r="B405" s="73"/>
    </row>
    <row r="406" spans="2:2" ht="13.2" customHeight="1">
      <c r="B406" s="73"/>
    </row>
    <row r="407" spans="2:2" ht="13.2" customHeight="1">
      <c r="B407" s="73"/>
    </row>
    <row r="408" spans="2:2" ht="13.2" customHeight="1">
      <c r="B408" s="73"/>
    </row>
    <row r="409" spans="2:2" ht="13.2" customHeight="1">
      <c r="B409" s="73"/>
    </row>
    <row r="410" spans="2:2" ht="13.2" customHeight="1">
      <c r="B410" s="73"/>
    </row>
    <row r="411" spans="2:2" ht="13.2" customHeight="1">
      <c r="B411" s="73"/>
    </row>
    <row r="412" spans="2:2" ht="13.2" customHeight="1">
      <c r="B412" s="73"/>
    </row>
    <row r="413" spans="2:2" ht="13.2" customHeight="1">
      <c r="B413" s="73"/>
    </row>
    <row r="414" spans="2:2" ht="13.2" customHeight="1">
      <c r="B414" s="73"/>
    </row>
    <row r="415" spans="2:2" ht="13.2" customHeight="1">
      <c r="B415" s="73"/>
    </row>
    <row r="416" spans="2:2" ht="13.2" customHeight="1">
      <c r="B416" s="73"/>
    </row>
    <row r="417" spans="2:2" ht="13.2" customHeight="1">
      <c r="B417" s="73"/>
    </row>
    <row r="418" spans="2:2" ht="13.2" customHeight="1">
      <c r="B418" s="73"/>
    </row>
    <row r="419" spans="2:2" ht="13.2" customHeight="1">
      <c r="B419" s="73"/>
    </row>
    <row r="420" spans="2:2" ht="13.2" customHeight="1">
      <c r="B420" s="73"/>
    </row>
    <row r="421" spans="2:2" ht="13.2" customHeight="1">
      <c r="B421" s="73"/>
    </row>
    <row r="422" spans="2:2" ht="13.2" customHeight="1">
      <c r="B422" s="73"/>
    </row>
    <row r="423" spans="2:2" ht="13.2" customHeight="1">
      <c r="B423" s="73"/>
    </row>
    <row r="424" spans="2:2" ht="13.2" customHeight="1">
      <c r="B424" s="73"/>
    </row>
    <row r="425" spans="2:2" ht="13.2" customHeight="1">
      <c r="B425" s="73"/>
    </row>
    <row r="426" spans="2:2" ht="13.2" customHeight="1">
      <c r="B426" s="73"/>
    </row>
    <row r="427" spans="2:2" ht="13.2" customHeight="1">
      <c r="B427" s="73"/>
    </row>
    <row r="428" spans="2:2" ht="13.2" customHeight="1">
      <c r="B428" s="73"/>
    </row>
    <row r="429" spans="2:2" ht="13.2" customHeight="1">
      <c r="B429" s="73"/>
    </row>
    <row r="430" spans="2:2" ht="13.2" customHeight="1">
      <c r="B430" s="73"/>
    </row>
    <row r="431" spans="2:2" ht="13.2" customHeight="1">
      <c r="B431" s="73"/>
    </row>
    <row r="432" spans="2:2" ht="13.2" customHeight="1">
      <c r="B432" s="73"/>
    </row>
    <row r="433" spans="2:2" ht="13.2" customHeight="1">
      <c r="B433" s="73"/>
    </row>
    <row r="434" spans="2:2" ht="13.2" customHeight="1">
      <c r="B434" s="73"/>
    </row>
    <row r="435" spans="2:2" ht="13.2" customHeight="1">
      <c r="B435" s="73"/>
    </row>
    <row r="436" spans="2:2" ht="13.2" customHeight="1">
      <c r="B436" s="73"/>
    </row>
    <row r="437" spans="2:2" ht="13.2" customHeight="1">
      <c r="B437" s="73"/>
    </row>
    <row r="438" spans="2:2" ht="13.2" customHeight="1">
      <c r="B438" s="73"/>
    </row>
    <row r="439" spans="2:2" ht="13.2" customHeight="1">
      <c r="B439" s="73"/>
    </row>
    <row r="440" spans="2:2" ht="13.2" customHeight="1">
      <c r="B440" s="73"/>
    </row>
    <row r="441" spans="2:2" ht="13.2" customHeight="1">
      <c r="B441" s="73"/>
    </row>
    <row r="442" spans="2:2" ht="13.2" customHeight="1">
      <c r="B442" s="73"/>
    </row>
    <row r="443" spans="2:2" ht="13.2" customHeight="1">
      <c r="B443" s="73"/>
    </row>
    <row r="444" spans="2:2" ht="13.2" customHeight="1">
      <c r="B444" s="73"/>
    </row>
    <row r="445" spans="2:2" ht="13.2" customHeight="1">
      <c r="B445" s="73"/>
    </row>
    <row r="446" spans="2:2" ht="13.2" customHeight="1">
      <c r="B446" s="73"/>
    </row>
    <row r="447" spans="2:2" ht="13.2" customHeight="1">
      <c r="B447" s="73"/>
    </row>
    <row r="448" spans="2:2" ht="13.2" customHeight="1">
      <c r="B448" s="73"/>
    </row>
    <row r="449" spans="2:2" ht="13.2" customHeight="1">
      <c r="B449" s="73"/>
    </row>
    <row r="450" spans="2:2" ht="13.2" customHeight="1">
      <c r="B450" s="73"/>
    </row>
    <row r="451" spans="2:2" ht="13.2" customHeight="1">
      <c r="B451" s="73"/>
    </row>
    <row r="452" spans="2:2" ht="13.2" customHeight="1">
      <c r="B452" s="73"/>
    </row>
    <row r="453" spans="2:2" ht="13.2" customHeight="1">
      <c r="B453" s="73"/>
    </row>
    <row r="454" spans="2:2" ht="13.2" customHeight="1">
      <c r="B454" s="73"/>
    </row>
    <row r="455" spans="2:2" ht="13.2" customHeight="1">
      <c r="B455" s="73"/>
    </row>
    <row r="456" spans="2:2" ht="13.2" customHeight="1">
      <c r="B456" s="73"/>
    </row>
    <row r="457" spans="2:2" ht="13.2" customHeight="1">
      <c r="B457" s="73"/>
    </row>
    <row r="458" spans="2:2" ht="13.2" customHeight="1">
      <c r="B458" s="73"/>
    </row>
    <row r="459" spans="2:2" ht="13.2" customHeight="1">
      <c r="B459" s="73"/>
    </row>
    <row r="460" spans="2:2" ht="13.2" customHeight="1">
      <c r="B460" s="73"/>
    </row>
    <row r="461" spans="2:2" ht="13.2" customHeight="1">
      <c r="B461" s="73"/>
    </row>
    <row r="462" spans="2:2" ht="13.2" customHeight="1">
      <c r="B462" s="73"/>
    </row>
    <row r="463" spans="2:2" ht="13.2" customHeight="1">
      <c r="B463" s="73"/>
    </row>
    <row r="464" spans="2:2" ht="13.2" customHeight="1">
      <c r="B464" s="73"/>
    </row>
    <row r="465" spans="2:2" ht="13.2" customHeight="1">
      <c r="B465" s="73"/>
    </row>
    <row r="466" spans="2:2" ht="13.2" customHeight="1">
      <c r="B466" s="73"/>
    </row>
    <row r="467" spans="2:2" ht="13.2" customHeight="1">
      <c r="B467" s="73"/>
    </row>
    <row r="468" spans="2:2" ht="13.2" customHeight="1">
      <c r="B468" s="73"/>
    </row>
    <row r="469" spans="2:2" ht="13.2" customHeight="1">
      <c r="B469" s="73"/>
    </row>
    <row r="470" spans="2:2" ht="13.2" customHeight="1">
      <c r="B470" s="73"/>
    </row>
    <row r="471" spans="2:2" ht="13.2" customHeight="1">
      <c r="B471" s="73"/>
    </row>
    <row r="472" spans="2:2" ht="13.2" customHeight="1">
      <c r="B472" s="73"/>
    </row>
    <row r="473" spans="2:2" ht="13.2" customHeight="1">
      <c r="B473" s="73"/>
    </row>
    <row r="474" spans="2:2" ht="13.2" customHeight="1">
      <c r="B474" s="73"/>
    </row>
    <row r="475" spans="2:2" ht="13.2" customHeight="1">
      <c r="B475" s="73"/>
    </row>
    <row r="476" spans="2:2" ht="13.2" customHeight="1">
      <c r="B476" s="73"/>
    </row>
    <row r="477" spans="2:2" ht="13.2" customHeight="1">
      <c r="B477" s="73"/>
    </row>
    <row r="478" spans="2:2" ht="13.2" customHeight="1">
      <c r="B478" s="73"/>
    </row>
    <row r="479" spans="2:2" ht="13.2" customHeight="1">
      <c r="B479" s="73"/>
    </row>
    <row r="480" spans="2:2" ht="13.2" customHeight="1">
      <c r="B480" s="73"/>
    </row>
    <row r="481" spans="2:2" ht="13.2" customHeight="1">
      <c r="B481" s="73"/>
    </row>
    <row r="482" spans="2:2" ht="13.2" customHeight="1">
      <c r="B482" s="73"/>
    </row>
    <row r="483" spans="2:2" ht="13.2" customHeight="1">
      <c r="B483" s="73"/>
    </row>
    <row r="484" spans="2:2" ht="13.2" customHeight="1">
      <c r="B484" s="73"/>
    </row>
    <row r="485" spans="2:2" ht="13.2" customHeight="1">
      <c r="B485" s="73"/>
    </row>
    <row r="486" spans="2:2" ht="13.2" customHeight="1">
      <c r="B486" s="73"/>
    </row>
    <row r="487" spans="2:2" ht="13.2" customHeight="1">
      <c r="B487" s="73"/>
    </row>
    <row r="488" spans="2:2" ht="13.2" customHeight="1">
      <c r="B488" s="73"/>
    </row>
    <row r="489" spans="2:2" ht="13.2" customHeight="1">
      <c r="B489" s="73"/>
    </row>
    <row r="490" spans="2:2" ht="13.2" customHeight="1">
      <c r="B490" s="73"/>
    </row>
    <row r="491" spans="2:2" ht="13.2" customHeight="1">
      <c r="B491" s="73"/>
    </row>
    <row r="492" spans="2:2" ht="13.2" customHeight="1">
      <c r="B492" s="73"/>
    </row>
    <row r="493" spans="2:2" ht="13.2" customHeight="1">
      <c r="B493" s="73"/>
    </row>
    <row r="494" spans="2:2" ht="13.2" customHeight="1">
      <c r="B494" s="73"/>
    </row>
    <row r="495" spans="2:2" ht="13.2" customHeight="1">
      <c r="B495" s="73"/>
    </row>
    <row r="496" spans="2:2" ht="13.2" customHeight="1">
      <c r="B496" s="73"/>
    </row>
    <row r="497" spans="2:2" ht="13.2" customHeight="1">
      <c r="B497" s="73"/>
    </row>
    <row r="498" spans="2:2" ht="13.2" customHeight="1">
      <c r="B498" s="73"/>
    </row>
    <row r="499" spans="2:2" ht="13.2" customHeight="1">
      <c r="B499" s="73"/>
    </row>
    <row r="500" spans="2:2" ht="13.2" customHeight="1">
      <c r="B500" s="73"/>
    </row>
    <row r="501" spans="2:2" ht="13.2" customHeight="1">
      <c r="B501" s="73"/>
    </row>
    <row r="502" spans="2:2" ht="13.2" customHeight="1">
      <c r="B502" s="73"/>
    </row>
    <row r="503" spans="2:2" ht="13.2" customHeight="1">
      <c r="B503" s="73"/>
    </row>
    <row r="504" spans="2:2" ht="13.2" customHeight="1">
      <c r="B504" s="73"/>
    </row>
    <row r="505" spans="2:2" ht="13.2" customHeight="1">
      <c r="B505" s="73"/>
    </row>
    <row r="506" spans="2:2" ht="13.2" customHeight="1">
      <c r="B506" s="73"/>
    </row>
    <row r="507" spans="2:2" ht="13.2" customHeight="1">
      <c r="B507" s="73"/>
    </row>
    <row r="508" spans="2:2" ht="13.2" customHeight="1">
      <c r="B508" s="73"/>
    </row>
    <row r="509" spans="2:2" ht="13.2" customHeight="1">
      <c r="B509" s="73"/>
    </row>
    <row r="510" spans="2:2" ht="13.2" customHeight="1">
      <c r="B510" s="73"/>
    </row>
    <row r="511" spans="2:2" ht="13.2" customHeight="1">
      <c r="B511" s="73"/>
    </row>
    <row r="512" spans="2:2" ht="13.2" customHeight="1">
      <c r="B512" s="73"/>
    </row>
    <row r="513" spans="2:2" ht="13.2" customHeight="1">
      <c r="B513" s="73"/>
    </row>
    <row r="514" spans="2:2" ht="13.2" customHeight="1">
      <c r="B514" s="73"/>
    </row>
    <row r="515" spans="2:2" ht="13.2" customHeight="1">
      <c r="B515" s="73"/>
    </row>
    <row r="516" spans="2:2" ht="13.2" customHeight="1">
      <c r="B516" s="73"/>
    </row>
    <row r="517" spans="2:2" ht="13.2" customHeight="1">
      <c r="B517" s="73"/>
    </row>
    <row r="518" spans="2:2" ht="13.2" customHeight="1">
      <c r="B518" s="73"/>
    </row>
    <row r="519" spans="2:2" ht="13.2" customHeight="1">
      <c r="B519" s="73"/>
    </row>
    <row r="520" spans="2:2" ht="13.2" customHeight="1">
      <c r="B520" s="73"/>
    </row>
    <row r="521" spans="2:2" ht="13.2" customHeight="1">
      <c r="B521" s="73"/>
    </row>
    <row r="522" spans="2:2" ht="13.2" customHeight="1">
      <c r="B522" s="73"/>
    </row>
    <row r="523" spans="2:2" ht="13.2" customHeight="1">
      <c r="B523" s="73"/>
    </row>
    <row r="524" spans="2:2" ht="13.2" customHeight="1">
      <c r="B524" s="73"/>
    </row>
    <row r="525" spans="2:2" ht="13.2" customHeight="1">
      <c r="B525" s="73"/>
    </row>
    <row r="526" spans="2:2" ht="13.2" customHeight="1">
      <c r="B526" s="73"/>
    </row>
    <row r="527" spans="2:2" ht="13.2" customHeight="1">
      <c r="B527" s="73"/>
    </row>
    <row r="528" spans="2:2" ht="13.2" customHeight="1">
      <c r="B528" s="73"/>
    </row>
    <row r="529" spans="2:2" ht="13.2" customHeight="1">
      <c r="B529" s="73"/>
    </row>
    <row r="530" spans="2:2" ht="13.2" customHeight="1">
      <c r="B530" s="73"/>
    </row>
    <row r="531" spans="2:2" ht="13.2" customHeight="1">
      <c r="B531" s="73"/>
    </row>
    <row r="532" spans="2:2" ht="13.2" customHeight="1">
      <c r="B532" s="73"/>
    </row>
    <row r="533" spans="2:2" ht="13.2" customHeight="1">
      <c r="B533" s="73"/>
    </row>
    <row r="534" spans="2:2" ht="13.2" customHeight="1">
      <c r="B534" s="73"/>
    </row>
    <row r="535" spans="2:2" ht="13.2" customHeight="1">
      <c r="B535" s="73"/>
    </row>
    <row r="536" spans="2:2" ht="13.2" customHeight="1">
      <c r="B536" s="73"/>
    </row>
    <row r="537" spans="2:2" ht="13.2" customHeight="1">
      <c r="B537" s="73"/>
    </row>
    <row r="538" spans="2:2" ht="13.2" customHeight="1">
      <c r="B538" s="73"/>
    </row>
    <row r="539" spans="2:2" ht="13.2" customHeight="1">
      <c r="B539" s="73"/>
    </row>
    <row r="540" spans="2:2" ht="13.2" customHeight="1">
      <c r="B540" s="73"/>
    </row>
    <row r="541" spans="2:2" ht="13.2" customHeight="1">
      <c r="B541" s="73"/>
    </row>
    <row r="542" spans="2:2" ht="13.2" customHeight="1">
      <c r="B542" s="73"/>
    </row>
    <row r="543" spans="2:2" ht="13.2" customHeight="1">
      <c r="B543" s="73"/>
    </row>
    <row r="544" spans="2:2" ht="13.2" customHeight="1">
      <c r="B544" s="73"/>
    </row>
    <row r="545" spans="2:2" ht="13.2" customHeight="1">
      <c r="B545" s="73"/>
    </row>
    <row r="546" spans="2:2" ht="13.2" customHeight="1">
      <c r="B546" s="73"/>
    </row>
    <row r="547" spans="2:2" ht="13.2" customHeight="1">
      <c r="B547" s="73"/>
    </row>
    <row r="548" spans="2:2" ht="13.2" customHeight="1">
      <c r="B548" s="73"/>
    </row>
    <row r="549" spans="2:2" ht="13.2" customHeight="1">
      <c r="B549" s="73"/>
    </row>
    <row r="550" spans="2:2" ht="13.2" customHeight="1">
      <c r="B550" s="73"/>
    </row>
    <row r="551" spans="2:2" ht="13.2" customHeight="1">
      <c r="B551" s="73"/>
    </row>
    <row r="552" spans="2:2" ht="13.2" customHeight="1">
      <c r="B552" s="73"/>
    </row>
    <row r="553" spans="2:2" ht="13.2" customHeight="1">
      <c r="B553" s="73"/>
    </row>
    <row r="554" spans="2:2" ht="13.2" customHeight="1">
      <c r="B554" s="73"/>
    </row>
    <row r="555" spans="2:2" ht="13.2" customHeight="1">
      <c r="B555" s="73"/>
    </row>
    <row r="556" spans="2:2" ht="13.2" customHeight="1">
      <c r="B556" s="73"/>
    </row>
    <row r="557" spans="2:2" ht="13.2" customHeight="1">
      <c r="B557" s="73"/>
    </row>
    <row r="558" spans="2:2" ht="13.2" customHeight="1">
      <c r="B558" s="73"/>
    </row>
    <row r="559" spans="2:2" ht="13.2" customHeight="1">
      <c r="B559" s="73"/>
    </row>
    <row r="560" spans="2:2" ht="13.2" customHeight="1">
      <c r="B560" s="73"/>
    </row>
    <row r="561" spans="2:2" ht="13.2" customHeight="1">
      <c r="B561" s="73"/>
    </row>
    <row r="562" spans="2:2" ht="13.2" customHeight="1">
      <c r="B562" s="73"/>
    </row>
    <row r="563" spans="2:2" ht="13.2" customHeight="1">
      <c r="B563" s="73"/>
    </row>
    <row r="564" spans="2:2" ht="13.2" customHeight="1">
      <c r="B564" s="73"/>
    </row>
    <row r="565" spans="2:2" ht="13.2" customHeight="1">
      <c r="B565" s="73"/>
    </row>
    <row r="566" spans="2:2" ht="13.2" customHeight="1">
      <c r="B566" s="73"/>
    </row>
    <row r="567" spans="2:2" ht="13.2" customHeight="1">
      <c r="B567" s="73"/>
    </row>
    <row r="568" spans="2:2" ht="13.2" customHeight="1">
      <c r="B568" s="73"/>
    </row>
    <row r="569" spans="2:2" ht="13.2" customHeight="1">
      <c r="B569" s="73"/>
    </row>
    <row r="570" spans="2:2" ht="13.2" customHeight="1">
      <c r="B570" s="73"/>
    </row>
    <row r="571" spans="2:2" ht="13.2" customHeight="1">
      <c r="B571" s="73"/>
    </row>
    <row r="572" spans="2:2" ht="13.2" customHeight="1">
      <c r="B572" s="73"/>
    </row>
    <row r="573" spans="2:2" ht="13.2" customHeight="1">
      <c r="B573" s="73"/>
    </row>
    <row r="574" spans="2:2" ht="13.2" customHeight="1">
      <c r="B574" s="73"/>
    </row>
    <row r="575" spans="2:2" ht="13.2" customHeight="1">
      <c r="B575" s="73"/>
    </row>
    <row r="576" spans="2:2" ht="13.2" customHeight="1">
      <c r="B576" s="73"/>
    </row>
    <row r="577" spans="2:2" ht="13.2" customHeight="1">
      <c r="B577" s="73"/>
    </row>
    <row r="578" spans="2:2" ht="13.2" customHeight="1">
      <c r="B578" s="73"/>
    </row>
    <row r="579" spans="2:2" ht="13.2" customHeight="1">
      <c r="B579" s="73"/>
    </row>
    <row r="580" spans="2:2" ht="13.2" customHeight="1">
      <c r="B580" s="73"/>
    </row>
    <row r="581" spans="2:2" ht="13.2" customHeight="1">
      <c r="B581" s="73"/>
    </row>
    <row r="582" spans="2:2" ht="13.2" customHeight="1">
      <c r="B582" s="73"/>
    </row>
    <row r="583" spans="2:2" ht="13.2" customHeight="1">
      <c r="B583" s="73"/>
    </row>
    <row r="584" spans="2:2" ht="13.2" customHeight="1">
      <c r="B584" s="73"/>
    </row>
    <row r="585" spans="2:2" ht="13.2" customHeight="1">
      <c r="B585" s="73"/>
    </row>
    <row r="586" spans="2:2" ht="13.2" customHeight="1">
      <c r="B586" s="73"/>
    </row>
    <row r="587" spans="2:2" ht="13.2" customHeight="1">
      <c r="B587" s="73"/>
    </row>
    <row r="588" spans="2:2" ht="13.2" customHeight="1">
      <c r="B588" s="73"/>
    </row>
    <row r="589" spans="2:2" ht="13.2" customHeight="1">
      <c r="B589" s="73"/>
    </row>
    <row r="590" spans="2:2" ht="13.2" customHeight="1">
      <c r="B590" s="73"/>
    </row>
    <row r="591" spans="2:2" ht="13.2" customHeight="1">
      <c r="B591" s="73"/>
    </row>
    <row r="592" spans="2:2" ht="13.2" customHeight="1">
      <c r="B592" s="73"/>
    </row>
    <row r="593" spans="2:2" ht="13.2" customHeight="1">
      <c r="B593" s="73"/>
    </row>
    <row r="594" spans="2:2" ht="13.2" customHeight="1">
      <c r="B594" s="73"/>
    </row>
    <row r="595" spans="2:2" ht="13.2" customHeight="1">
      <c r="B595" s="73"/>
    </row>
    <row r="596" spans="2:2" ht="13.2" customHeight="1">
      <c r="B596" s="73"/>
    </row>
    <row r="597" spans="2:2" ht="13.2" customHeight="1">
      <c r="B597" s="73"/>
    </row>
    <row r="598" spans="2:2" ht="13.2" customHeight="1">
      <c r="B598" s="73"/>
    </row>
    <row r="599" spans="2:2" ht="13.2" customHeight="1">
      <c r="B599" s="73"/>
    </row>
    <row r="600" spans="2:2" ht="13.2" customHeight="1">
      <c r="B600" s="73"/>
    </row>
    <row r="601" spans="2:2" ht="13.2" customHeight="1">
      <c r="B601" s="73"/>
    </row>
    <row r="602" spans="2:2" ht="13.2" customHeight="1">
      <c r="B602" s="73"/>
    </row>
    <row r="603" spans="2:2" ht="13.2" customHeight="1">
      <c r="B603" s="73"/>
    </row>
    <row r="604" spans="2:2" ht="13.2" customHeight="1">
      <c r="B604" s="73"/>
    </row>
    <row r="605" spans="2:2" ht="13.2" customHeight="1">
      <c r="B605" s="73"/>
    </row>
    <row r="606" spans="2:2" ht="13.2" customHeight="1">
      <c r="B606" s="73"/>
    </row>
    <row r="607" spans="2:2" ht="13.2" customHeight="1">
      <c r="B607" s="73"/>
    </row>
    <row r="608" spans="2:2" ht="13.2" customHeight="1">
      <c r="B608" s="73"/>
    </row>
    <row r="609" spans="2:2" ht="13.2" customHeight="1">
      <c r="B609" s="73"/>
    </row>
    <row r="610" spans="2:2" ht="13.2" customHeight="1">
      <c r="B610" s="73"/>
    </row>
    <row r="611" spans="2:2" ht="13.2" customHeight="1">
      <c r="B611" s="73"/>
    </row>
    <row r="612" spans="2:2" ht="13.2" customHeight="1">
      <c r="B612" s="73"/>
    </row>
    <row r="613" spans="2:2" ht="13.2" customHeight="1">
      <c r="B613" s="73"/>
    </row>
    <row r="614" spans="2:2" ht="13.2" customHeight="1">
      <c r="B614" s="73"/>
    </row>
    <row r="615" spans="2:2" ht="13.2" customHeight="1">
      <c r="B615" s="73"/>
    </row>
    <row r="616" spans="2:2" ht="13.2" customHeight="1">
      <c r="B616" s="73"/>
    </row>
    <row r="617" spans="2:2" ht="13.2" customHeight="1">
      <c r="B617" s="73"/>
    </row>
    <row r="618" spans="2:2" ht="13.2" customHeight="1">
      <c r="B618" s="73"/>
    </row>
    <row r="619" spans="2:2" ht="13.2" customHeight="1">
      <c r="B619" s="73"/>
    </row>
    <row r="620" spans="2:2" ht="13.2" customHeight="1">
      <c r="B620" s="73"/>
    </row>
    <row r="621" spans="2:2" ht="13.2" customHeight="1">
      <c r="B621" s="73"/>
    </row>
    <row r="622" spans="2:2" ht="13.2" customHeight="1">
      <c r="B622" s="73"/>
    </row>
    <row r="623" spans="2:2" ht="13.2" customHeight="1">
      <c r="B623" s="73"/>
    </row>
    <row r="624" spans="2:2" ht="13.2" customHeight="1">
      <c r="B624" s="73"/>
    </row>
    <row r="625" spans="2:2" ht="13.2" customHeight="1">
      <c r="B625" s="73"/>
    </row>
    <row r="626" spans="2:2" ht="13.2" customHeight="1">
      <c r="B626" s="73"/>
    </row>
    <row r="627" spans="2:2" ht="13.2" customHeight="1">
      <c r="B627" s="73"/>
    </row>
    <row r="628" spans="2:2" ht="13.2" customHeight="1">
      <c r="B628" s="73"/>
    </row>
    <row r="629" spans="2:2" ht="13.2" customHeight="1">
      <c r="B629" s="73"/>
    </row>
    <row r="630" spans="2:2" ht="13.2" customHeight="1">
      <c r="B630" s="73"/>
    </row>
    <row r="631" spans="2:2" ht="13.2" customHeight="1">
      <c r="B631" s="73"/>
    </row>
    <row r="632" spans="2:2" ht="13.2" customHeight="1">
      <c r="B632" s="73"/>
    </row>
    <row r="633" spans="2:2" ht="13.2" customHeight="1">
      <c r="B633" s="73"/>
    </row>
    <row r="634" spans="2:2" ht="13.2" customHeight="1">
      <c r="B634" s="73"/>
    </row>
    <row r="635" spans="2:2" ht="13.2" customHeight="1">
      <c r="B635" s="73"/>
    </row>
    <row r="636" spans="2:2" ht="13.2" customHeight="1">
      <c r="B636" s="73"/>
    </row>
    <row r="637" spans="2:2" ht="13.2" customHeight="1">
      <c r="B637" s="73"/>
    </row>
    <row r="638" spans="2:2" ht="13.2" customHeight="1">
      <c r="B638" s="73"/>
    </row>
    <row r="639" spans="2:2" ht="13.2" customHeight="1">
      <c r="B639" s="73"/>
    </row>
    <row r="640" spans="2:2" ht="13.2" customHeight="1">
      <c r="B640" s="73"/>
    </row>
    <row r="641" spans="2:2" ht="13.2" customHeight="1">
      <c r="B641" s="73"/>
    </row>
    <row r="642" spans="2:2" ht="13.2" customHeight="1">
      <c r="B642" s="73"/>
    </row>
    <row r="643" spans="2:2" ht="13.2" customHeight="1">
      <c r="B643" s="73"/>
    </row>
    <row r="644" spans="2:2" ht="13.2" customHeight="1">
      <c r="B644" s="73"/>
    </row>
    <row r="645" spans="2:2" ht="13.2" customHeight="1">
      <c r="B645" s="73"/>
    </row>
    <row r="646" spans="2:2" ht="13.2" customHeight="1">
      <c r="B646" s="73"/>
    </row>
    <row r="647" spans="2:2" ht="13.2" customHeight="1">
      <c r="B647" s="73"/>
    </row>
    <row r="648" spans="2:2" ht="13.2" customHeight="1">
      <c r="B648" s="73"/>
    </row>
    <row r="649" spans="2:2" ht="13.2" customHeight="1">
      <c r="B649" s="73"/>
    </row>
    <row r="650" spans="2:2" ht="13.2" customHeight="1">
      <c r="B650" s="73"/>
    </row>
    <row r="651" spans="2:2" ht="13.2" customHeight="1">
      <c r="B651" s="73"/>
    </row>
    <row r="652" spans="2:2" ht="13.2" customHeight="1">
      <c r="B652" s="73"/>
    </row>
    <row r="653" spans="2:2" ht="13.2" customHeight="1">
      <c r="B653" s="73"/>
    </row>
    <row r="654" spans="2:2" ht="13.2" customHeight="1">
      <c r="B654" s="73"/>
    </row>
    <row r="655" spans="2:2" ht="13.2" customHeight="1">
      <c r="B655" s="73"/>
    </row>
    <row r="656" spans="2:2" ht="13.2" customHeight="1">
      <c r="B656" s="73"/>
    </row>
    <row r="657" spans="2:2" ht="13.2" customHeight="1">
      <c r="B657" s="73"/>
    </row>
    <row r="658" spans="2:2" ht="13.2" customHeight="1">
      <c r="B658" s="73"/>
    </row>
    <row r="659" spans="2:2" ht="13.2" customHeight="1">
      <c r="B659" s="73"/>
    </row>
    <row r="660" spans="2:2" ht="13.2" customHeight="1">
      <c r="B660" s="73"/>
    </row>
    <row r="661" spans="2:2" ht="13.2" customHeight="1">
      <c r="B661" s="73"/>
    </row>
    <row r="662" spans="2:2" ht="13.2" customHeight="1">
      <c r="B662" s="73"/>
    </row>
    <row r="663" spans="2:2" ht="13.2" customHeight="1">
      <c r="B663" s="73"/>
    </row>
    <row r="664" spans="2:2" ht="13.2" customHeight="1">
      <c r="B664" s="73"/>
    </row>
    <row r="665" spans="2:2" ht="13.2" customHeight="1">
      <c r="B665" s="73"/>
    </row>
    <row r="666" spans="2:2" ht="13.2" customHeight="1">
      <c r="B666" s="73"/>
    </row>
    <row r="667" spans="2:2" ht="13.2" customHeight="1">
      <c r="B667" s="73"/>
    </row>
    <row r="668" spans="2:2" ht="13.2" customHeight="1">
      <c r="B668" s="73"/>
    </row>
    <row r="669" spans="2:2" ht="13.2" customHeight="1">
      <c r="B669" s="73"/>
    </row>
    <row r="670" spans="2:2" ht="13.2" customHeight="1">
      <c r="B670" s="73"/>
    </row>
    <row r="671" spans="2:2" ht="13.2" customHeight="1">
      <c r="B671" s="73"/>
    </row>
    <row r="672" spans="2:2" ht="13.2" customHeight="1">
      <c r="B672" s="73"/>
    </row>
    <row r="673" spans="2:2" ht="13.2" customHeight="1">
      <c r="B673" s="73"/>
    </row>
    <row r="674" spans="2:2" ht="13.2" customHeight="1">
      <c r="B674" s="73"/>
    </row>
    <row r="675" spans="2:2" ht="13.2" customHeight="1">
      <c r="B675" s="73"/>
    </row>
    <row r="676" spans="2:2" ht="13.2" customHeight="1">
      <c r="B676" s="73"/>
    </row>
    <row r="677" spans="2:2" ht="13.2" customHeight="1">
      <c r="B677" s="73"/>
    </row>
    <row r="678" spans="2:2" ht="13.2" customHeight="1">
      <c r="B678" s="73"/>
    </row>
    <row r="679" spans="2:2" ht="13.2" customHeight="1">
      <c r="B679" s="73"/>
    </row>
    <row r="680" spans="2:2" ht="13.2" customHeight="1">
      <c r="B680" s="73"/>
    </row>
    <row r="681" spans="2:2" ht="13.2" customHeight="1">
      <c r="B681" s="73"/>
    </row>
    <row r="682" spans="2:2" ht="13.2" customHeight="1">
      <c r="B682" s="73"/>
    </row>
    <row r="683" spans="2:2" ht="13.2" customHeight="1">
      <c r="B683" s="73"/>
    </row>
    <row r="684" spans="2:2" ht="13.2" customHeight="1">
      <c r="B684" s="73"/>
    </row>
    <row r="685" spans="2:2" ht="13.2" customHeight="1">
      <c r="B685" s="73"/>
    </row>
    <row r="686" spans="2:2" ht="13.2" customHeight="1">
      <c r="B686" s="73"/>
    </row>
    <row r="687" spans="2:2" ht="13.2" customHeight="1">
      <c r="B687" s="73"/>
    </row>
    <row r="688" spans="2:2" ht="13.2" customHeight="1">
      <c r="B688" s="73"/>
    </row>
    <row r="689" spans="2:2" ht="13.2" customHeight="1">
      <c r="B689" s="73"/>
    </row>
    <row r="690" spans="2:2" ht="13.2" customHeight="1">
      <c r="B690" s="73"/>
    </row>
    <row r="691" spans="2:2" ht="13.2" customHeight="1">
      <c r="B691" s="73"/>
    </row>
    <row r="692" spans="2:2" ht="13.2" customHeight="1">
      <c r="B692" s="73"/>
    </row>
    <row r="693" spans="2:2" ht="13.2" customHeight="1">
      <c r="B693" s="73"/>
    </row>
    <row r="694" spans="2:2" ht="13.2" customHeight="1">
      <c r="B694" s="73"/>
    </row>
    <row r="695" spans="2:2" ht="13.2" customHeight="1">
      <c r="B695" s="73"/>
    </row>
    <row r="696" spans="2:2" ht="13.2" customHeight="1">
      <c r="B696" s="73"/>
    </row>
    <row r="697" spans="2:2" ht="13.2" customHeight="1">
      <c r="B697" s="73"/>
    </row>
    <row r="698" spans="2:2" ht="13.2" customHeight="1">
      <c r="B698" s="73"/>
    </row>
    <row r="699" spans="2:2" ht="13.2" customHeight="1">
      <c r="B699" s="73"/>
    </row>
    <row r="700" spans="2:2" ht="13.2" customHeight="1">
      <c r="B700" s="73"/>
    </row>
    <row r="701" spans="2:2" ht="13.2" customHeight="1">
      <c r="B701" s="73"/>
    </row>
    <row r="702" spans="2:2" ht="13.2" customHeight="1">
      <c r="B702" s="73"/>
    </row>
    <row r="703" spans="2:2" ht="13.2" customHeight="1">
      <c r="B703" s="73"/>
    </row>
    <row r="704" spans="2:2" ht="13.2" customHeight="1">
      <c r="B704" s="73"/>
    </row>
    <row r="705" spans="2:2" ht="13.2" customHeight="1">
      <c r="B705" s="73"/>
    </row>
    <row r="706" spans="2:2" ht="13.2" customHeight="1">
      <c r="B706" s="73"/>
    </row>
    <row r="707" spans="2:2" ht="13.2" customHeight="1">
      <c r="B707" s="73"/>
    </row>
    <row r="708" spans="2:2" ht="13.2" customHeight="1">
      <c r="B708" s="73"/>
    </row>
    <row r="709" spans="2:2" ht="13.2" customHeight="1">
      <c r="B709" s="73"/>
    </row>
    <row r="710" spans="2:2" ht="13.2" customHeight="1">
      <c r="B710" s="73"/>
    </row>
    <row r="711" spans="2:2" ht="13.2" customHeight="1">
      <c r="B711" s="73"/>
    </row>
    <row r="712" spans="2:2" ht="13.2" customHeight="1">
      <c r="B712" s="73"/>
    </row>
    <row r="713" spans="2:2" ht="13.2" customHeight="1">
      <c r="B713" s="73"/>
    </row>
    <row r="714" spans="2:2" ht="13.2" customHeight="1">
      <c r="B714" s="73"/>
    </row>
    <row r="715" spans="2:2" ht="13.2" customHeight="1">
      <c r="B715" s="73"/>
    </row>
    <row r="716" spans="2:2" ht="13.2" customHeight="1">
      <c r="B716" s="73"/>
    </row>
    <row r="717" spans="2:2" ht="13.2" customHeight="1">
      <c r="B717" s="73"/>
    </row>
    <row r="718" spans="2:2" ht="13.2" customHeight="1">
      <c r="B718" s="73"/>
    </row>
    <row r="719" spans="2:2" ht="13.2" customHeight="1">
      <c r="B719" s="73"/>
    </row>
    <row r="720" spans="2:2" ht="13.2" customHeight="1">
      <c r="B720" s="73"/>
    </row>
    <row r="721" spans="2:2" ht="13.2" customHeight="1">
      <c r="B721" s="73"/>
    </row>
    <row r="722" spans="2:2" ht="13.2" customHeight="1">
      <c r="B722" s="73"/>
    </row>
    <row r="723" spans="2:2" ht="13.2" customHeight="1">
      <c r="B723" s="73"/>
    </row>
    <row r="724" spans="2:2" ht="13.2" customHeight="1">
      <c r="B724" s="73"/>
    </row>
    <row r="725" spans="2:2" ht="13.2" customHeight="1">
      <c r="B725" s="73"/>
    </row>
    <row r="726" spans="2:2" ht="13.2" customHeight="1">
      <c r="B726" s="73"/>
    </row>
    <row r="727" spans="2:2" ht="13.2" customHeight="1">
      <c r="B727" s="73"/>
    </row>
    <row r="728" spans="2:2" ht="13.2" customHeight="1">
      <c r="B728" s="73"/>
    </row>
    <row r="729" spans="2:2" ht="13.2" customHeight="1">
      <c r="B729" s="73"/>
    </row>
    <row r="730" spans="2:2" ht="13.2" customHeight="1">
      <c r="B730" s="73"/>
    </row>
    <row r="731" spans="2:2" ht="13.2" customHeight="1">
      <c r="B731" s="73"/>
    </row>
    <row r="732" spans="2:2" ht="13.2" customHeight="1">
      <c r="B732" s="73"/>
    </row>
    <row r="733" spans="2:2" ht="13.2" customHeight="1">
      <c r="B733" s="73"/>
    </row>
    <row r="734" spans="2:2" ht="13.2" customHeight="1">
      <c r="B734" s="73"/>
    </row>
    <row r="735" spans="2:2" ht="13.2" customHeight="1">
      <c r="B735" s="73"/>
    </row>
    <row r="736" spans="2:2" ht="13.2" customHeight="1">
      <c r="B736" s="73"/>
    </row>
    <row r="737" spans="2:2" ht="13.2" customHeight="1">
      <c r="B737" s="73"/>
    </row>
    <row r="738" spans="2:2" ht="13.2" customHeight="1">
      <c r="B738" s="73"/>
    </row>
    <row r="739" spans="2:2" ht="13.2" customHeight="1">
      <c r="B739" s="73"/>
    </row>
    <row r="740" spans="2:2" ht="13.2" customHeight="1">
      <c r="B740" s="73"/>
    </row>
    <row r="741" spans="2:2" ht="13.2" customHeight="1">
      <c r="B741" s="73"/>
    </row>
    <row r="742" spans="2:2" ht="13.2" customHeight="1">
      <c r="B742" s="73"/>
    </row>
    <row r="743" spans="2:2" ht="13.2" customHeight="1">
      <c r="B743" s="73"/>
    </row>
    <row r="744" spans="2:2" ht="13.2" customHeight="1">
      <c r="B744" s="73"/>
    </row>
    <row r="745" spans="2:2" ht="13.2" customHeight="1">
      <c r="B745" s="73"/>
    </row>
    <row r="746" spans="2:2" ht="13.2" customHeight="1">
      <c r="B746" s="73"/>
    </row>
    <row r="747" spans="2:2" ht="13.2" customHeight="1">
      <c r="B747" s="73"/>
    </row>
    <row r="748" spans="2:2" ht="13.2" customHeight="1">
      <c r="B748" s="73"/>
    </row>
    <row r="749" spans="2:2" ht="13.2" customHeight="1">
      <c r="B749" s="73"/>
    </row>
    <row r="750" spans="2:2" ht="13.2" customHeight="1">
      <c r="B750" s="73"/>
    </row>
    <row r="751" spans="2:2" ht="13.2" customHeight="1">
      <c r="B751" s="73"/>
    </row>
    <row r="752" spans="2:2" ht="13.2" customHeight="1">
      <c r="B752" s="73"/>
    </row>
    <row r="753" spans="2:2" ht="13.2" customHeight="1">
      <c r="B753" s="73"/>
    </row>
    <row r="754" spans="2:2" ht="13.2" customHeight="1">
      <c r="B754" s="73"/>
    </row>
    <row r="755" spans="2:2" ht="13.2" customHeight="1">
      <c r="B755" s="73"/>
    </row>
    <row r="756" spans="2:2" ht="13.2" customHeight="1">
      <c r="B756" s="73"/>
    </row>
    <row r="757" spans="2:2" ht="13.2" customHeight="1">
      <c r="B757" s="73"/>
    </row>
    <row r="758" spans="2:2" ht="13.2" customHeight="1">
      <c r="B758" s="73"/>
    </row>
    <row r="759" spans="2:2" ht="13.2" customHeight="1">
      <c r="B759" s="73"/>
    </row>
    <row r="760" spans="2:2" ht="13.2" customHeight="1">
      <c r="B760" s="73"/>
    </row>
    <row r="761" spans="2:2" ht="13.2" customHeight="1">
      <c r="B761" s="73"/>
    </row>
    <row r="762" spans="2:2" ht="13.2" customHeight="1">
      <c r="B762" s="73"/>
    </row>
    <row r="763" spans="2:2" ht="13.2" customHeight="1">
      <c r="B763" s="73"/>
    </row>
    <row r="764" spans="2:2" ht="13.2" customHeight="1">
      <c r="B764" s="73"/>
    </row>
    <row r="765" spans="2:2" ht="13.2" customHeight="1">
      <c r="B765" s="73"/>
    </row>
    <row r="766" spans="2:2" ht="13.2" customHeight="1">
      <c r="B766" s="73"/>
    </row>
    <row r="767" spans="2:2" ht="13.2" customHeight="1">
      <c r="B767" s="73"/>
    </row>
    <row r="768" spans="2:2" ht="13.2" customHeight="1">
      <c r="B768" s="73"/>
    </row>
    <row r="769" spans="2:2" ht="13.2" customHeight="1">
      <c r="B769" s="73"/>
    </row>
    <row r="770" spans="2:2" ht="13.2" customHeight="1">
      <c r="B770" s="73"/>
    </row>
    <row r="771" spans="2:2" ht="13.2" customHeight="1">
      <c r="B771" s="73"/>
    </row>
    <row r="772" spans="2:2" ht="13.2" customHeight="1">
      <c r="B772" s="73"/>
    </row>
    <row r="773" spans="2:2" ht="13.2" customHeight="1">
      <c r="B773" s="73"/>
    </row>
    <row r="774" spans="2:2" ht="13.2" customHeight="1">
      <c r="B774" s="73"/>
    </row>
    <row r="775" spans="2:2" ht="13.2" customHeight="1">
      <c r="B775" s="73"/>
    </row>
    <row r="776" spans="2:2" ht="13.2" customHeight="1">
      <c r="B776" s="73"/>
    </row>
    <row r="777" spans="2:2" ht="13.2" customHeight="1">
      <c r="B777" s="73"/>
    </row>
    <row r="778" spans="2:2" ht="13.2" customHeight="1">
      <c r="B778" s="73"/>
    </row>
    <row r="779" spans="2:2" ht="13.2" customHeight="1">
      <c r="B779" s="73"/>
    </row>
    <row r="780" spans="2:2" ht="13.2" customHeight="1">
      <c r="B780" s="73"/>
    </row>
    <row r="781" spans="2:2" ht="13.2" customHeight="1">
      <c r="B781" s="73"/>
    </row>
    <row r="782" spans="2:2" ht="13.2" customHeight="1">
      <c r="B782" s="73"/>
    </row>
    <row r="783" spans="2:2" ht="13.2" customHeight="1">
      <c r="B783" s="73"/>
    </row>
    <row r="784" spans="2:2" ht="13.2" customHeight="1">
      <c r="B784" s="73"/>
    </row>
    <row r="785" spans="2:2" ht="13.2" customHeight="1">
      <c r="B785" s="73"/>
    </row>
    <row r="786" spans="2:2" ht="13.2" customHeight="1">
      <c r="B786" s="73"/>
    </row>
    <row r="787" spans="2:2" ht="13.2" customHeight="1">
      <c r="B787" s="73"/>
    </row>
    <row r="788" spans="2:2" ht="13.2" customHeight="1">
      <c r="B788" s="73"/>
    </row>
    <row r="789" spans="2:2" ht="13.2" customHeight="1">
      <c r="B789" s="73"/>
    </row>
    <row r="790" spans="2:2" ht="13.2" customHeight="1">
      <c r="B790" s="73"/>
    </row>
    <row r="791" spans="2:2" ht="13.2" customHeight="1">
      <c r="B791" s="73"/>
    </row>
    <row r="792" spans="2:2" ht="13.2" customHeight="1">
      <c r="B792" s="73"/>
    </row>
    <row r="793" spans="2:2" ht="13.2" customHeight="1">
      <c r="B793" s="73"/>
    </row>
    <row r="794" spans="2:2" ht="13.2" customHeight="1">
      <c r="B794" s="73"/>
    </row>
    <row r="795" spans="2:2" ht="13.2" customHeight="1">
      <c r="B795" s="73"/>
    </row>
    <row r="796" spans="2:2" ht="13.2" customHeight="1">
      <c r="B796" s="73"/>
    </row>
    <row r="797" spans="2:2" ht="13.2" customHeight="1">
      <c r="B797" s="73"/>
    </row>
    <row r="798" spans="2:2" ht="13.2" customHeight="1">
      <c r="B798" s="73"/>
    </row>
    <row r="799" spans="2:2" ht="13.2" customHeight="1">
      <c r="B799" s="73"/>
    </row>
    <row r="800" spans="2:2" ht="13.2" customHeight="1">
      <c r="B800" s="73"/>
    </row>
    <row r="801" spans="2:2" ht="13.2" customHeight="1">
      <c r="B801" s="73"/>
    </row>
    <row r="802" spans="2:2" ht="13.2" customHeight="1">
      <c r="B802" s="73"/>
    </row>
    <row r="803" spans="2:2" ht="13.2" customHeight="1">
      <c r="B803" s="73"/>
    </row>
    <row r="804" spans="2:2" ht="13.2" customHeight="1">
      <c r="B804" s="73"/>
    </row>
    <row r="805" spans="2:2" ht="13.2" customHeight="1">
      <c r="B805" s="73"/>
    </row>
    <row r="806" spans="2:2" ht="13.2" customHeight="1">
      <c r="B806" s="73"/>
    </row>
    <row r="807" spans="2:2" ht="13.2" customHeight="1">
      <c r="B807" s="73"/>
    </row>
    <row r="808" spans="2:2" ht="13.2" customHeight="1">
      <c r="B808" s="73"/>
    </row>
    <row r="809" spans="2:2" ht="13.2" customHeight="1">
      <c r="B809" s="73"/>
    </row>
    <row r="810" spans="2:2" ht="13.2" customHeight="1">
      <c r="B810" s="73"/>
    </row>
    <row r="811" spans="2:2" ht="13.2" customHeight="1">
      <c r="B811" s="73"/>
    </row>
    <row r="812" spans="2:2" ht="13.2" customHeight="1">
      <c r="B812" s="73"/>
    </row>
    <row r="813" spans="2:2" ht="13.2" customHeight="1">
      <c r="B813" s="73"/>
    </row>
    <row r="814" spans="2:2" ht="13.2" customHeight="1">
      <c r="B814" s="73"/>
    </row>
    <row r="815" spans="2:2" ht="13.2" customHeight="1">
      <c r="B815" s="73"/>
    </row>
    <row r="816" spans="2:2" ht="13.2" customHeight="1">
      <c r="B816" s="73"/>
    </row>
    <row r="817" spans="2:2" ht="13.2" customHeight="1">
      <c r="B817" s="73"/>
    </row>
    <row r="818" spans="2:2" ht="13.2" customHeight="1">
      <c r="B818" s="73"/>
    </row>
    <row r="819" spans="2:2" ht="13.2" customHeight="1">
      <c r="B819" s="73"/>
    </row>
    <row r="820" spans="2:2" ht="13.2" customHeight="1">
      <c r="B820" s="73"/>
    </row>
    <row r="821" spans="2:2" ht="13.2" customHeight="1">
      <c r="B821" s="73"/>
    </row>
    <row r="822" spans="2:2" ht="13.2" customHeight="1">
      <c r="B822" s="73"/>
    </row>
    <row r="823" spans="2:2" ht="13.2" customHeight="1">
      <c r="B823" s="73"/>
    </row>
    <row r="824" spans="2:2" ht="13.2" customHeight="1">
      <c r="B824" s="73"/>
    </row>
    <row r="825" spans="2:2" ht="13.2" customHeight="1">
      <c r="B825" s="73"/>
    </row>
    <row r="826" spans="2:2" ht="13.2" customHeight="1">
      <c r="B826" s="73"/>
    </row>
    <row r="827" spans="2:2" ht="13.2" customHeight="1">
      <c r="B827" s="73"/>
    </row>
    <row r="828" spans="2:2" ht="13.2" customHeight="1">
      <c r="B828" s="73"/>
    </row>
    <row r="829" spans="2:2" ht="13.2" customHeight="1">
      <c r="B829" s="73"/>
    </row>
    <row r="830" spans="2:2" ht="13.2" customHeight="1">
      <c r="B830" s="73"/>
    </row>
    <row r="831" spans="2:2" ht="13.2" customHeight="1">
      <c r="B831" s="73"/>
    </row>
    <row r="832" spans="2:2" ht="13.2" customHeight="1">
      <c r="B832" s="73"/>
    </row>
    <row r="833" spans="2:2" ht="13.2" customHeight="1">
      <c r="B833" s="73"/>
    </row>
    <row r="834" spans="2:2" ht="13.2" customHeight="1">
      <c r="B834" s="73"/>
    </row>
    <row r="835" spans="2:2" ht="13.2" customHeight="1">
      <c r="B835" s="73"/>
    </row>
    <row r="836" spans="2:2" ht="13.2" customHeight="1">
      <c r="B836" s="73"/>
    </row>
    <row r="837" spans="2:2" ht="13.2" customHeight="1">
      <c r="B837" s="73"/>
    </row>
    <row r="838" spans="2:2" ht="13.2" customHeight="1">
      <c r="B838" s="73"/>
    </row>
    <row r="839" spans="2:2" ht="13.2" customHeight="1">
      <c r="B839" s="73"/>
    </row>
    <row r="840" spans="2:2" ht="13.2" customHeight="1">
      <c r="B840" s="73"/>
    </row>
    <row r="841" spans="2:2" ht="13.2" customHeight="1">
      <c r="B841" s="73"/>
    </row>
    <row r="842" spans="2:2" ht="13.2" customHeight="1">
      <c r="B842" s="73"/>
    </row>
    <row r="843" spans="2:2" ht="13.2" customHeight="1">
      <c r="B843" s="73"/>
    </row>
    <row r="844" spans="2:2" ht="13.2" customHeight="1">
      <c r="B844" s="73"/>
    </row>
    <row r="845" spans="2:2" ht="13.2" customHeight="1">
      <c r="B845" s="73"/>
    </row>
    <row r="846" spans="2:2" ht="13.2" customHeight="1">
      <c r="B846" s="73"/>
    </row>
    <row r="847" spans="2:2" ht="13.2" customHeight="1">
      <c r="B847" s="73"/>
    </row>
    <row r="848" spans="2:2" ht="13.2" customHeight="1">
      <c r="B848" s="73"/>
    </row>
    <row r="849" spans="2:2" ht="13.2" customHeight="1">
      <c r="B849" s="73"/>
    </row>
    <row r="850" spans="2:2" ht="13.2" customHeight="1">
      <c r="B850" s="73"/>
    </row>
    <row r="851" spans="2:2" ht="13.2" customHeight="1">
      <c r="B851" s="73"/>
    </row>
    <row r="852" spans="2:2" ht="13.2" customHeight="1">
      <c r="B852" s="73"/>
    </row>
    <row r="853" spans="2:2" ht="13.2" customHeight="1">
      <c r="B853" s="73"/>
    </row>
    <row r="854" spans="2:2" ht="13.2" customHeight="1">
      <c r="B854" s="73"/>
    </row>
    <row r="855" spans="2:2" ht="13.2" customHeight="1">
      <c r="B855" s="73"/>
    </row>
    <row r="856" spans="2:2" ht="13.2" customHeight="1">
      <c r="B856" s="73"/>
    </row>
    <row r="857" spans="2:2" ht="13.2" customHeight="1">
      <c r="B857" s="73"/>
    </row>
    <row r="858" spans="2:2" ht="13.2" customHeight="1">
      <c r="B858" s="73"/>
    </row>
    <row r="859" spans="2:2" ht="13.2" customHeight="1">
      <c r="B859" s="73"/>
    </row>
    <row r="860" spans="2:2" ht="13.2" customHeight="1">
      <c r="B860" s="73"/>
    </row>
    <row r="861" spans="2:2" ht="13.2" customHeight="1">
      <c r="B861" s="73"/>
    </row>
    <row r="862" spans="2:2" ht="13.2" customHeight="1">
      <c r="B862" s="73"/>
    </row>
    <row r="863" spans="2:2" ht="13.2" customHeight="1">
      <c r="B863" s="73"/>
    </row>
    <row r="864" spans="2:2" ht="13.2" customHeight="1">
      <c r="B864" s="73"/>
    </row>
    <row r="865" spans="2:2" ht="13.2" customHeight="1">
      <c r="B865" s="73"/>
    </row>
    <row r="866" spans="2:2" ht="13.2" customHeight="1">
      <c r="B866" s="73"/>
    </row>
    <row r="867" spans="2:2" ht="13.2" customHeight="1">
      <c r="B867" s="73"/>
    </row>
    <row r="868" spans="2:2" ht="13.2" customHeight="1">
      <c r="B868" s="73"/>
    </row>
    <row r="869" spans="2:2" ht="13.2" customHeight="1">
      <c r="B869" s="73"/>
    </row>
    <row r="870" spans="2:2" ht="13.2" customHeight="1">
      <c r="B870" s="73"/>
    </row>
    <row r="871" spans="2:2" ht="13.2" customHeight="1">
      <c r="B871" s="73"/>
    </row>
    <row r="872" spans="2:2" ht="13.2" customHeight="1">
      <c r="B872" s="73"/>
    </row>
    <row r="873" spans="2:2" ht="13.2" customHeight="1">
      <c r="B873" s="73"/>
    </row>
    <row r="874" spans="2:2" ht="13.2" customHeight="1">
      <c r="B874" s="73"/>
    </row>
    <row r="875" spans="2:2" ht="13.2" customHeight="1">
      <c r="B875" s="73"/>
    </row>
    <row r="876" spans="2:2" ht="13.2" customHeight="1">
      <c r="B876" s="73"/>
    </row>
    <row r="877" spans="2:2" ht="13.2" customHeight="1">
      <c r="B877" s="73"/>
    </row>
    <row r="878" spans="2:2" ht="13.2" customHeight="1">
      <c r="B878" s="73"/>
    </row>
    <row r="879" spans="2:2" ht="13.2" customHeight="1">
      <c r="B879" s="73"/>
    </row>
    <row r="880" spans="2:2" ht="13.2" customHeight="1">
      <c r="B880" s="73"/>
    </row>
    <row r="881" spans="2:2" ht="13.2" customHeight="1">
      <c r="B881" s="73"/>
    </row>
    <row r="882" spans="2:2" ht="13.2" customHeight="1">
      <c r="B882" s="73"/>
    </row>
    <row r="883" spans="2:2" ht="13.2" customHeight="1">
      <c r="B883" s="73"/>
    </row>
    <row r="884" spans="2:2" ht="13.2" customHeight="1">
      <c r="B884" s="73"/>
    </row>
    <row r="885" spans="2:2" ht="13.2" customHeight="1">
      <c r="B885" s="73"/>
    </row>
    <row r="886" spans="2:2" ht="13.2" customHeight="1">
      <c r="B886" s="73"/>
    </row>
    <row r="887" spans="2:2" ht="13.2" customHeight="1">
      <c r="B887" s="73"/>
    </row>
    <row r="888" spans="2:2" ht="13.2" customHeight="1">
      <c r="B888" s="73"/>
    </row>
    <row r="889" spans="2:2" ht="13.2" customHeight="1">
      <c r="B889" s="73"/>
    </row>
    <row r="890" spans="2:2" ht="13.2" customHeight="1">
      <c r="B890" s="73"/>
    </row>
    <row r="891" spans="2:2" ht="13.2" customHeight="1">
      <c r="B891" s="73"/>
    </row>
    <row r="892" spans="2:2" ht="13.2" customHeight="1">
      <c r="B892" s="73"/>
    </row>
    <row r="893" spans="2:2" ht="13.2" customHeight="1">
      <c r="B893" s="73"/>
    </row>
    <row r="894" spans="2:2" ht="13.2" customHeight="1">
      <c r="B894" s="73"/>
    </row>
    <row r="895" spans="2:2" ht="13.2" customHeight="1">
      <c r="B895" s="73"/>
    </row>
    <row r="896" spans="2:2" ht="13.2" customHeight="1">
      <c r="B896" s="73"/>
    </row>
    <row r="897" spans="2:2" ht="13.2" customHeight="1">
      <c r="B897" s="73"/>
    </row>
    <row r="898" spans="2:2" ht="13.2" customHeight="1">
      <c r="B898" s="73"/>
    </row>
    <row r="899" spans="2:2" ht="13.2" customHeight="1">
      <c r="B899" s="73"/>
    </row>
    <row r="900" spans="2:2" ht="13.2" customHeight="1">
      <c r="B900" s="73"/>
    </row>
    <row r="901" spans="2:2" ht="13.2" customHeight="1">
      <c r="B901" s="73"/>
    </row>
    <row r="902" spans="2:2" ht="13.2" customHeight="1">
      <c r="B902" s="73"/>
    </row>
    <row r="903" spans="2:2" ht="13.2" customHeight="1">
      <c r="B903" s="73"/>
    </row>
    <row r="904" spans="2:2" ht="13.2" customHeight="1">
      <c r="B904" s="73"/>
    </row>
    <row r="905" spans="2:2" ht="13.2" customHeight="1">
      <c r="B905" s="73"/>
    </row>
    <row r="906" spans="2:2" ht="13.2" customHeight="1">
      <c r="B906" s="73"/>
    </row>
    <row r="907" spans="2:2" ht="13.2" customHeight="1">
      <c r="B907" s="73"/>
    </row>
    <row r="908" spans="2:2" ht="13.2" customHeight="1">
      <c r="B908" s="73"/>
    </row>
    <row r="909" spans="2:2" ht="13.2" customHeight="1">
      <c r="B909" s="73"/>
    </row>
    <row r="910" spans="2:2" ht="13.2" customHeight="1">
      <c r="B910" s="73"/>
    </row>
    <row r="911" spans="2:2" ht="13.2" customHeight="1">
      <c r="B911" s="73"/>
    </row>
    <row r="912" spans="2:2" ht="13.2" customHeight="1">
      <c r="B912" s="73"/>
    </row>
    <row r="913" spans="2:2" ht="13.2" customHeight="1">
      <c r="B913" s="73"/>
    </row>
    <row r="914" spans="2:2" ht="13.2" customHeight="1">
      <c r="B914" s="73"/>
    </row>
    <row r="915" spans="2:2" ht="13.2" customHeight="1">
      <c r="B915" s="73"/>
    </row>
    <row r="916" spans="2:2" ht="13.2" customHeight="1">
      <c r="B916" s="73"/>
    </row>
    <row r="917" spans="2:2" ht="13.2" customHeight="1">
      <c r="B917" s="73"/>
    </row>
    <row r="918" spans="2:2" ht="13.2" customHeight="1">
      <c r="B918" s="73"/>
    </row>
    <row r="919" spans="2:2" ht="13.2" customHeight="1">
      <c r="B919" s="73"/>
    </row>
    <row r="920" spans="2:2" ht="13.2" customHeight="1">
      <c r="B920" s="73"/>
    </row>
    <row r="921" spans="2:2" ht="13.2" customHeight="1">
      <c r="B921" s="73"/>
    </row>
    <row r="922" spans="2:2" ht="13.2" customHeight="1">
      <c r="B922" s="73"/>
    </row>
    <row r="923" spans="2:2" ht="13.2" customHeight="1">
      <c r="B923" s="73"/>
    </row>
    <row r="924" spans="2:2" ht="13.2" customHeight="1">
      <c r="B924" s="73"/>
    </row>
    <row r="925" spans="2:2" ht="13.2" customHeight="1">
      <c r="B925" s="73"/>
    </row>
    <row r="926" spans="2:2" ht="13.2" customHeight="1">
      <c r="B926" s="73"/>
    </row>
    <row r="927" spans="2:2" ht="13.2" customHeight="1">
      <c r="B927" s="73"/>
    </row>
    <row r="928" spans="2:2" ht="13.2" customHeight="1">
      <c r="B928" s="73"/>
    </row>
    <row r="929" spans="2:2" ht="13.2" customHeight="1">
      <c r="B929" s="73"/>
    </row>
    <row r="930" spans="2:2" ht="13.2" customHeight="1">
      <c r="B930" s="73"/>
    </row>
    <row r="931" spans="2:2" ht="13.2" customHeight="1">
      <c r="B931" s="73"/>
    </row>
    <row r="932" spans="2:2" ht="13.2" customHeight="1">
      <c r="B932" s="73"/>
    </row>
    <row r="933" spans="2:2" ht="13.2" customHeight="1">
      <c r="B933" s="73"/>
    </row>
    <row r="934" spans="2:2" ht="13.2" customHeight="1">
      <c r="B934" s="73"/>
    </row>
    <row r="935" spans="2:2" ht="13.2" customHeight="1">
      <c r="B935" s="73"/>
    </row>
    <row r="936" spans="2:2" ht="13.2" customHeight="1">
      <c r="B936" s="73"/>
    </row>
    <row r="937" spans="2:2" ht="13.2" customHeight="1">
      <c r="B937" s="73"/>
    </row>
    <row r="938" spans="2:2" ht="13.2" customHeight="1">
      <c r="B938" s="73"/>
    </row>
    <row r="939" spans="2:2" ht="13.2" customHeight="1">
      <c r="B939" s="73"/>
    </row>
    <row r="940" spans="2:2" ht="13.2" customHeight="1">
      <c r="B940" s="73"/>
    </row>
    <row r="941" spans="2:2" ht="13.2" customHeight="1">
      <c r="B941" s="73"/>
    </row>
    <row r="942" spans="2:2" ht="13.2" customHeight="1">
      <c r="B942" s="73"/>
    </row>
    <row r="943" spans="2:2" ht="13.2" customHeight="1">
      <c r="B943" s="73"/>
    </row>
    <row r="944" spans="2:2" ht="13.2" customHeight="1">
      <c r="B944" s="73"/>
    </row>
    <row r="945" spans="2:2" ht="13.2" customHeight="1">
      <c r="B945" s="73"/>
    </row>
    <row r="946" spans="2:2" ht="13.2" customHeight="1">
      <c r="B946" s="73"/>
    </row>
    <row r="947" spans="2:2" ht="13.2" customHeight="1">
      <c r="B947" s="73"/>
    </row>
    <row r="948" spans="2:2" ht="13.2" customHeight="1">
      <c r="B948" s="73"/>
    </row>
    <row r="949" spans="2:2" ht="13.2" customHeight="1">
      <c r="B949" s="73"/>
    </row>
    <row r="950" spans="2:2" ht="13.2" customHeight="1">
      <c r="B950" s="73"/>
    </row>
    <row r="951" spans="2:2" ht="13.2" customHeight="1">
      <c r="B951" s="73"/>
    </row>
    <row r="952" spans="2:2" ht="13.2" customHeight="1">
      <c r="B952" s="73"/>
    </row>
    <row r="953" spans="2:2" ht="13.2" customHeight="1">
      <c r="B953" s="73"/>
    </row>
    <row r="954" spans="2:2" ht="13.2" customHeight="1">
      <c r="B954" s="73"/>
    </row>
    <row r="955" spans="2:2" ht="13.2" customHeight="1">
      <c r="B955" s="73"/>
    </row>
    <row r="956" spans="2:2" ht="13.2" customHeight="1">
      <c r="B956" s="73"/>
    </row>
    <row r="957" spans="2:2" ht="13.2" customHeight="1">
      <c r="B957" s="73"/>
    </row>
    <row r="958" spans="2:2" ht="13.2" customHeight="1">
      <c r="B958" s="73"/>
    </row>
    <row r="959" spans="2:2" ht="13.2" customHeight="1">
      <c r="B959" s="73"/>
    </row>
    <row r="960" spans="2:2" ht="13.2" customHeight="1">
      <c r="B960" s="73"/>
    </row>
    <row r="961" spans="2:2" ht="13.2" customHeight="1">
      <c r="B961" s="73"/>
    </row>
    <row r="962" spans="2:2" ht="13.2" customHeight="1">
      <c r="B962" s="73"/>
    </row>
    <row r="963" spans="2:2" ht="13.2" customHeight="1">
      <c r="B963" s="73"/>
    </row>
    <row r="964" spans="2:2" ht="13.2" customHeight="1">
      <c r="B964" s="73"/>
    </row>
    <row r="965" spans="2:2" ht="13.2" customHeight="1">
      <c r="B965" s="73"/>
    </row>
    <row r="966" spans="2:2" ht="13.2" customHeight="1">
      <c r="B966" s="73"/>
    </row>
    <row r="967" spans="2:2" ht="13.2" customHeight="1">
      <c r="B967" s="73"/>
    </row>
    <row r="968" spans="2:2" ht="13.2" customHeight="1">
      <c r="B968" s="73"/>
    </row>
    <row r="969" spans="2:2" ht="13.2" customHeight="1">
      <c r="B969" s="73"/>
    </row>
    <row r="970" spans="2:2" ht="13.2" customHeight="1">
      <c r="B970" s="73"/>
    </row>
    <row r="971" spans="2:2" ht="13.2" customHeight="1">
      <c r="B971" s="73"/>
    </row>
    <row r="972" spans="2:2" ht="13.2" customHeight="1">
      <c r="B972" s="73"/>
    </row>
    <row r="973" spans="2:2" ht="13.2" customHeight="1">
      <c r="B973" s="73"/>
    </row>
    <row r="974" spans="2:2" ht="13.2" customHeight="1">
      <c r="B974" s="73"/>
    </row>
    <row r="975" spans="2:2" ht="13.2" customHeight="1">
      <c r="B975" s="73"/>
    </row>
    <row r="976" spans="2:2" ht="13.2" customHeight="1">
      <c r="B976" s="73"/>
    </row>
    <row r="977" spans="2:2" ht="13.2" customHeight="1">
      <c r="B977" s="73"/>
    </row>
    <row r="978" spans="2:2" ht="13.2" customHeight="1">
      <c r="B978" s="73"/>
    </row>
    <row r="979" spans="2:2" ht="13.2" customHeight="1">
      <c r="B979" s="73"/>
    </row>
    <row r="980" spans="2:2" ht="13.2" customHeight="1">
      <c r="B980" s="73"/>
    </row>
    <row r="981" spans="2:2" ht="13.2" customHeight="1">
      <c r="B981" s="73"/>
    </row>
    <row r="982" spans="2:2" ht="13.2" customHeight="1">
      <c r="B982" s="73"/>
    </row>
    <row r="983" spans="2:2" ht="13.2" customHeight="1">
      <c r="B983" s="73"/>
    </row>
    <row r="984" spans="2:2" ht="13.2" customHeight="1">
      <c r="B984" s="73"/>
    </row>
    <row r="985" spans="2:2" ht="13.2" customHeight="1">
      <c r="B985" s="73"/>
    </row>
    <row r="986" spans="2:2" ht="13.2" customHeight="1">
      <c r="B986" s="73"/>
    </row>
    <row r="987" spans="2:2" ht="13.2" customHeight="1">
      <c r="B987" s="73"/>
    </row>
    <row r="988" spans="2:2" ht="13.2" customHeight="1">
      <c r="B988" s="73"/>
    </row>
    <row r="989" spans="2:2" ht="13.2" customHeight="1">
      <c r="B989" s="73"/>
    </row>
    <row r="990" spans="2:2" ht="13.2" customHeight="1">
      <c r="B990" s="73"/>
    </row>
    <row r="991" spans="2:2" ht="13.2" customHeight="1">
      <c r="B991" s="73"/>
    </row>
    <row r="992" spans="2:2" ht="13.2" customHeight="1">
      <c r="B992" s="73"/>
    </row>
    <row r="993" spans="2:2" ht="13.2" customHeight="1">
      <c r="B993" s="73"/>
    </row>
    <row r="994" spans="2:2" ht="13.2" customHeight="1">
      <c r="B994" s="73"/>
    </row>
    <row r="995" spans="2:2" ht="13.2" customHeight="1">
      <c r="B995" s="73"/>
    </row>
    <row r="996" spans="2:2" ht="13.2" customHeight="1">
      <c r="B996" s="73"/>
    </row>
    <row r="997" spans="2:2" ht="13.2" customHeight="1">
      <c r="B997" s="73"/>
    </row>
    <row r="998" spans="2:2" ht="13.2" customHeight="1">
      <c r="B998" s="73"/>
    </row>
    <row r="999" spans="2:2" ht="13.2" customHeight="1">
      <c r="B999" s="73"/>
    </row>
  </sheetData>
  <mergeCells count="3">
    <mergeCell ref="A1:D1"/>
    <mergeCell ref="A2:A3"/>
    <mergeCell ref="B2:B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57"/>
  <sheetViews>
    <sheetView workbookViewId="0">
      <pane xSplit="3" topLeftCell="D1" activePane="topRight" state="frozen"/>
      <selection pane="topRight" activeCell="E2" sqref="E2"/>
    </sheetView>
  </sheetViews>
  <sheetFormatPr defaultColWidth="12.6640625" defaultRowHeight="15.75" customHeight="1"/>
  <cols>
    <col min="1" max="1" width="5.33203125" style="323" customWidth="1"/>
    <col min="2" max="2" width="20.109375" style="323" customWidth="1"/>
    <col min="10" max="10" width="34" style="323" customWidth="1"/>
    <col min="11" max="11" width="20" style="323" customWidth="1"/>
  </cols>
  <sheetData>
    <row r="1" spans="1:35" ht="15.75" customHeight="1">
      <c r="A1" s="279"/>
      <c r="B1" s="279"/>
      <c r="C1" s="279"/>
      <c r="D1" s="6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ht="15.75" customHeight="1">
      <c r="A2" s="365" t="s">
        <v>0</v>
      </c>
      <c r="B2" s="366" t="s">
        <v>7</v>
      </c>
      <c r="C2" s="364" t="s">
        <v>8</v>
      </c>
      <c r="D2" s="11" t="s">
        <v>9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27"/>
      <c r="AI2" s="7"/>
    </row>
    <row r="3" spans="1:35" ht="15.75" customHeight="1">
      <c r="A3" s="362"/>
      <c r="B3" s="362"/>
      <c r="C3" s="362"/>
      <c r="D3" s="30">
        <v>46204</v>
      </c>
      <c r="E3" s="30">
        <v>46205</v>
      </c>
      <c r="F3" s="30">
        <v>46206</v>
      </c>
      <c r="G3" s="30">
        <v>46207</v>
      </c>
      <c r="H3" s="30">
        <v>46208</v>
      </c>
      <c r="I3" s="30">
        <v>46209</v>
      </c>
      <c r="J3" s="30">
        <v>46210</v>
      </c>
      <c r="K3" s="30">
        <v>46211</v>
      </c>
      <c r="L3" s="30">
        <v>46212</v>
      </c>
      <c r="M3" s="30">
        <v>46213</v>
      </c>
      <c r="N3" s="30">
        <v>46214</v>
      </c>
      <c r="O3" s="30">
        <v>46215</v>
      </c>
      <c r="P3" s="30">
        <v>46216</v>
      </c>
      <c r="Q3" s="30">
        <v>46217</v>
      </c>
      <c r="R3" s="30">
        <v>46218</v>
      </c>
      <c r="S3" s="30">
        <v>46219</v>
      </c>
      <c r="T3" s="30">
        <v>46220</v>
      </c>
      <c r="U3" s="30">
        <v>46221</v>
      </c>
      <c r="V3" s="30">
        <v>46222</v>
      </c>
      <c r="W3" s="30">
        <v>46223</v>
      </c>
      <c r="X3" s="30">
        <v>46224</v>
      </c>
      <c r="Y3" s="30">
        <v>46225</v>
      </c>
      <c r="Z3" s="30">
        <v>46226</v>
      </c>
      <c r="AA3" s="30">
        <v>46227</v>
      </c>
      <c r="AB3" s="30">
        <v>46228</v>
      </c>
      <c r="AC3" s="30">
        <v>46229</v>
      </c>
      <c r="AD3" s="30">
        <v>46230</v>
      </c>
      <c r="AE3" s="30">
        <v>46231</v>
      </c>
      <c r="AF3" s="30">
        <v>46232</v>
      </c>
      <c r="AG3" s="30">
        <v>46233</v>
      </c>
      <c r="AH3" s="30">
        <v>46234</v>
      </c>
      <c r="AI3" s="7"/>
    </row>
    <row r="4" spans="1:35" ht="15.75" customHeight="1">
      <c r="A4" s="281">
        <v>1</v>
      </c>
      <c r="B4" s="49" t="s">
        <v>132</v>
      </c>
      <c r="C4" s="50">
        <v>9330</v>
      </c>
      <c r="D4" s="192">
        <v>2184721</v>
      </c>
      <c r="E4" s="193">
        <v>2892749</v>
      </c>
      <c r="F4" s="192">
        <v>3409871</v>
      </c>
      <c r="G4" s="278">
        <v>3302621</v>
      </c>
      <c r="H4" s="194">
        <v>2965919</v>
      </c>
      <c r="I4" s="195">
        <v>0</v>
      </c>
      <c r="J4" s="193">
        <v>4814824</v>
      </c>
      <c r="K4" s="193">
        <v>4814824</v>
      </c>
      <c r="L4" s="192">
        <v>323473</v>
      </c>
      <c r="M4" s="193">
        <v>4958186</v>
      </c>
      <c r="N4" s="192">
        <v>0</v>
      </c>
      <c r="O4" s="278">
        <v>4814824</v>
      </c>
      <c r="P4" s="54"/>
      <c r="Q4" s="193">
        <v>1317835</v>
      </c>
      <c r="R4" s="276">
        <v>2263808</v>
      </c>
      <c r="S4" s="193"/>
      <c r="T4" s="196">
        <v>0</v>
      </c>
      <c r="U4" s="313">
        <v>4814824</v>
      </c>
      <c r="V4" s="193"/>
      <c r="W4" s="278">
        <v>4814824</v>
      </c>
      <c r="X4" s="197">
        <v>0</v>
      </c>
      <c r="Z4" s="278">
        <v>4814824</v>
      </c>
      <c r="AA4" s="198"/>
      <c r="AB4" s="199"/>
      <c r="AC4" s="198">
        <v>4814824</v>
      </c>
      <c r="AD4" s="198"/>
      <c r="AE4" s="201"/>
      <c r="AF4" s="198"/>
      <c r="AG4" s="199"/>
      <c r="AH4" s="198"/>
      <c r="AI4" s="42"/>
    </row>
    <row r="5" spans="1:35" ht="15.75" customHeight="1">
      <c r="A5" s="281">
        <v>2</v>
      </c>
      <c r="B5" s="259"/>
      <c r="C5" s="259"/>
      <c r="D5" s="193"/>
      <c r="E5" s="193">
        <v>727341</v>
      </c>
      <c r="F5" s="193">
        <v>2889377</v>
      </c>
      <c r="G5" s="193">
        <v>2889377</v>
      </c>
      <c r="H5" s="193">
        <v>3047760</v>
      </c>
      <c r="I5" s="193">
        <v>0</v>
      </c>
      <c r="J5" s="193">
        <v>2889377</v>
      </c>
      <c r="K5" s="193">
        <v>2131917</v>
      </c>
      <c r="L5" s="193">
        <v>3662583</v>
      </c>
      <c r="M5" s="278">
        <v>1082575</v>
      </c>
      <c r="N5" s="193">
        <v>0</v>
      </c>
      <c r="O5" s="314">
        <v>2489806</v>
      </c>
      <c r="P5" s="193">
        <v>2489806</v>
      </c>
      <c r="Q5" s="193">
        <v>933966</v>
      </c>
      <c r="R5" s="276">
        <v>1634229</v>
      </c>
      <c r="S5" s="193">
        <v>2489806</v>
      </c>
      <c r="T5" s="193">
        <v>0</v>
      </c>
      <c r="U5" s="54"/>
      <c r="V5" s="276">
        <v>4703908</v>
      </c>
      <c r="W5" s="193"/>
      <c r="X5" s="193">
        <v>0</v>
      </c>
      <c r="Y5" s="276">
        <v>4703908</v>
      </c>
      <c r="Z5" s="198"/>
      <c r="AA5" s="198"/>
      <c r="AB5" s="199"/>
      <c r="AC5" s="199">
        <v>4703908</v>
      </c>
      <c r="AD5" s="198"/>
      <c r="AE5" s="198"/>
      <c r="AF5" s="198"/>
      <c r="AG5" s="199"/>
      <c r="AH5" s="198"/>
      <c r="AI5" s="42"/>
    </row>
    <row r="6" spans="1:35" ht="15.75" customHeight="1">
      <c r="A6" s="281">
        <v>3</v>
      </c>
      <c r="B6" s="259"/>
      <c r="C6" s="259"/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42"/>
      <c r="Z6" s="201"/>
      <c r="AA6" s="198"/>
      <c r="AB6" s="201"/>
      <c r="AC6" s="203"/>
      <c r="AD6" s="203"/>
      <c r="AE6" s="198"/>
      <c r="AF6" s="201"/>
      <c r="AG6" s="42"/>
      <c r="AH6" s="201"/>
      <c r="AI6" s="42"/>
    </row>
    <row r="7" spans="1:35" ht="15.75" customHeight="1">
      <c r="A7" s="281">
        <v>4</v>
      </c>
      <c r="B7" s="259"/>
      <c r="C7" s="259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203"/>
      <c r="P7" s="193"/>
      <c r="Q7" s="193"/>
      <c r="R7" s="193"/>
      <c r="S7" s="193"/>
      <c r="T7" s="193"/>
      <c r="U7" s="193"/>
      <c r="V7" s="193"/>
      <c r="W7" s="193"/>
      <c r="X7" s="193"/>
      <c r="Y7" s="201"/>
      <c r="Z7" s="201"/>
      <c r="AA7" s="201"/>
      <c r="AB7" s="198"/>
      <c r="AC7" s="201"/>
      <c r="AD7" s="203"/>
      <c r="AE7" s="199"/>
      <c r="AF7" s="201"/>
      <c r="AG7" s="204"/>
      <c r="AH7" s="201"/>
      <c r="AI7" s="42"/>
    </row>
    <row r="8" spans="1:35" ht="15.75" customHeight="1">
      <c r="A8" s="46" t="s">
        <v>10</v>
      </c>
      <c r="B8" s="47"/>
      <c r="C8" s="47">
        <f>+D8+E8+F8+G8+H8+I8+J8+K8+L8+M8+N8+O8++P8+Q8+R8+S8+T8+U8+V8+W8+X8+Y8+Z8+AA8+AB8+AC8+AD8+AE8+AF8+AG8+AH8</f>
        <v>91629631.818181783</v>
      </c>
      <c r="D8" s="47">
        <f>SUM(D4:D7) /1.1</f>
        <v>1986109.9999999998</v>
      </c>
      <c r="E8" s="47">
        <f>SUM(E4:E7) /1.1</f>
        <v>3290990.9090909087</v>
      </c>
      <c r="F8" s="47">
        <f>SUM(F4:F7) /1.1</f>
        <v>5726589.0909090908</v>
      </c>
      <c r="G8" s="47">
        <f>SUM(G4:G7) /1.1</f>
        <v>5629089.0909090908</v>
      </c>
      <c r="H8" s="47">
        <f>SUM(H4:H7) /1.1</f>
        <v>5466980.9090909082</v>
      </c>
      <c r="I8" s="47">
        <f>SUM(I5:I7) /1.1</f>
        <v>0</v>
      </c>
      <c r="J8" s="47">
        <f t="shared" ref="J8:O8" si="0">SUM(J4:J7) /1.1</f>
        <v>7003819.0909090899</v>
      </c>
      <c r="K8" s="47">
        <f t="shared" si="0"/>
        <v>6315219.0909090908</v>
      </c>
      <c r="L8" s="47">
        <f t="shared" si="0"/>
        <v>3623687.2727272725</v>
      </c>
      <c r="M8" s="47">
        <f t="shared" si="0"/>
        <v>5491600.9090909082</v>
      </c>
      <c r="N8" s="47">
        <f t="shared" si="0"/>
        <v>0</v>
      </c>
      <c r="O8" s="47">
        <f t="shared" si="0"/>
        <v>6640572.7272727266</v>
      </c>
      <c r="P8" s="47">
        <f>SUM(P5:P7) /1.1</f>
        <v>2263460</v>
      </c>
      <c r="Q8" s="47">
        <f t="shared" ref="Q8:X8" si="1">SUM(Q4:Q7) /1.1</f>
        <v>2047091.8181818181</v>
      </c>
      <c r="R8" s="47">
        <f t="shared" si="1"/>
        <v>3543669.9999999995</v>
      </c>
      <c r="S8" s="47">
        <f t="shared" si="1"/>
        <v>2263460</v>
      </c>
      <c r="T8" s="47">
        <f t="shared" si="1"/>
        <v>0</v>
      </c>
      <c r="U8" s="47">
        <f t="shared" si="1"/>
        <v>4377112.7272727266</v>
      </c>
      <c r="V8" s="47">
        <f t="shared" si="1"/>
        <v>4276280</v>
      </c>
      <c r="W8" s="47">
        <f t="shared" si="1"/>
        <v>4377112.7272727266</v>
      </c>
      <c r="X8" s="47">
        <f t="shared" si="1"/>
        <v>0</v>
      </c>
      <c r="Y8" s="47">
        <f>SUM(Y5:Y7) /1.1</f>
        <v>4276280</v>
      </c>
      <c r="Z8" s="47">
        <f>SUM(Z4:Z7) /1.1</f>
        <v>4377112.7272727266</v>
      </c>
      <c r="AA8" s="47">
        <f>SUM(AA4:AA7) /1.1</f>
        <v>0</v>
      </c>
      <c r="AB8" s="47">
        <f>SUM(AB4:AB7) /1.1</f>
        <v>0</v>
      </c>
      <c r="AC8" s="47">
        <f>SUM(AC4:AC7) /1.1</f>
        <v>8653392.7272727266</v>
      </c>
      <c r="AD8" s="47">
        <f>SUM(AD4:AD7) /1.1</f>
        <v>0</v>
      </c>
      <c r="AE8" s="47">
        <f>SUM(AE5:AE7) /1.1</f>
        <v>0</v>
      </c>
      <c r="AF8" s="47">
        <f>SUM(AF4:AF7) /1.1</f>
        <v>0</v>
      </c>
      <c r="AG8" s="47">
        <f>SUM(AG4:AG7) /1.1</f>
        <v>0</v>
      </c>
      <c r="AH8" s="47">
        <f>SUM(AH4:AH7) /1.1</f>
        <v>0</v>
      </c>
      <c r="AI8" s="42"/>
    </row>
    <row r="9" spans="1:35" ht="15.75" customHeight="1">
      <c r="A9" s="279" t="s">
        <v>11</v>
      </c>
      <c r="B9" s="279"/>
      <c r="C9" s="279"/>
      <c r="D9" s="6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1:35" ht="15.75" customHeight="1">
      <c r="A10" s="67" t="s">
        <v>12</v>
      </c>
      <c r="B10" s="279"/>
      <c r="C10" s="279"/>
      <c r="D10" s="70">
        <f t="shared" ref="D10:AH10" si="2">D8-D9</f>
        <v>1986109.9999999998</v>
      </c>
      <c r="E10" s="70">
        <f t="shared" si="2"/>
        <v>3290990.9090909087</v>
      </c>
      <c r="F10" s="70">
        <f t="shared" si="2"/>
        <v>5726589.0909090908</v>
      </c>
      <c r="G10" s="70">
        <f t="shared" si="2"/>
        <v>5629089.0909090908</v>
      </c>
      <c r="H10" s="70">
        <f t="shared" si="2"/>
        <v>5466980.9090909082</v>
      </c>
      <c r="I10" s="70">
        <f t="shared" si="2"/>
        <v>0</v>
      </c>
      <c r="J10" s="70">
        <f t="shared" si="2"/>
        <v>7003819.0909090899</v>
      </c>
      <c r="K10" s="70">
        <f t="shared" si="2"/>
        <v>6315219.0909090908</v>
      </c>
      <c r="L10" s="70">
        <f t="shared" si="2"/>
        <v>3623687.2727272725</v>
      </c>
      <c r="M10" s="70">
        <f t="shared" si="2"/>
        <v>5491600.9090909082</v>
      </c>
      <c r="N10" s="70">
        <f t="shared" si="2"/>
        <v>0</v>
      </c>
      <c r="O10" s="70">
        <f t="shared" si="2"/>
        <v>6640572.7272727266</v>
      </c>
      <c r="P10" s="70">
        <f t="shared" si="2"/>
        <v>2263460</v>
      </c>
      <c r="Q10" s="70">
        <f t="shared" si="2"/>
        <v>2047091.8181818181</v>
      </c>
      <c r="R10" s="70">
        <f t="shared" si="2"/>
        <v>3543669.9999999995</v>
      </c>
      <c r="S10" s="70">
        <f t="shared" si="2"/>
        <v>2263460</v>
      </c>
      <c r="T10" s="70">
        <f t="shared" si="2"/>
        <v>0</v>
      </c>
      <c r="U10" s="70">
        <f t="shared" si="2"/>
        <v>4377112.7272727266</v>
      </c>
      <c r="V10" s="70">
        <f t="shared" si="2"/>
        <v>4276280</v>
      </c>
      <c r="W10" s="70">
        <f t="shared" si="2"/>
        <v>4377112.7272727266</v>
      </c>
      <c r="X10" s="70">
        <f t="shared" si="2"/>
        <v>0</v>
      </c>
      <c r="Y10" s="70">
        <f t="shared" si="2"/>
        <v>4276280</v>
      </c>
      <c r="Z10" s="70">
        <f t="shared" si="2"/>
        <v>4377112.7272727266</v>
      </c>
      <c r="AA10" s="70">
        <f t="shared" si="2"/>
        <v>0</v>
      </c>
      <c r="AB10" s="70">
        <f t="shared" si="2"/>
        <v>0</v>
      </c>
      <c r="AC10" s="70">
        <f t="shared" si="2"/>
        <v>8653392.7272727266</v>
      </c>
      <c r="AD10" s="70">
        <f t="shared" si="2"/>
        <v>0</v>
      </c>
      <c r="AE10" s="70">
        <f t="shared" si="2"/>
        <v>0</v>
      </c>
      <c r="AF10" s="70">
        <f t="shared" si="2"/>
        <v>0</v>
      </c>
      <c r="AG10" s="70">
        <f t="shared" si="2"/>
        <v>0</v>
      </c>
      <c r="AH10" s="70">
        <f t="shared" si="2"/>
        <v>0</v>
      </c>
      <c r="AI10" s="7"/>
    </row>
    <row r="11" spans="1:35" ht="13.2"/>
    <row r="12" spans="1:35" ht="13.2"/>
    <row r="13" spans="1:35" ht="13.8">
      <c r="B13" s="74" t="s">
        <v>13</v>
      </c>
      <c r="D13" s="74"/>
    </row>
    <row r="14" spans="1:35" ht="15.75" customHeight="1">
      <c r="B14" s="75" t="s">
        <v>14</v>
      </c>
      <c r="C14" s="75" t="s">
        <v>15</v>
      </c>
      <c r="D14" s="75" t="s">
        <v>16</v>
      </c>
      <c r="E14" s="76" t="s">
        <v>17</v>
      </c>
      <c r="G14" s="325" t="s">
        <v>18</v>
      </c>
      <c r="I14" s="315" t="s">
        <v>575</v>
      </c>
      <c r="J14" t="s">
        <v>167</v>
      </c>
      <c r="K14" t="s">
        <v>168</v>
      </c>
    </row>
    <row r="15" spans="1:35" ht="13.8">
      <c r="B15" s="311">
        <v>46204</v>
      </c>
      <c r="C15" s="316" t="s">
        <v>576</v>
      </c>
      <c r="D15" s="54" t="s">
        <v>577</v>
      </c>
      <c r="E15" s="192">
        <v>2184721</v>
      </c>
      <c r="F15" s="350" t="s">
        <v>171</v>
      </c>
      <c r="G15" s="192">
        <v>2184721</v>
      </c>
      <c r="H15" s="352" t="s">
        <v>576</v>
      </c>
      <c r="I15" s="139" t="s">
        <v>577</v>
      </c>
      <c r="J15" s="139" t="s">
        <v>578</v>
      </c>
      <c r="K15" s="139" t="s">
        <v>173</v>
      </c>
    </row>
    <row r="16" spans="1:35" ht="13.8" customHeight="1">
      <c r="B16" s="311">
        <v>46205</v>
      </c>
      <c r="C16" s="316" t="s">
        <v>576</v>
      </c>
      <c r="D16" s="54" t="s">
        <v>579</v>
      </c>
      <c r="E16" s="317">
        <v>727341</v>
      </c>
      <c r="F16" s="350" t="s">
        <v>178</v>
      </c>
      <c r="G16" s="353">
        <v>727341</v>
      </c>
      <c r="H16" s="352" t="s">
        <v>576</v>
      </c>
      <c r="I16" s="139" t="s">
        <v>579</v>
      </c>
      <c r="J16" s="139" t="s">
        <v>578</v>
      </c>
      <c r="K16" s="139" t="s">
        <v>173</v>
      </c>
    </row>
    <row r="17" spans="2:11" ht="13.8" customHeight="1">
      <c r="B17" s="311">
        <v>46205</v>
      </c>
      <c r="C17" s="316" t="s">
        <v>576</v>
      </c>
      <c r="D17" s="54" t="s">
        <v>580</v>
      </c>
      <c r="E17" s="312">
        <v>413249</v>
      </c>
      <c r="F17" s="350" t="s">
        <v>178</v>
      </c>
      <c r="G17" s="351">
        <v>413249</v>
      </c>
      <c r="H17" s="352" t="s">
        <v>576</v>
      </c>
      <c r="I17" s="139" t="s">
        <v>580</v>
      </c>
      <c r="J17" s="139" t="s">
        <v>581</v>
      </c>
      <c r="K17" s="139" t="s">
        <v>173</v>
      </c>
    </row>
    <row r="18" spans="2:11" ht="13.8" customHeight="1">
      <c r="B18" s="311">
        <v>46205</v>
      </c>
      <c r="C18" s="316" t="s">
        <v>576</v>
      </c>
      <c r="D18" s="54" t="s">
        <v>582</v>
      </c>
      <c r="E18" s="312">
        <v>3000000</v>
      </c>
      <c r="F18" s="350" t="s">
        <v>178</v>
      </c>
      <c r="G18" s="351">
        <v>3000000</v>
      </c>
      <c r="H18" s="352" t="s">
        <v>576</v>
      </c>
      <c r="I18" s="139" t="s">
        <v>582</v>
      </c>
      <c r="J18" s="139" t="s">
        <v>581</v>
      </c>
      <c r="K18" s="139" t="s">
        <v>173</v>
      </c>
    </row>
    <row r="19" spans="2:11" ht="13.8" customHeight="1">
      <c r="B19" s="311">
        <v>46205</v>
      </c>
      <c r="C19" s="316" t="s">
        <v>576</v>
      </c>
      <c r="D19" s="54" t="s">
        <v>583</v>
      </c>
      <c r="E19" s="312">
        <v>107250</v>
      </c>
      <c r="F19" s="350"/>
      <c r="G19" s="351"/>
      <c r="H19" s="352"/>
      <c r="I19" s="139"/>
      <c r="J19" s="139"/>
      <c r="K19" s="139" t="s">
        <v>291</v>
      </c>
    </row>
    <row r="20" spans="2:11" ht="13.8" customHeight="1">
      <c r="B20" s="311">
        <v>46206</v>
      </c>
      <c r="C20" s="316" t="s">
        <v>576</v>
      </c>
      <c r="D20" s="54" t="s">
        <v>583</v>
      </c>
      <c r="E20" s="312">
        <v>2892749</v>
      </c>
      <c r="F20" s="350"/>
      <c r="G20" s="351"/>
      <c r="H20" s="352"/>
      <c r="I20" s="139"/>
      <c r="J20" s="139"/>
      <c r="K20" s="139" t="s">
        <v>291</v>
      </c>
    </row>
    <row r="21" spans="2:11" ht="13.8" customHeight="1">
      <c r="B21" s="311">
        <v>46206</v>
      </c>
      <c r="C21" s="316" t="s">
        <v>576</v>
      </c>
      <c r="D21" s="318" t="s">
        <v>584</v>
      </c>
      <c r="E21" s="312">
        <v>3302621</v>
      </c>
      <c r="F21" s="350" t="s">
        <v>181</v>
      </c>
      <c r="G21" s="351">
        <v>3302621</v>
      </c>
      <c r="H21" s="352" t="s">
        <v>576</v>
      </c>
      <c r="I21" s="354" t="s">
        <v>584</v>
      </c>
      <c r="J21" s="354" t="s">
        <v>581</v>
      </c>
      <c r="K21" s="354" t="s">
        <v>173</v>
      </c>
    </row>
    <row r="22" spans="2:11" ht="13.8" customHeight="1">
      <c r="B22" s="311">
        <v>46206</v>
      </c>
      <c r="C22" s="316" t="s">
        <v>576</v>
      </c>
      <c r="D22" s="319" t="s">
        <v>585</v>
      </c>
      <c r="E22" s="312">
        <v>2889377</v>
      </c>
      <c r="F22" s="350" t="s">
        <v>181</v>
      </c>
      <c r="G22" s="351">
        <v>2889377</v>
      </c>
      <c r="H22" s="352" t="s">
        <v>576</v>
      </c>
      <c r="I22" s="355" t="s">
        <v>585</v>
      </c>
      <c r="J22" s="355" t="s">
        <v>578</v>
      </c>
      <c r="K22" s="355" t="s">
        <v>173</v>
      </c>
    </row>
    <row r="23" spans="2:11" ht="13.8" customHeight="1">
      <c r="B23" s="311">
        <v>46207</v>
      </c>
      <c r="C23" s="316" t="s">
        <v>576</v>
      </c>
      <c r="D23" s="319" t="s">
        <v>586</v>
      </c>
      <c r="E23" s="312">
        <v>3302621</v>
      </c>
      <c r="F23" s="350" t="s">
        <v>332</v>
      </c>
      <c r="G23" s="351">
        <v>3302621</v>
      </c>
      <c r="H23" s="352" t="s">
        <v>576</v>
      </c>
      <c r="I23" s="355" t="s">
        <v>586</v>
      </c>
      <c r="J23" s="355" t="s">
        <v>581</v>
      </c>
      <c r="K23" s="355" t="s">
        <v>173</v>
      </c>
    </row>
    <row r="24" spans="2:11" ht="13.8" customHeight="1">
      <c r="B24" s="311">
        <v>46207</v>
      </c>
      <c r="C24" s="316" t="s">
        <v>576</v>
      </c>
      <c r="D24" s="319" t="s">
        <v>587</v>
      </c>
      <c r="E24" s="312">
        <v>2889377</v>
      </c>
      <c r="F24" s="350" t="s">
        <v>332</v>
      </c>
      <c r="G24" s="351">
        <v>2889377</v>
      </c>
      <c r="H24" s="352" t="s">
        <v>576</v>
      </c>
      <c r="I24" s="355" t="s">
        <v>587</v>
      </c>
      <c r="J24" s="355" t="s">
        <v>578</v>
      </c>
      <c r="K24" s="355" t="s">
        <v>173</v>
      </c>
    </row>
    <row r="25" spans="2:11" ht="13.8" customHeight="1">
      <c r="B25" s="311">
        <v>46208</v>
      </c>
      <c r="C25" s="316" t="s">
        <v>576</v>
      </c>
      <c r="D25" s="54" t="s">
        <v>588</v>
      </c>
      <c r="E25" s="320">
        <v>361833</v>
      </c>
      <c r="F25" s="350" t="s">
        <v>183</v>
      </c>
      <c r="G25" s="320">
        <v>361833</v>
      </c>
      <c r="H25" s="352" t="s">
        <v>576</v>
      </c>
      <c r="I25" s="139" t="s">
        <v>588</v>
      </c>
      <c r="J25" s="139" t="s">
        <v>578</v>
      </c>
      <c r="K25" s="139" t="s">
        <v>173</v>
      </c>
    </row>
    <row r="26" spans="2:11" ht="13.8" customHeight="1">
      <c r="B26" s="311">
        <v>46208</v>
      </c>
      <c r="C26" s="316" t="s">
        <v>576</v>
      </c>
      <c r="D26" s="54" t="s">
        <v>589</v>
      </c>
      <c r="E26" s="320">
        <v>723666</v>
      </c>
      <c r="F26" s="350" t="s">
        <v>183</v>
      </c>
      <c r="G26" s="320">
        <v>723666</v>
      </c>
      <c r="H26" s="352" t="s">
        <v>576</v>
      </c>
      <c r="I26" s="139" t="s">
        <v>589</v>
      </c>
      <c r="J26" s="139" t="s">
        <v>578</v>
      </c>
      <c r="K26" s="139" t="s">
        <v>173</v>
      </c>
    </row>
    <row r="27" spans="2:11" ht="13.8" customHeight="1">
      <c r="B27" s="311">
        <v>46208</v>
      </c>
      <c r="C27" s="316" t="s">
        <v>576</v>
      </c>
      <c r="D27" s="54" t="s">
        <v>590</v>
      </c>
      <c r="E27" s="312">
        <v>1962261</v>
      </c>
      <c r="F27" s="350" t="s">
        <v>183</v>
      </c>
      <c r="G27" s="351">
        <v>1962261</v>
      </c>
      <c r="H27" s="352" t="s">
        <v>576</v>
      </c>
      <c r="I27" s="139" t="s">
        <v>590</v>
      </c>
      <c r="J27" s="139" t="s">
        <v>578</v>
      </c>
      <c r="K27" s="139" t="s">
        <v>173</v>
      </c>
    </row>
    <row r="28" spans="2:11" ht="13.8" customHeight="1">
      <c r="B28" s="311">
        <v>46208</v>
      </c>
      <c r="C28" s="316" t="s">
        <v>576</v>
      </c>
      <c r="D28" s="54" t="s">
        <v>591</v>
      </c>
      <c r="E28" s="312">
        <v>370740</v>
      </c>
      <c r="F28" s="350" t="s">
        <v>183</v>
      </c>
      <c r="G28" s="351">
        <v>370740</v>
      </c>
      <c r="H28" s="352" t="s">
        <v>576</v>
      </c>
      <c r="I28" s="139" t="s">
        <v>591</v>
      </c>
      <c r="J28" s="139" t="s">
        <v>581</v>
      </c>
      <c r="K28" s="139" t="s">
        <v>173</v>
      </c>
    </row>
    <row r="29" spans="2:11" ht="13.8" customHeight="1">
      <c r="B29" s="311">
        <v>46208</v>
      </c>
      <c r="C29" s="316" t="s">
        <v>576</v>
      </c>
      <c r="D29" s="319" t="s">
        <v>592</v>
      </c>
      <c r="E29" s="317">
        <v>741479</v>
      </c>
      <c r="F29" s="350" t="s">
        <v>183</v>
      </c>
      <c r="G29" s="353">
        <v>741479</v>
      </c>
      <c r="H29" s="352" t="s">
        <v>576</v>
      </c>
      <c r="I29" s="355" t="s">
        <v>592</v>
      </c>
      <c r="J29" s="355" t="s">
        <v>581</v>
      </c>
      <c r="K29" s="355" t="s">
        <v>173</v>
      </c>
    </row>
    <row r="30" spans="2:11" ht="13.8" customHeight="1">
      <c r="B30" s="311">
        <v>46208</v>
      </c>
      <c r="C30" s="316" t="s">
        <v>576</v>
      </c>
      <c r="D30" s="54" t="s">
        <v>593</v>
      </c>
      <c r="E30" s="312">
        <v>1853700</v>
      </c>
      <c r="F30" s="350" t="s">
        <v>183</v>
      </c>
      <c r="G30" s="351">
        <v>1853700</v>
      </c>
      <c r="H30" s="352" t="s">
        <v>576</v>
      </c>
      <c r="I30" s="139" t="s">
        <v>593</v>
      </c>
      <c r="J30" s="139" t="s">
        <v>581</v>
      </c>
      <c r="K30" s="139" t="s">
        <v>173</v>
      </c>
    </row>
    <row r="31" spans="2:11" ht="13.8" customHeight="1">
      <c r="B31" s="311">
        <v>46210</v>
      </c>
      <c r="C31" s="316" t="s">
        <v>576</v>
      </c>
      <c r="D31" s="54" t="s">
        <v>594</v>
      </c>
      <c r="E31" s="312">
        <v>4814824</v>
      </c>
      <c r="F31" s="350" t="s">
        <v>190</v>
      </c>
      <c r="G31" s="351">
        <v>4814824</v>
      </c>
      <c r="H31" s="352" t="s">
        <v>576</v>
      </c>
      <c r="I31" s="139" t="s">
        <v>594</v>
      </c>
      <c r="J31" s="139" t="s">
        <v>581</v>
      </c>
      <c r="K31" s="139" t="s">
        <v>173</v>
      </c>
    </row>
    <row r="32" spans="2:11" ht="13.8" customHeight="1">
      <c r="B32" s="311">
        <v>46210</v>
      </c>
      <c r="C32" s="316" t="s">
        <v>576</v>
      </c>
      <c r="D32" s="319" t="s">
        <v>595</v>
      </c>
      <c r="E32" s="312">
        <v>2889377</v>
      </c>
      <c r="F32" s="350" t="s">
        <v>190</v>
      </c>
      <c r="G32" s="351">
        <v>2889377</v>
      </c>
      <c r="H32" s="352" t="s">
        <v>576</v>
      </c>
      <c r="I32" s="355" t="s">
        <v>595</v>
      </c>
      <c r="J32" s="355" t="s">
        <v>578</v>
      </c>
      <c r="K32" s="355" t="s">
        <v>173</v>
      </c>
    </row>
    <row r="33" spans="2:11" ht="13.8" customHeight="1">
      <c r="B33" s="311">
        <v>46211</v>
      </c>
      <c r="C33" s="316" t="s">
        <v>576</v>
      </c>
      <c r="D33" s="319" t="s">
        <v>596</v>
      </c>
      <c r="E33" s="321">
        <v>4814824</v>
      </c>
      <c r="F33" s="350" t="s">
        <v>192</v>
      </c>
      <c r="G33" s="356">
        <v>4814824</v>
      </c>
      <c r="H33" s="352" t="s">
        <v>576</v>
      </c>
      <c r="I33" s="355" t="s">
        <v>596</v>
      </c>
      <c r="J33" s="355" t="s">
        <v>581</v>
      </c>
      <c r="K33" s="355" t="s">
        <v>173</v>
      </c>
    </row>
    <row r="34" spans="2:11" ht="13.8" customHeight="1">
      <c r="B34" s="311">
        <v>46211</v>
      </c>
      <c r="C34" s="316" t="s">
        <v>576</v>
      </c>
      <c r="D34" s="302" t="s">
        <v>597</v>
      </c>
      <c r="E34" s="321">
        <v>2131917</v>
      </c>
      <c r="F34" s="350" t="s">
        <v>192</v>
      </c>
      <c r="G34" s="356">
        <v>2131917</v>
      </c>
      <c r="H34" s="352" t="s">
        <v>576</v>
      </c>
      <c r="I34" s="348" t="s">
        <v>597</v>
      </c>
      <c r="J34" s="348" t="s">
        <v>578</v>
      </c>
      <c r="K34" s="348" t="s">
        <v>173</v>
      </c>
    </row>
    <row r="35" spans="2:11" ht="13.8" customHeight="1">
      <c r="B35" s="311">
        <v>46212</v>
      </c>
      <c r="C35" s="316" t="s">
        <v>576</v>
      </c>
      <c r="D35" s="302" t="s">
        <v>598</v>
      </c>
      <c r="E35" s="321">
        <v>323473</v>
      </c>
      <c r="F35" s="350" t="s">
        <v>194</v>
      </c>
      <c r="G35" s="356">
        <v>323473</v>
      </c>
      <c r="H35" s="352" t="s">
        <v>576</v>
      </c>
      <c r="I35" s="348" t="s">
        <v>598</v>
      </c>
      <c r="J35" s="348" t="s">
        <v>581</v>
      </c>
      <c r="K35" s="348" t="s">
        <v>173</v>
      </c>
    </row>
    <row r="36" spans="2:11" ht="13.8" customHeight="1">
      <c r="B36" s="311">
        <v>46212</v>
      </c>
      <c r="C36" s="316" t="s">
        <v>576</v>
      </c>
      <c r="D36" s="302" t="s">
        <v>599</v>
      </c>
      <c r="E36" s="317">
        <v>3662583</v>
      </c>
      <c r="F36" s="350" t="s">
        <v>194</v>
      </c>
      <c r="G36" s="353">
        <v>3662583</v>
      </c>
      <c r="H36" s="352" t="s">
        <v>576</v>
      </c>
      <c r="I36" s="348" t="s">
        <v>599</v>
      </c>
      <c r="J36" s="348" t="s">
        <v>578</v>
      </c>
      <c r="K36" s="348" t="s">
        <v>173</v>
      </c>
    </row>
    <row r="37" spans="2:11" ht="13.8" customHeight="1">
      <c r="B37" s="311">
        <v>46213</v>
      </c>
      <c r="C37" s="316" t="s">
        <v>576</v>
      </c>
      <c r="D37" s="302" t="s">
        <v>600</v>
      </c>
      <c r="E37" s="317">
        <v>602078</v>
      </c>
      <c r="F37" s="350" t="s">
        <v>196</v>
      </c>
      <c r="G37" s="353">
        <v>602078</v>
      </c>
      <c r="H37" s="352" t="s">
        <v>576</v>
      </c>
      <c r="I37" s="348" t="s">
        <v>600</v>
      </c>
      <c r="J37" s="348" t="s">
        <v>581</v>
      </c>
      <c r="K37" s="348" t="s">
        <v>173</v>
      </c>
    </row>
    <row r="38" spans="2:11" ht="13.8" customHeight="1">
      <c r="B38" s="311">
        <v>46213</v>
      </c>
      <c r="C38" s="316" t="s">
        <v>576</v>
      </c>
      <c r="D38" s="319" t="s">
        <v>601</v>
      </c>
      <c r="E38" s="321">
        <v>1204157</v>
      </c>
      <c r="F38" s="350" t="s">
        <v>196</v>
      </c>
      <c r="G38" s="356">
        <v>1204157</v>
      </c>
      <c r="H38" s="352" t="s">
        <v>576</v>
      </c>
      <c r="I38" s="355" t="s">
        <v>601</v>
      </c>
      <c r="J38" s="355" t="s">
        <v>581</v>
      </c>
      <c r="K38" s="355" t="s">
        <v>173</v>
      </c>
    </row>
    <row r="39" spans="2:11" ht="13.8" customHeight="1">
      <c r="B39" s="311">
        <v>46213</v>
      </c>
      <c r="C39" s="316" t="s">
        <v>576</v>
      </c>
      <c r="D39" s="302" t="s">
        <v>602</v>
      </c>
      <c r="E39" s="317">
        <v>3131951</v>
      </c>
      <c r="F39" s="350" t="s">
        <v>196</v>
      </c>
      <c r="G39" s="353">
        <v>3131951</v>
      </c>
      <c r="H39" s="352" t="s">
        <v>576</v>
      </c>
      <c r="I39" s="348" t="s">
        <v>602</v>
      </c>
      <c r="J39" s="348" t="s">
        <v>581</v>
      </c>
      <c r="K39" s="348" t="s">
        <v>173</v>
      </c>
    </row>
    <row r="40" spans="2:11" ht="13.8" customHeight="1">
      <c r="B40" s="311">
        <v>46213</v>
      </c>
      <c r="C40" s="316" t="s">
        <v>576</v>
      </c>
      <c r="D40" s="319" t="s">
        <v>603</v>
      </c>
      <c r="E40" s="317">
        <v>1082575</v>
      </c>
      <c r="F40" s="350" t="s">
        <v>196</v>
      </c>
      <c r="G40" s="353">
        <v>1082575</v>
      </c>
      <c r="H40" s="352" t="s">
        <v>576</v>
      </c>
      <c r="I40" s="355" t="s">
        <v>603</v>
      </c>
      <c r="J40" s="355" t="s">
        <v>578</v>
      </c>
      <c r="K40" s="355" t="s">
        <v>173</v>
      </c>
    </row>
    <row r="41" spans="2:11" ht="13.8" customHeight="1">
      <c r="B41" s="311">
        <v>46215</v>
      </c>
      <c r="C41" s="316" t="s">
        <v>576</v>
      </c>
      <c r="D41" s="319" t="s">
        <v>604</v>
      </c>
      <c r="E41" s="321">
        <v>4814824</v>
      </c>
      <c r="F41" s="350" t="s">
        <v>200</v>
      </c>
      <c r="G41" s="356">
        <v>4814824</v>
      </c>
      <c r="H41" s="352" t="s">
        <v>576</v>
      </c>
      <c r="I41" s="355" t="s">
        <v>604</v>
      </c>
      <c r="J41" s="355" t="s">
        <v>581</v>
      </c>
      <c r="K41" s="355" t="s">
        <v>173</v>
      </c>
    </row>
    <row r="42" spans="2:11" ht="13.8" customHeight="1">
      <c r="B42" s="311">
        <v>46215</v>
      </c>
      <c r="C42" s="316" t="s">
        <v>576</v>
      </c>
      <c r="D42" s="302" t="s">
        <v>605</v>
      </c>
      <c r="E42" s="321">
        <v>2489806</v>
      </c>
      <c r="F42" s="350" t="s">
        <v>200</v>
      </c>
      <c r="G42" s="356">
        <v>2489806</v>
      </c>
      <c r="H42" s="352" t="s">
        <v>576</v>
      </c>
      <c r="I42" s="348" t="s">
        <v>605</v>
      </c>
      <c r="J42" s="348" t="s">
        <v>578</v>
      </c>
      <c r="K42" s="348" t="s">
        <v>173</v>
      </c>
    </row>
    <row r="43" spans="2:11" ht="13.8" customHeight="1">
      <c r="B43" s="311">
        <v>46216</v>
      </c>
      <c r="C43" s="316" t="s">
        <v>576</v>
      </c>
      <c r="D43" s="302" t="s">
        <v>606</v>
      </c>
      <c r="E43" s="321">
        <v>2489806</v>
      </c>
      <c r="F43" s="350" t="s">
        <v>202</v>
      </c>
      <c r="G43" s="356">
        <v>2489806</v>
      </c>
      <c r="H43" s="352" t="s">
        <v>576</v>
      </c>
      <c r="I43" s="348" t="s">
        <v>606</v>
      </c>
      <c r="J43" s="348" t="s">
        <v>578</v>
      </c>
      <c r="K43" s="348" t="s">
        <v>173</v>
      </c>
    </row>
    <row r="44" spans="2:11" ht="13.8" customHeight="1">
      <c r="B44" s="311">
        <v>46217</v>
      </c>
      <c r="C44" s="316" t="s">
        <v>576</v>
      </c>
      <c r="D44" s="302" t="s">
        <v>607</v>
      </c>
      <c r="E44" s="321">
        <v>439278</v>
      </c>
      <c r="F44" s="350" t="s">
        <v>204</v>
      </c>
      <c r="G44" s="356">
        <v>439278</v>
      </c>
      <c r="H44" s="352" t="s">
        <v>576</v>
      </c>
      <c r="I44" s="348" t="s">
        <v>607</v>
      </c>
      <c r="J44" s="348" t="s">
        <v>581</v>
      </c>
      <c r="K44" s="348" t="s">
        <v>173</v>
      </c>
    </row>
    <row r="45" spans="2:11" ht="13.8" customHeight="1">
      <c r="B45" s="311">
        <v>46217</v>
      </c>
      <c r="C45" s="316" t="s">
        <v>576</v>
      </c>
      <c r="D45" s="302" t="s">
        <v>608</v>
      </c>
      <c r="E45" s="321">
        <v>878557</v>
      </c>
      <c r="F45" s="350" t="s">
        <v>204</v>
      </c>
      <c r="G45" s="356">
        <v>878557</v>
      </c>
      <c r="H45" s="352" t="s">
        <v>576</v>
      </c>
      <c r="I45" s="348" t="s">
        <v>608</v>
      </c>
      <c r="J45" s="348" t="s">
        <v>581</v>
      </c>
      <c r="K45" s="348" t="s">
        <v>173</v>
      </c>
    </row>
    <row r="46" spans="2:11" ht="13.8" customHeight="1">
      <c r="B46" s="311">
        <v>46217</v>
      </c>
      <c r="C46" s="316" t="s">
        <v>576</v>
      </c>
      <c r="D46" s="302" t="s">
        <v>609</v>
      </c>
      <c r="E46" s="321">
        <v>311322</v>
      </c>
      <c r="F46" s="350" t="s">
        <v>204</v>
      </c>
      <c r="G46" s="356">
        <v>311322</v>
      </c>
      <c r="H46" s="352" t="s">
        <v>576</v>
      </c>
      <c r="I46" s="348" t="s">
        <v>609</v>
      </c>
      <c r="J46" s="348" t="s">
        <v>578</v>
      </c>
      <c r="K46" s="348" t="s">
        <v>173</v>
      </c>
    </row>
    <row r="47" spans="2:11" ht="13.8" customHeight="1">
      <c r="B47" s="311">
        <v>46217</v>
      </c>
      <c r="C47" s="316" t="s">
        <v>576</v>
      </c>
      <c r="D47" s="302" t="s">
        <v>610</v>
      </c>
      <c r="E47" s="321">
        <v>622644</v>
      </c>
      <c r="F47" s="350" t="s">
        <v>204</v>
      </c>
      <c r="G47" s="356">
        <v>622644</v>
      </c>
      <c r="H47" s="352" t="s">
        <v>576</v>
      </c>
      <c r="I47" s="348" t="s">
        <v>610</v>
      </c>
      <c r="J47" s="348" t="s">
        <v>578</v>
      </c>
      <c r="K47" s="348" t="s">
        <v>173</v>
      </c>
    </row>
    <row r="48" spans="2:11" ht="13.8" customHeight="1">
      <c r="B48" s="311">
        <v>46218</v>
      </c>
      <c r="C48" s="316" t="s">
        <v>576</v>
      </c>
      <c r="D48" s="302" t="s">
        <v>611</v>
      </c>
      <c r="E48" s="321">
        <v>1634229</v>
      </c>
      <c r="F48" s="350" t="s">
        <v>356</v>
      </c>
      <c r="G48" s="356">
        <v>1634229</v>
      </c>
      <c r="H48" s="352" t="s">
        <v>576</v>
      </c>
      <c r="I48" s="348" t="s">
        <v>611</v>
      </c>
      <c r="J48" s="348" t="s">
        <v>578</v>
      </c>
      <c r="K48" s="348" t="s">
        <v>173</v>
      </c>
    </row>
    <row r="49" spans="2:11" ht="13.8" customHeight="1">
      <c r="B49" s="311">
        <v>46218</v>
      </c>
      <c r="C49" s="316" t="s">
        <v>576</v>
      </c>
      <c r="D49" s="302" t="s">
        <v>612</v>
      </c>
      <c r="E49" s="321">
        <v>2263808</v>
      </c>
      <c r="F49" s="350" t="s">
        <v>356</v>
      </c>
      <c r="G49" s="356">
        <v>2263808</v>
      </c>
      <c r="H49" s="352" t="s">
        <v>576</v>
      </c>
      <c r="I49" s="348" t="s">
        <v>612</v>
      </c>
      <c r="J49" s="348" t="s">
        <v>581</v>
      </c>
      <c r="K49" s="348" t="s">
        <v>173</v>
      </c>
    </row>
    <row r="50" spans="2:11" ht="13.8" customHeight="1">
      <c r="B50" s="311">
        <v>46219</v>
      </c>
      <c r="C50" s="316" t="s">
        <v>576</v>
      </c>
      <c r="D50" s="302" t="s">
        <v>613</v>
      </c>
      <c r="E50" s="321">
        <v>2489806</v>
      </c>
      <c r="F50" s="350" t="s">
        <v>206</v>
      </c>
      <c r="G50" s="356">
        <v>2489806</v>
      </c>
      <c r="H50" s="352" t="s">
        <v>576</v>
      </c>
      <c r="I50" s="348" t="s">
        <v>613</v>
      </c>
      <c r="J50" s="348" t="s">
        <v>578</v>
      </c>
      <c r="K50" s="348" t="s">
        <v>173</v>
      </c>
    </row>
    <row r="51" spans="2:11" ht="13.8" customHeight="1">
      <c r="B51" s="311">
        <v>46221</v>
      </c>
      <c r="C51" s="316" t="s">
        <v>576</v>
      </c>
      <c r="D51" s="302" t="s">
        <v>614</v>
      </c>
      <c r="E51" s="321">
        <v>4814824</v>
      </c>
      <c r="F51" s="350" t="s">
        <v>208</v>
      </c>
      <c r="G51" s="356">
        <v>4814824</v>
      </c>
      <c r="H51" s="352" t="s">
        <v>576</v>
      </c>
      <c r="I51" s="348" t="s">
        <v>614</v>
      </c>
      <c r="J51" s="348" t="s">
        <v>581</v>
      </c>
      <c r="K51" s="348" t="s">
        <v>173</v>
      </c>
    </row>
    <row r="52" spans="2:11" ht="13.8" customHeight="1">
      <c r="B52" s="311">
        <v>46222</v>
      </c>
      <c r="C52" s="316" t="s">
        <v>576</v>
      </c>
      <c r="D52" s="302" t="s">
        <v>615</v>
      </c>
      <c r="E52" s="321">
        <v>4703908</v>
      </c>
      <c r="F52" s="350" t="s">
        <v>210</v>
      </c>
      <c r="G52" s="356">
        <v>4703908</v>
      </c>
      <c r="H52" s="352" t="s">
        <v>576</v>
      </c>
      <c r="I52" s="348" t="s">
        <v>615</v>
      </c>
      <c r="J52" s="348" t="s">
        <v>578</v>
      </c>
      <c r="K52" s="348" t="s">
        <v>173</v>
      </c>
    </row>
    <row r="53" spans="2:11" ht="13.8" customHeight="1">
      <c r="B53" s="311">
        <v>46223</v>
      </c>
      <c r="C53" s="316" t="s">
        <v>576</v>
      </c>
      <c r="D53" s="302" t="s">
        <v>616</v>
      </c>
      <c r="E53" s="321">
        <v>4814824</v>
      </c>
      <c r="F53" s="350" t="s">
        <v>212</v>
      </c>
      <c r="G53" s="356">
        <v>4814824</v>
      </c>
      <c r="H53" s="352" t="s">
        <v>576</v>
      </c>
      <c r="I53" s="348" t="s">
        <v>616</v>
      </c>
      <c r="J53" s="348" t="s">
        <v>581</v>
      </c>
      <c r="K53" s="348" t="s">
        <v>173</v>
      </c>
    </row>
    <row r="54" spans="2:11" ht="13.8" customHeight="1">
      <c r="B54" s="322">
        <v>46225</v>
      </c>
      <c r="C54" s="316" t="s">
        <v>576</v>
      </c>
      <c r="D54" s="302" t="s">
        <v>617</v>
      </c>
      <c r="E54" s="321">
        <v>4703908</v>
      </c>
      <c r="F54" s="357" t="s">
        <v>216</v>
      </c>
      <c r="G54" s="356">
        <v>4703908</v>
      </c>
      <c r="H54" s="352" t="s">
        <v>576</v>
      </c>
      <c r="I54" s="348" t="s">
        <v>617</v>
      </c>
      <c r="J54" s="348" t="s">
        <v>578</v>
      </c>
      <c r="K54" s="348" t="s">
        <v>173</v>
      </c>
    </row>
    <row r="55" spans="2:11" ht="13.8" customHeight="1">
      <c r="B55" s="322">
        <v>46226</v>
      </c>
      <c r="C55" s="316" t="s">
        <v>576</v>
      </c>
      <c r="D55" s="302" t="s">
        <v>618</v>
      </c>
      <c r="E55" s="321">
        <v>4814824</v>
      </c>
      <c r="F55" s="357" t="s">
        <v>368</v>
      </c>
      <c r="G55" s="356">
        <v>4814824</v>
      </c>
      <c r="H55" s="352" t="s">
        <v>576</v>
      </c>
      <c r="I55" s="348" t="s">
        <v>618</v>
      </c>
      <c r="J55" s="348" t="s">
        <v>581</v>
      </c>
      <c r="K55" s="348" t="s">
        <v>173</v>
      </c>
    </row>
    <row r="56" spans="2:11" ht="13.8" customHeight="1">
      <c r="B56" s="322">
        <v>46229</v>
      </c>
      <c r="C56" s="316" t="s">
        <v>576</v>
      </c>
      <c r="D56" s="302" t="s">
        <v>619</v>
      </c>
      <c r="E56" s="321">
        <v>4703908</v>
      </c>
      <c r="F56" s="357" t="s">
        <v>222</v>
      </c>
      <c r="G56" s="356">
        <v>4703908</v>
      </c>
      <c r="H56" s="352" t="s">
        <v>576</v>
      </c>
      <c r="I56" s="348" t="s">
        <v>619</v>
      </c>
      <c r="J56" s="348" t="s">
        <v>578</v>
      </c>
      <c r="K56" s="348" t="s">
        <v>173</v>
      </c>
    </row>
    <row r="57" spans="2:11" ht="13.8" customHeight="1">
      <c r="B57" s="322">
        <v>46229</v>
      </c>
      <c r="C57" s="316" t="s">
        <v>576</v>
      </c>
      <c r="D57" s="302" t="s">
        <v>620</v>
      </c>
      <c r="E57" s="321">
        <v>4814824</v>
      </c>
      <c r="F57" s="357" t="s">
        <v>222</v>
      </c>
      <c r="G57" s="356">
        <v>4814824</v>
      </c>
      <c r="H57" s="352" t="s">
        <v>576</v>
      </c>
      <c r="I57" s="348" t="s">
        <v>620</v>
      </c>
      <c r="J57" s="348" t="s">
        <v>581</v>
      </c>
      <c r="K57" s="348" t="s">
        <v>173</v>
      </c>
    </row>
  </sheetData>
  <mergeCells count="3">
    <mergeCell ref="C2:C3"/>
    <mergeCell ref="A2:A3"/>
    <mergeCell ref="B2:B3"/>
  </mergeCells>
  <hyperlinks>
    <hyperlink ref="I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999"/>
  <sheetViews>
    <sheetView workbookViewId="0"/>
  </sheetViews>
  <sheetFormatPr defaultColWidth="12.6640625" defaultRowHeight="15.75" customHeight="1"/>
  <cols>
    <col min="1" max="1" width="4.33203125" style="323" customWidth="1"/>
  </cols>
  <sheetData>
    <row r="1" spans="1:7" ht="15.75" customHeight="1">
      <c r="A1" s="358"/>
      <c r="B1" s="359"/>
      <c r="C1" s="359"/>
      <c r="D1" s="360"/>
      <c r="E1" s="4"/>
      <c r="F1" s="4"/>
      <c r="G1" s="4"/>
    </row>
    <row r="2" spans="1:7" ht="26.4">
      <c r="A2" s="361" t="s">
        <v>0</v>
      </c>
      <c r="B2" s="363" t="s">
        <v>1</v>
      </c>
      <c r="C2" s="8" t="s">
        <v>2</v>
      </c>
      <c r="D2" s="17" t="s">
        <v>3</v>
      </c>
      <c r="E2" s="150" t="s">
        <v>4</v>
      </c>
      <c r="F2" s="150" t="s">
        <v>5</v>
      </c>
      <c r="G2" s="150" t="s">
        <v>6</v>
      </c>
    </row>
    <row r="3" spans="1:7" ht="13.2">
      <c r="A3" s="362"/>
      <c r="B3" s="362"/>
      <c r="C3" s="10">
        <f>+SUM(C4:C34)</f>
        <v>0</v>
      </c>
      <c r="D3" s="13">
        <f>SUM(D4:D34)</f>
        <v>114284079.99999997</v>
      </c>
      <c r="E3" s="17">
        <f>SUM(E4:E34)</f>
        <v>31</v>
      </c>
      <c r="F3" s="13">
        <f>SUM(F4:F36)</f>
        <v>93210000</v>
      </c>
      <c r="G3" s="21">
        <f t="shared" ref="G3:G19" si="0">IFERROR(D3/F3,0)</f>
        <v>1.2260924793477093</v>
      </c>
    </row>
    <row r="4" spans="1:7" ht="15.75" customHeight="1">
      <c r="A4" s="23">
        <v>1</v>
      </c>
      <c r="B4" s="25">
        <v>46204</v>
      </c>
      <c r="C4" s="234"/>
      <c r="D4" s="304">
        <f>'NT Thưởng CT'!D8</f>
        <v>4017019.9999999995</v>
      </c>
      <c r="E4" s="264">
        <v>3</v>
      </c>
      <c r="F4" s="247">
        <v>9535000</v>
      </c>
      <c r="G4" s="34">
        <f t="shared" si="0"/>
        <v>0.42129208180388039</v>
      </c>
    </row>
    <row r="5" spans="1:7" ht="15.75" customHeight="1">
      <c r="A5" s="35">
        <v>2</v>
      </c>
      <c r="B5" s="36">
        <v>46205</v>
      </c>
      <c r="C5" s="241"/>
      <c r="D5" s="305">
        <f>'NT Thưởng CT'!E8</f>
        <v>5358234.5454545449</v>
      </c>
      <c r="E5" s="266">
        <v>0</v>
      </c>
      <c r="F5" s="245">
        <v>0</v>
      </c>
      <c r="G5" s="39">
        <f t="shared" si="0"/>
        <v>0</v>
      </c>
    </row>
    <row r="6" spans="1:7" ht="15.75" customHeight="1">
      <c r="A6" s="23">
        <v>3</v>
      </c>
      <c r="B6" s="25">
        <v>46206</v>
      </c>
      <c r="C6" s="234"/>
      <c r="D6" s="304">
        <f>'NT Thưởng CT'!F8</f>
        <v>2898100.9090909087</v>
      </c>
      <c r="E6" s="264">
        <v>2</v>
      </c>
      <c r="F6" s="247">
        <v>6285000</v>
      </c>
      <c r="G6" s="34">
        <f t="shared" si="0"/>
        <v>0.46111390757214138</v>
      </c>
    </row>
    <row r="7" spans="1:7" ht="15.75" customHeight="1">
      <c r="A7" s="35">
        <v>4</v>
      </c>
      <c r="B7" s="36">
        <v>46207</v>
      </c>
      <c r="C7" s="241"/>
      <c r="D7" s="305">
        <f>'NT Thưởng CT'!G8</f>
        <v>5850835.4545454541</v>
      </c>
      <c r="E7" s="266">
        <v>4</v>
      </c>
      <c r="F7" s="245">
        <v>12060000</v>
      </c>
      <c r="G7" s="39">
        <f t="shared" si="0"/>
        <v>0.48514390170360316</v>
      </c>
    </row>
    <row r="8" spans="1:7" ht="15.75" customHeight="1">
      <c r="A8" s="23">
        <v>5</v>
      </c>
      <c r="B8" s="25">
        <v>46208</v>
      </c>
      <c r="C8" s="234"/>
      <c r="D8" s="304">
        <f>'NT Thưởng CT'!H8</f>
        <v>1486199.9999999998</v>
      </c>
      <c r="E8" s="264">
        <v>1</v>
      </c>
      <c r="F8" s="247">
        <v>3900000</v>
      </c>
      <c r="G8" s="34">
        <f t="shared" si="0"/>
        <v>0.38107692307692304</v>
      </c>
    </row>
    <row r="9" spans="1:7" ht="15.75" customHeight="1">
      <c r="A9" s="35">
        <v>6</v>
      </c>
      <c r="B9" s="36">
        <v>46209</v>
      </c>
      <c r="C9" s="241"/>
      <c r="D9" s="305">
        <f>'NT Thưởng CT'!I8</f>
        <v>0</v>
      </c>
      <c r="E9" s="266">
        <v>0</v>
      </c>
      <c r="F9" s="245">
        <v>0</v>
      </c>
      <c r="G9" s="39">
        <f t="shared" si="0"/>
        <v>0</v>
      </c>
    </row>
    <row r="10" spans="1:7" ht="15.75" customHeight="1">
      <c r="A10" s="23">
        <v>7</v>
      </c>
      <c r="B10" s="25">
        <v>46210</v>
      </c>
      <c r="C10" s="234"/>
      <c r="D10" s="304">
        <f>'NT Thưởng CT'!J8</f>
        <v>9042576.3636363633</v>
      </c>
      <c r="E10" s="264">
        <v>1</v>
      </c>
      <c r="F10" s="247">
        <v>2910000</v>
      </c>
      <c r="G10" s="34">
        <f t="shared" si="0"/>
        <v>3.1074145579506403</v>
      </c>
    </row>
    <row r="11" spans="1:7" ht="15.75" customHeight="1">
      <c r="A11" s="35">
        <v>8</v>
      </c>
      <c r="B11" s="36">
        <v>46211</v>
      </c>
      <c r="C11" s="241"/>
      <c r="D11" s="305">
        <f>'NT Thưởng CT'!K8</f>
        <v>0</v>
      </c>
      <c r="E11" s="266">
        <v>0</v>
      </c>
      <c r="F11" s="245">
        <v>0</v>
      </c>
      <c r="G11" s="39">
        <f t="shared" si="0"/>
        <v>0</v>
      </c>
    </row>
    <row r="12" spans="1:7" ht="15.75" customHeight="1">
      <c r="A12" s="23">
        <v>9</v>
      </c>
      <c r="B12" s="25">
        <v>46212</v>
      </c>
      <c r="C12" s="234"/>
      <c r="D12" s="304">
        <f>'NT Thưởng CT'!L8</f>
        <v>4908392.7272727266</v>
      </c>
      <c r="E12" s="264">
        <v>1</v>
      </c>
      <c r="F12" s="247">
        <v>2910000</v>
      </c>
      <c r="G12" s="34">
        <f t="shared" si="0"/>
        <v>1.6867328959700092</v>
      </c>
    </row>
    <row r="13" spans="1:7" ht="15.75" customHeight="1">
      <c r="A13" s="35">
        <v>10</v>
      </c>
      <c r="B13" s="36">
        <v>46213</v>
      </c>
      <c r="C13" s="241"/>
      <c r="D13" s="305">
        <f>'NT Thưởng CT'!M8</f>
        <v>0</v>
      </c>
      <c r="E13" s="266">
        <v>1</v>
      </c>
      <c r="F13" s="245">
        <v>2910000</v>
      </c>
      <c r="G13" s="39">
        <f t="shared" si="0"/>
        <v>0</v>
      </c>
    </row>
    <row r="14" spans="1:7" ht="15.75" customHeight="1">
      <c r="A14" s="23">
        <v>11</v>
      </c>
      <c r="B14" s="25">
        <v>46214</v>
      </c>
      <c r="C14" s="234"/>
      <c r="D14" s="304">
        <f>'NT Thưởng CT'!N8</f>
        <v>6658022.7272727266</v>
      </c>
      <c r="E14" s="264">
        <v>0</v>
      </c>
      <c r="F14" s="247">
        <v>0</v>
      </c>
      <c r="G14" s="34">
        <f t="shared" si="0"/>
        <v>0</v>
      </c>
    </row>
    <row r="15" spans="1:7" ht="15.75" customHeight="1">
      <c r="A15" s="35">
        <v>12</v>
      </c>
      <c r="B15" s="36">
        <v>46215</v>
      </c>
      <c r="C15" s="241"/>
      <c r="D15" s="305">
        <f>'NT Thưởng CT'!O8</f>
        <v>7039786.3636363633</v>
      </c>
      <c r="E15" s="266">
        <v>1</v>
      </c>
      <c r="F15" s="245">
        <v>3560000</v>
      </c>
      <c r="G15" s="39">
        <f t="shared" si="0"/>
        <v>1.9774680796731356</v>
      </c>
    </row>
    <row r="16" spans="1:7" ht="14.4" customHeight="1">
      <c r="A16" s="23">
        <v>13</v>
      </c>
      <c r="B16" s="25">
        <v>46216</v>
      </c>
      <c r="C16" s="234"/>
      <c r="D16" s="304">
        <f>'NT Thưởng CT'!P8</f>
        <v>0</v>
      </c>
      <c r="E16" s="264">
        <v>0</v>
      </c>
      <c r="F16" s="247">
        <v>0</v>
      </c>
      <c r="G16" s="34">
        <f t="shared" si="0"/>
        <v>0</v>
      </c>
    </row>
    <row r="17" spans="1:7" ht="14.4" customHeight="1">
      <c r="A17" s="35">
        <v>14</v>
      </c>
      <c r="B17" s="36">
        <v>46217</v>
      </c>
      <c r="C17" s="241"/>
      <c r="D17" s="305">
        <f>'NT Thưởng CT'!Q8</f>
        <v>0</v>
      </c>
      <c r="E17" s="266">
        <v>2</v>
      </c>
      <c r="F17" s="245">
        <v>6170000</v>
      </c>
      <c r="G17" s="34">
        <f t="shared" si="0"/>
        <v>0</v>
      </c>
    </row>
    <row r="18" spans="1:7" ht="14.4" customHeight="1">
      <c r="A18" s="23">
        <v>15</v>
      </c>
      <c r="B18" s="25">
        <v>46218</v>
      </c>
      <c r="C18" s="234"/>
      <c r="D18" s="304">
        <f>'NT Thưởng CT'!R8</f>
        <v>6512141.8181818174</v>
      </c>
      <c r="E18" s="264">
        <v>2</v>
      </c>
      <c r="F18" s="247">
        <v>5215000</v>
      </c>
      <c r="G18" s="34">
        <f t="shared" si="0"/>
        <v>1.2487328510415758</v>
      </c>
    </row>
    <row r="19" spans="1:7" ht="14.4" customHeight="1">
      <c r="A19" s="35">
        <v>16</v>
      </c>
      <c r="B19" s="36">
        <v>46219</v>
      </c>
      <c r="C19" s="241"/>
      <c r="D19" s="305">
        <f>'NT Thưởng CT'!S8</f>
        <v>6435188.1818181816</v>
      </c>
      <c r="E19" s="266">
        <v>1</v>
      </c>
      <c r="F19" s="245">
        <v>2910000</v>
      </c>
      <c r="G19" s="39">
        <f t="shared" si="0"/>
        <v>2.2114048734770382</v>
      </c>
    </row>
    <row r="20" spans="1:7" ht="14.4" customHeight="1">
      <c r="A20" s="23">
        <v>17</v>
      </c>
      <c r="B20" s="25">
        <v>46220</v>
      </c>
      <c r="C20" s="234"/>
      <c r="D20" s="45">
        <f>'NT Thưởng CT'!T8</f>
        <v>3345972.7272727271</v>
      </c>
      <c r="E20" s="264">
        <v>0</v>
      </c>
      <c r="F20" s="247">
        <v>0</v>
      </c>
      <c r="G20" s="34">
        <f>IFERROR(#REF!/F20,0)</f>
        <v>0</v>
      </c>
    </row>
    <row r="21" spans="1:7" ht="14.4" customHeight="1">
      <c r="A21" s="35">
        <v>18</v>
      </c>
      <c r="B21" s="36">
        <v>46221</v>
      </c>
      <c r="C21" s="241"/>
      <c r="D21" s="305">
        <f>'NT Thưởng CT'!U8</f>
        <v>0</v>
      </c>
      <c r="E21" s="266">
        <v>1</v>
      </c>
      <c r="F21" s="245">
        <v>2910000</v>
      </c>
      <c r="G21" s="34">
        <f t="shared" ref="G21:G34" si="1">IFERROR(D21/F21,0)</f>
        <v>0</v>
      </c>
    </row>
    <row r="22" spans="1:7" ht="14.4" customHeight="1">
      <c r="A22" s="23">
        <v>19</v>
      </c>
      <c r="B22" s="25">
        <v>46222</v>
      </c>
      <c r="C22" s="234"/>
      <c r="D22" s="304">
        <f>'NT Thưởng CT'!V8</f>
        <v>0</v>
      </c>
      <c r="E22" s="264">
        <v>1</v>
      </c>
      <c r="F22" s="247">
        <v>2910000</v>
      </c>
      <c r="G22" s="34">
        <f t="shared" si="1"/>
        <v>0</v>
      </c>
    </row>
    <row r="23" spans="1:7" ht="14.4" customHeight="1">
      <c r="A23" s="35">
        <v>20</v>
      </c>
      <c r="B23" s="36">
        <v>46223</v>
      </c>
      <c r="C23" s="241"/>
      <c r="D23" s="305">
        <f>'NT Thưởng CT'!W8</f>
        <v>0</v>
      </c>
      <c r="E23" s="266">
        <v>0</v>
      </c>
      <c r="F23" s="245">
        <v>0</v>
      </c>
      <c r="G23" s="34">
        <f t="shared" si="1"/>
        <v>0</v>
      </c>
    </row>
    <row r="24" spans="1:7" ht="14.4" customHeight="1">
      <c r="A24" s="23">
        <v>21</v>
      </c>
      <c r="B24" s="25">
        <v>46224</v>
      </c>
      <c r="C24" s="234"/>
      <c r="D24" s="304">
        <f>'NT Thưởng CT'!X8</f>
        <v>10613111.818181816</v>
      </c>
      <c r="E24" s="271">
        <v>0</v>
      </c>
      <c r="F24" s="247">
        <v>0</v>
      </c>
      <c r="G24" s="34">
        <f t="shared" si="1"/>
        <v>0</v>
      </c>
    </row>
    <row r="25" spans="1:7" ht="14.4" customHeight="1">
      <c r="A25" s="35">
        <v>22</v>
      </c>
      <c r="B25" s="36">
        <v>46225</v>
      </c>
      <c r="C25" s="241"/>
      <c r="D25" s="305">
        <f>'NT Thưởng CT'!Y8</f>
        <v>4338070</v>
      </c>
      <c r="E25" s="266">
        <v>2</v>
      </c>
      <c r="F25" s="245">
        <v>3900000</v>
      </c>
      <c r="G25" s="34">
        <f t="shared" si="1"/>
        <v>1.112325641025641</v>
      </c>
    </row>
    <row r="26" spans="1:7" ht="14.4" customHeight="1">
      <c r="A26" s="23">
        <v>23</v>
      </c>
      <c r="B26" s="25">
        <v>46226</v>
      </c>
      <c r="C26" s="234"/>
      <c r="D26" s="304">
        <f>'NT Thưởng CT'!Z8</f>
        <v>9760771.8181818165</v>
      </c>
      <c r="E26" s="264">
        <v>1</v>
      </c>
      <c r="F26" s="247">
        <v>2565000</v>
      </c>
      <c r="G26" s="39">
        <f t="shared" si="1"/>
        <v>3.8053691298954448</v>
      </c>
    </row>
    <row r="27" spans="1:7" ht="14.4" customHeight="1">
      <c r="A27" s="35">
        <v>24</v>
      </c>
      <c r="B27" s="36">
        <v>46227</v>
      </c>
      <c r="C27" s="241"/>
      <c r="D27" s="305">
        <f>'NT Thưởng CT'!AA8</f>
        <v>9122817.2727272715</v>
      </c>
      <c r="E27" s="266">
        <v>0</v>
      </c>
      <c r="F27" s="245">
        <v>0</v>
      </c>
      <c r="G27" s="34">
        <f t="shared" si="1"/>
        <v>0</v>
      </c>
    </row>
    <row r="28" spans="1:7" ht="14.4" customHeight="1">
      <c r="A28" s="23">
        <v>25</v>
      </c>
      <c r="B28" s="25">
        <v>46228</v>
      </c>
      <c r="C28" s="234"/>
      <c r="D28" s="304">
        <f>'NT Thưởng CT'!AB8</f>
        <v>1272301.8181818181</v>
      </c>
      <c r="E28" s="264">
        <v>2</v>
      </c>
      <c r="F28" s="247">
        <v>5915000</v>
      </c>
      <c r="G28" s="34">
        <f t="shared" si="1"/>
        <v>0.21509751786674863</v>
      </c>
    </row>
    <row r="29" spans="1:7" ht="14.4" customHeight="1">
      <c r="A29" s="35">
        <v>26</v>
      </c>
      <c r="B29" s="36">
        <v>46229</v>
      </c>
      <c r="C29" s="241"/>
      <c r="D29" s="305">
        <f>'NT Thưởng CT'!AC8</f>
        <v>4933832.7272727266</v>
      </c>
      <c r="E29" s="266">
        <v>1</v>
      </c>
      <c r="F29" s="245">
        <v>3435000</v>
      </c>
      <c r="G29" s="39">
        <f t="shared" si="1"/>
        <v>1.4363414053195711</v>
      </c>
    </row>
    <row r="30" spans="1:7" ht="14.4" customHeight="1">
      <c r="A30" s="23">
        <v>27</v>
      </c>
      <c r="B30" s="25">
        <v>46230</v>
      </c>
      <c r="C30" s="234"/>
      <c r="D30" s="304">
        <f>'NT Thưởng CT'!AD8</f>
        <v>3783100.9090909087</v>
      </c>
      <c r="E30" s="264">
        <v>0</v>
      </c>
      <c r="F30" s="247">
        <v>0</v>
      </c>
      <c r="G30" s="34">
        <f t="shared" si="1"/>
        <v>0</v>
      </c>
    </row>
    <row r="31" spans="1:7" ht="14.4" customHeight="1">
      <c r="A31" s="35">
        <v>28</v>
      </c>
      <c r="B31" s="36">
        <v>46231</v>
      </c>
      <c r="C31" s="241"/>
      <c r="D31" s="305">
        <f>'NT Thưởng CT'!AE8</f>
        <v>0</v>
      </c>
      <c r="E31" s="266">
        <v>2</v>
      </c>
      <c r="F31" s="245">
        <v>6345000</v>
      </c>
      <c r="G31" s="39">
        <f t="shared" si="1"/>
        <v>0</v>
      </c>
    </row>
    <row r="32" spans="1:7" ht="14.4" customHeight="1">
      <c r="A32" s="23">
        <v>29</v>
      </c>
      <c r="B32" s="25">
        <v>46232</v>
      </c>
      <c r="C32" s="234"/>
      <c r="D32" s="304">
        <f>'NT Thưởng CT'!AF8</f>
        <v>0</v>
      </c>
      <c r="E32" s="264"/>
      <c r="F32" s="247"/>
      <c r="G32" s="34">
        <f t="shared" si="1"/>
        <v>0</v>
      </c>
    </row>
    <row r="33" spans="1:7" ht="14.4" customHeight="1">
      <c r="A33" s="35">
        <v>30</v>
      </c>
      <c r="B33" s="36">
        <v>46233</v>
      </c>
      <c r="C33" s="241"/>
      <c r="D33" s="305">
        <f>'NT Thưởng CT'!AG8</f>
        <v>0</v>
      </c>
      <c r="E33" s="266">
        <v>1</v>
      </c>
      <c r="F33" s="245">
        <v>3560000</v>
      </c>
      <c r="G33" s="39">
        <f t="shared" si="1"/>
        <v>0</v>
      </c>
    </row>
    <row r="34" spans="1:7" ht="14.4" customHeight="1">
      <c r="A34" s="23">
        <v>31</v>
      </c>
      <c r="B34" s="25">
        <v>46234</v>
      </c>
      <c r="C34" s="234"/>
      <c r="D34" s="304">
        <f>'NT Thưởng CT'!AH8</f>
        <v>6907601.8181818174</v>
      </c>
      <c r="E34" s="264">
        <v>1</v>
      </c>
      <c r="F34" s="247">
        <v>3305000</v>
      </c>
      <c r="G34" s="34">
        <f t="shared" si="1"/>
        <v>2.0900459359097785</v>
      </c>
    </row>
    <row r="35" spans="1:7" ht="14.4" customHeight="1">
      <c r="A35" s="259"/>
      <c r="B35" s="36"/>
      <c r="C35" s="72"/>
      <c r="D35" s="241"/>
      <c r="E35" s="259"/>
      <c r="F35" s="245"/>
      <c r="G35" s="201"/>
    </row>
    <row r="36" spans="1:7" ht="13.2" customHeight="1">
      <c r="B36" s="73"/>
    </row>
    <row r="37" spans="1:7" ht="13.2" customHeight="1">
      <c r="B37" s="73"/>
    </row>
    <row r="38" spans="1:7" ht="13.2" customHeight="1">
      <c r="B38" s="73"/>
    </row>
    <row r="39" spans="1:7" ht="13.2" customHeight="1">
      <c r="B39" s="73"/>
    </row>
    <row r="40" spans="1:7" ht="13.2" customHeight="1">
      <c r="B40" s="73"/>
    </row>
    <row r="41" spans="1:7" ht="13.2" customHeight="1">
      <c r="B41" s="73"/>
    </row>
    <row r="42" spans="1:7" ht="13.2" customHeight="1">
      <c r="B42" s="73"/>
    </row>
    <row r="43" spans="1:7" ht="13.2" customHeight="1">
      <c r="B43" s="73"/>
    </row>
    <row r="44" spans="1:7" ht="13.2" customHeight="1">
      <c r="B44" s="73"/>
    </row>
    <row r="45" spans="1:7" ht="13.2" customHeight="1">
      <c r="B45" s="73"/>
    </row>
    <row r="46" spans="1:7" ht="13.2" customHeight="1">
      <c r="B46" s="73"/>
    </row>
    <row r="47" spans="1:7" ht="13.2" customHeight="1">
      <c r="B47" s="73"/>
    </row>
    <row r="48" spans="1:7" ht="13.2" customHeight="1">
      <c r="B48" s="73"/>
    </row>
    <row r="49" spans="2:2" ht="13.2" customHeight="1">
      <c r="B49" s="73"/>
    </row>
    <row r="50" spans="2:2" ht="13.2" customHeight="1">
      <c r="B50" s="73"/>
    </row>
    <row r="51" spans="2:2" ht="13.2" customHeight="1">
      <c r="B51" s="73"/>
    </row>
    <row r="52" spans="2:2" ht="13.2" customHeight="1">
      <c r="B52" s="73"/>
    </row>
    <row r="53" spans="2:2" ht="13.2" customHeight="1">
      <c r="B53" s="73"/>
    </row>
    <row r="54" spans="2:2" ht="13.2" customHeight="1">
      <c r="B54" s="73"/>
    </row>
    <row r="55" spans="2:2" ht="13.2" customHeight="1">
      <c r="B55" s="73"/>
    </row>
    <row r="56" spans="2:2" ht="13.2" customHeight="1">
      <c r="B56" s="73"/>
    </row>
    <row r="57" spans="2:2" ht="13.2" customHeight="1">
      <c r="B57" s="73"/>
    </row>
    <row r="58" spans="2:2" ht="13.2" customHeight="1">
      <c r="B58" s="73"/>
    </row>
    <row r="59" spans="2:2" ht="13.2" customHeight="1">
      <c r="B59" s="73"/>
    </row>
    <row r="60" spans="2:2" ht="13.2" customHeight="1">
      <c r="B60" s="73"/>
    </row>
    <row r="61" spans="2:2" ht="13.2" customHeight="1">
      <c r="B61" s="73"/>
    </row>
    <row r="62" spans="2:2" ht="13.2" customHeight="1">
      <c r="B62" s="73"/>
    </row>
    <row r="63" spans="2:2" ht="13.2" customHeight="1">
      <c r="B63" s="73"/>
    </row>
    <row r="64" spans="2:2" ht="13.2" customHeight="1">
      <c r="B64" s="73"/>
    </row>
    <row r="65" spans="2:2" ht="13.2" customHeight="1">
      <c r="B65" s="73"/>
    </row>
    <row r="66" spans="2:2" ht="13.2" customHeight="1">
      <c r="B66" s="73"/>
    </row>
    <row r="67" spans="2:2" ht="13.2" customHeight="1">
      <c r="B67" s="73"/>
    </row>
    <row r="68" spans="2:2" ht="13.2" customHeight="1">
      <c r="B68" s="73"/>
    </row>
    <row r="69" spans="2:2" ht="13.2" customHeight="1">
      <c r="B69" s="73"/>
    </row>
    <row r="70" spans="2:2" ht="13.2" customHeight="1">
      <c r="B70" s="73"/>
    </row>
    <row r="71" spans="2:2" ht="13.2" customHeight="1">
      <c r="B71" s="73"/>
    </row>
    <row r="72" spans="2:2" ht="13.2" customHeight="1">
      <c r="B72" s="73"/>
    </row>
    <row r="73" spans="2:2" ht="13.2" customHeight="1">
      <c r="B73" s="73"/>
    </row>
    <row r="74" spans="2:2" ht="13.2" customHeight="1">
      <c r="B74" s="73"/>
    </row>
    <row r="75" spans="2:2" ht="13.2" customHeight="1">
      <c r="B75" s="73"/>
    </row>
    <row r="76" spans="2:2" ht="13.2" customHeight="1">
      <c r="B76" s="73"/>
    </row>
    <row r="77" spans="2:2" ht="13.2" customHeight="1">
      <c r="B77" s="73"/>
    </row>
    <row r="78" spans="2:2" ht="13.2" customHeight="1">
      <c r="B78" s="73"/>
    </row>
    <row r="79" spans="2:2" ht="13.2" customHeight="1">
      <c r="B79" s="73"/>
    </row>
    <row r="80" spans="2:2" ht="13.2" customHeight="1">
      <c r="B80" s="73"/>
    </row>
    <row r="81" spans="2:2" ht="13.2" customHeight="1">
      <c r="B81" s="73"/>
    </row>
    <row r="82" spans="2:2" ht="13.2" customHeight="1">
      <c r="B82" s="73"/>
    </row>
    <row r="83" spans="2:2" ht="13.2" customHeight="1">
      <c r="B83" s="73"/>
    </row>
    <row r="84" spans="2:2" ht="13.2" customHeight="1">
      <c r="B84" s="73"/>
    </row>
    <row r="85" spans="2:2" ht="13.2" customHeight="1">
      <c r="B85" s="73"/>
    </row>
    <row r="86" spans="2:2" ht="13.2" customHeight="1">
      <c r="B86" s="73"/>
    </row>
    <row r="87" spans="2:2" ht="13.2" customHeight="1">
      <c r="B87" s="73"/>
    </row>
    <row r="88" spans="2:2" ht="13.2" customHeight="1">
      <c r="B88" s="73"/>
    </row>
    <row r="89" spans="2:2" ht="13.2" customHeight="1">
      <c r="B89" s="73"/>
    </row>
    <row r="90" spans="2:2" ht="13.2" customHeight="1">
      <c r="B90" s="73"/>
    </row>
    <row r="91" spans="2:2" ht="13.2" customHeight="1">
      <c r="B91" s="73"/>
    </row>
    <row r="92" spans="2:2" ht="13.2" customHeight="1">
      <c r="B92" s="73"/>
    </row>
    <row r="93" spans="2:2" ht="13.2" customHeight="1">
      <c r="B93" s="73"/>
    </row>
    <row r="94" spans="2:2" ht="13.2" customHeight="1">
      <c r="B94" s="73"/>
    </row>
    <row r="95" spans="2:2" ht="13.2" customHeight="1">
      <c r="B95" s="73"/>
    </row>
    <row r="96" spans="2:2" ht="13.2" customHeight="1">
      <c r="B96" s="73"/>
    </row>
    <row r="97" spans="2:2" ht="13.2" customHeight="1">
      <c r="B97" s="73"/>
    </row>
    <row r="98" spans="2:2" ht="13.2" customHeight="1">
      <c r="B98" s="73"/>
    </row>
    <row r="99" spans="2:2" ht="13.2" customHeight="1">
      <c r="B99" s="73"/>
    </row>
    <row r="100" spans="2:2" ht="13.2" customHeight="1">
      <c r="B100" s="73"/>
    </row>
    <row r="101" spans="2:2" ht="13.2" customHeight="1">
      <c r="B101" s="73"/>
    </row>
    <row r="102" spans="2:2" ht="13.2" customHeight="1">
      <c r="B102" s="73"/>
    </row>
    <row r="103" spans="2:2" ht="13.2" customHeight="1">
      <c r="B103" s="73"/>
    </row>
    <row r="104" spans="2:2" ht="13.2" customHeight="1">
      <c r="B104" s="73"/>
    </row>
    <row r="105" spans="2:2" ht="13.2" customHeight="1">
      <c r="B105" s="73"/>
    </row>
    <row r="106" spans="2:2" ht="13.2" customHeight="1">
      <c r="B106" s="73"/>
    </row>
    <row r="107" spans="2:2" ht="13.2" customHeight="1">
      <c r="B107" s="73"/>
    </row>
    <row r="108" spans="2:2" ht="13.2" customHeight="1">
      <c r="B108" s="73"/>
    </row>
    <row r="109" spans="2:2" ht="13.2" customHeight="1">
      <c r="B109" s="73"/>
    </row>
    <row r="110" spans="2:2" ht="13.2" customHeight="1">
      <c r="B110" s="73"/>
    </row>
    <row r="111" spans="2:2" ht="13.2" customHeight="1">
      <c r="B111" s="73"/>
    </row>
    <row r="112" spans="2:2" ht="13.2" customHeight="1">
      <c r="B112" s="73"/>
    </row>
    <row r="113" spans="2:2" ht="13.2" customHeight="1">
      <c r="B113" s="73"/>
    </row>
    <row r="114" spans="2:2" ht="13.2" customHeight="1">
      <c r="B114" s="73"/>
    </row>
    <row r="115" spans="2:2" ht="13.2" customHeight="1">
      <c r="B115" s="73"/>
    </row>
    <row r="116" spans="2:2" ht="13.2" customHeight="1">
      <c r="B116" s="73"/>
    </row>
    <row r="117" spans="2:2" ht="13.2" customHeight="1">
      <c r="B117" s="73"/>
    </row>
    <row r="118" spans="2:2" ht="13.2" customHeight="1">
      <c r="B118" s="73"/>
    </row>
    <row r="119" spans="2:2" ht="13.2" customHeight="1">
      <c r="B119" s="73"/>
    </row>
    <row r="120" spans="2:2" ht="13.2" customHeight="1">
      <c r="B120" s="73"/>
    </row>
    <row r="121" spans="2:2" ht="13.2" customHeight="1">
      <c r="B121" s="73"/>
    </row>
    <row r="122" spans="2:2" ht="13.2" customHeight="1">
      <c r="B122" s="73"/>
    </row>
    <row r="123" spans="2:2" ht="13.2" customHeight="1">
      <c r="B123" s="73"/>
    </row>
    <row r="124" spans="2:2" ht="13.2" customHeight="1">
      <c r="B124" s="73"/>
    </row>
    <row r="125" spans="2:2" ht="13.2" customHeight="1">
      <c r="B125" s="73"/>
    </row>
    <row r="126" spans="2:2" ht="13.2" customHeight="1">
      <c r="B126" s="73"/>
    </row>
    <row r="127" spans="2:2" ht="13.2" customHeight="1">
      <c r="B127" s="73"/>
    </row>
    <row r="128" spans="2:2" ht="13.2" customHeight="1">
      <c r="B128" s="73"/>
    </row>
    <row r="129" spans="2:2" ht="13.2" customHeight="1">
      <c r="B129" s="73"/>
    </row>
    <row r="130" spans="2:2" ht="13.2" customHeight="1">
      <c r="B130" s="73"/>
    </row>
    <row r="131" spans="2:2" ht="13.2" customHeight="1">
      <c r="B131" s="73"/>
    </row>
    <row r="132" spans="2:2" ht="13.2" customHeight="1">
      <c r="B132" s="73"/>
    </row>
    <row r="133" spans="2:2" ht="13.2" customHeight="1">
      <c r="B133" s="73"/>
    </row>
    <row r="134" spans="2:2" ht="13.2" customHeight="1">
      <c r="B134" s="73"/>
    </row>
    <row r="135" spans="2:2" ht="13.2" customHeight="1">
      <c r="B135" s="73"/>
    </row>
    <row r="136" spans="2:2" ht="13.2" customHeight="1">
      <c r="B136" s="73"/>
    </row>
    <row r="137" spans="2:2" ht="13.2" customHeight="1">
      <c r="B137" s="73"/>
    </row>
    <row r="138" spans="2:2" ht="13.2" customHeight="1">
      <c r="B138" s="73"/>
    </row>
    <row r="139" spans="2:2" ht="13.2" customHeight="1">
      <c r="B139" s="73"/>
    </row>
    <row r="140" spans="2:2" ht="13.2" customHeight="1">
      <c r="B140" s="73"/>
    </row>
    <row r="141" spans="2:2" ht="13.2" customHeight="1">
      <c r="B141" s="73"/>
    </row>
    <row r="142" spans="2:2" ht="13.2" customHeight="1">
      <c r="B142" s="73"/>
    </row>
    <row r="143" spans="2:2" ht="13.2" customHeight="1">
      <c r="B143" s="73"/>
    </row>
    <row r="144" spans="2:2" ht="13.2" customHeight="1">
      <c r="B144" s="73"/>
    </row>
    <row r="145" spans="2:2" ht="13.2" customHeight="1">
      <c r="B145" s="73"/>
    </row>
    <row r="146" spans="2:2" ht="13.2" customHeight="1">
      <c r="B146" s="73"/>
    </row>
    <row r="147" spans="2:2" ht="13.2" customHeight="1">
      <c r="B147" s="73"/>
    </row>
    <row r="148" spans="2:2" ht="13.2" customHeight="1">
      <c r="B148" s="73"/>
    </row>
    <row r="149" spans="2:2" ht="13.2" customHeight="1">
      <c r="B149" s="73"/>
    </row>
    <row r="150" spans="2:2" ht="13.2" customHeight="1">
      <c r="B150" s="73"/>
    </row>
    <row r="151" spans="2:2" ht="13.2" customHeight="1">
      <c r="B151" s="73"/>
    </row>
    <row r="152" spans="2:2" ht="13.2" customHeight="1">
      <c r="B152" s="73"/>
    </row>
    <row r="153" spans="2:2" ht="13.2" customHeight="1">
      <c r="B153" s="73"/>
    </row>
    <row r="154" spans="2:2" ht="13.2" customHeight="1">
      <c r="B154" s="73"/>
    </row>
    <row r="155" spans="2:2" ht="13.2" customHeight="1">
      <c r="B155" s="73"/>
    </row>
    <row r="156" spans="2:2" ht="13.2" customHeight="1">
      <c r="B156" s="73"/>
    </row>
    <row r="157" spans="2:2" ht="13.2" customHeight="1">
      <c r="B157" s="73"/>
    </row>
    <row r="158" spans="2:2" ht="13.2" customHeight="1">
      <c r="B158" s="73"/>
    </row>
    <row r="159" spans="2:2" ht="13.2" customHeight="1">
      <c r="B159" s="73"/>
    </row>
    <row r="160" spans="2:2" ht="13.2" customHeight="1">
      <c r="B160" s="73"/>
    </row>
    <row r="161" spans="2:2" ht="13.2" customHeight="1">
      <c r="B161" s="73"/>
    </row>
    <row r="162" spans="2:2" ht="13.2" customHeight="1">
      <c r="B162" s="73"/>
    </row>
    <row r="163" spans="2:2" ht="13.2" customHeight="1">
      <c r="B163" s="73"/>
    </row>
    <row r="164" spans="2:2" ht="13.2" customHeight="1">
      <c r="B164" s="73"/>
    </row>
    <row r="165" spans="2:2" ht="13.2" customHeight="1">
      <c r="B165" s="73"/>
    </row>
    <row r="166" spans="2:2" ht="13.2" customHeight="1">
      <c r="B166" s="73"/>
    </row>
    <row r="167" spans="2:2" ht="13.2" customHeight="1">
      <c r="B167" s="73"/>
    </row>
    <row r="168" spans="2:2" ht="13.2" customHeight="1">
      <c r="B168" s="73"/>
    </row>
    <row r="169" spans="2:2" ht="13.2" customHeight="1">
      <c r="B169" s="73"/>
    </row>
    <row r="170" spans="2:2" ht="13.2" customHeight="1">
      <c r="B170" s="73"/>
    </row>
    <row r="171" spans="2:2" ht="13.2" customHeight="1">
      <c r="B171" s="73"/>
    </row>
    <row r="172" spans="2:2" ht="13.2" customHeight="1">
      <c r="B172" s="73"/>
    </row>
    <row r="173" spans="2:2" ht="13.2" customHeight="1">
      <c r="B173" s="73"/>
    </row>
    <row r="174" spans="2:2" ht="13.2" customHeight="1">
      <c r="B174" s="73"/>
    </row>
    <row r="175" spans="2:2" ht="13.2" customHeight="1">
      <c r="B175" s="73"/>
    </row>
    <row r="176" spans="2:2" ht="13.2" customHeight="1">
      <c r="B176" s="73"/>
    </row>
    <row r="177" spans="2:2" ht="13.2" customHeight="1">
      <c r="B177" s="73"/>
    </row>
    <row r="178" spans="2:2" ht="13.2" customHeight="1">
      <c r="B178" s="73"/>
    </row>
    <row r="179" spans="2:2" ht="13.2" customHeight="1">
      <c r="B179" s="73"/>
    </row>
    <row r="180" spans="2:2" ht="13.2" customHeight="1">
      <c r="B180" s="73"/>
    </row>
    <row r="181" spans="2:2" ht="13.2" customHeight="1">
      <c r="B181" s="73"/>
    </row>
    <row r="182" spans="2:2" ht="13.2" customHeight="1">
      <c r="B182" s="73"/>
    </row>
    <row r="183" spans="2:2" ht="13.2" customHeight="1">
      <c r="B183" s="73"/>
    </row>
    <row r="184" spans="2:2" ht="13.2" customHeight="1">
      <c r="B184" s="73"/>
    </row>
    <row r="185" spans="2:2" ht="13.2" customHeight="1">
      <c r="B185" s="73"/>
    </row>
    <row r="186" spans="2:2" ht="13.2" customHeight="1">
      <c r="B186" s="73"/>
    </row>
    <row r="187" spans="2:2" ht="13.2" customHeight="1">
      <c r="B187" s="73"/>
    </row>
    <row r="188" spans="2:2" ht="13.2" customHeight="1">
      <c r="B188" s="73"/>
    </row>
    <row r="189" spans="2:2" ht="13.2" customHeight="1">
      <c r="B189" s="73"/>
    </row>
    <row r="190" spans="2:2" ht="13.2" customHeight="1">
      <c r="B190" s="73"/>
    </row>
    <row r="191" spans="2:2" ht="13.2" customHeight="1">
      <c r="B191" s="73"/>
    </row>
    <row r="192" spans="2:2" ht="13.2" customHeight="1">
      <c r="B192" s="73"/>
    </row>
    <row r="193" spans="2:2" ht="13.2" customHeight="1">
      <c r="B193" s="73"/>
    </row>
    <row r="194" spans="2:2" ht="13.2" customHeight="1">
      <c r="B194" s="73"/>
    </row>
    <row r="195" spans="2:2" ht="13.2" customHeight="1">
      <c r="B195" s="73"/>
    </row>
    <row r="196" spans="2:2" ht="13.2" customHeight="1">
      <c r="B196" s="73"/>
    </row>
    <row r="197" spans="2:2" ht="13.2" customHeight="1">
      <c r="B197" s="73"/>
    </row>
    <row r="198" spans="2:2" ht="13.2" customHeight="1">
      <c r="B198" s="73"/>
    </row>
    <row r="199" spans="2:2" ht="13.2" customHeight="1">
      <c r="B199" s="73"/>
    </row>
    <row r="200" spans="2:2" ht="13.2" customHeight="1">
      <c r="B200" s="73"/>
    </row>
    <row r="201" spans="2:2" ht="13.2" customHeight="1">
      <c r="B201" s="73"/>
    </row>
    <row r="202" spans="2:2" ht="13.2" customHeight="1">
      <c r="B202" s="73"/>
    </row>
    <row r="203" spans="2:2" ht="13.2" customHeight="1">
      <c r="B203" s="73"/>
    </row>
    <row r="204" spans="2:2" ht="13.2" customHeight="1">
      <c r="B204" s="73"/>
    </row>
    <row r="205" spans="2:2" ht="13.2" customHeight="1">
      <c r="B205" s="73"/>
    </row>
    <row r="206" spans="2:2" ht="13.2" customHeight="1">
      <c r="B206" s="73"/>
    </row>
    <row r="207" spans="2:2" ht="13.2" customHeight="1">
      <c r="B207" s="73"/>
    </row>
    <row r="208" spans="2:2" ht="13.2" customHeight="1">
      <c r="B208" s="73"/>
    </row>
    <row r="209" spans="2:2" ht="13.2" customHeight="1">
      <c r="B209" s="73"/>
    </row>
    <row r="210" spans="2:2" ht="13.2" customHeight="1">
      <c r="B210" s="73"/>
    </row>
    <row r="211" spans="2:2" ht="13.2" customHeight="1">
      <c r="B211" s="73"/>
    </row>
    <row r="212" spans="2:2" ht="13.2" customHeight="1">
      <c r="B212" s="73"/>
    </row>
    <row r="213" spans="2:2" ht="13.2" customHeight="1">
      <c r="B213" s="73"/>
    </row>
    <row r="214" spans="2:2" ht="13.2" customHeight="1">
      <c r="B214" s="73"/>
    </row>
    <row r="215" spans="2:2" ht="13.2" customHeight="1">
      <c r="B215" s="73"/>
    </row>
    <row r="216" spans="2:2" ht="13.2" customHeight="1">
      <c r="B216" s="73"/>
    </row>
    <row r="217" spans="2:2" ht="13.2" customHeight="1">
      <c r="B217" s="73"/>
    </row>
    <row r="218" spans="2:2" ht="13.2" customHeight="1">
      <c r="B218" s="73"/>
    </row>
    <row r="219" spans="2:2" ht="13.2" customHeight="1">
      <c r="B219" s="73"/>
    </row>
    <row r="220" spans="2:2" ht="13.2" customHeight="1">
      <c r="B220" s="73"/>
    </row>
    <row r="221" spans="2:2" ht="13.2" customHeight="1">
      <c r="B221" s="73"/>
    </row>
    <row r="222" spans="2:2" ht="13.2" customHeight="1">
      <c r="B222" s="73"/>
    </row>
    <row r="223" spans="2:2" ht="13.2" customHeight="1">
      <c r="B223" s="73"/>
    </row>
    <row r="224" spans="2:2" ht="13.2" customHeight="1">
      <c r="B224" s="73"/>
    </row>
    <row r="225" spans="2:2" ht="13.2" customHeight="1">
      <c r="B225" s="73"/>
    </row>
    <row r="226" spans="2:2" ht="13.2" customHeight="1">
      <c r="B226" s="73"/>
    </row>
    <row r="227" spans="2:2" ht="13.2" customHeight="1">
      <c r="B227" s="73"/>
    </row>
    <row r="228" spans="2:2" ht="13.2" customHeight="1">
      <c r="B228" s="73"/>
    </row>
    <row r="229" spans="2:2" ht="13.2" customHeight="1">
      <c r="B229" s="73"/>
    </row>
    <row r="230" spans="2:2" ht="13.2" customHeight="1">
      <c r="B230" s="73"/>
    </row>
    <row r="231" spans="2:2" ht="13.2" customHeight="1">
      <c r="B231" s="73"/>
    </row>
    <row r="232" spans="2:2" ht="13.2" customHeight="1">
      <c r="B232" s="73"/>
    </row>
    <row r="233" spans="2:2" ht="13.2" customHeight="1">
      <c r="B233" s="73"/>
    </row>
    <row r="234" spans="2:2" ht="13.2" customHeight="1">
      <c r="B234" s="73"/>
    </row>
    <row r="235" spans="2:2" ht="13.2" customHeight="1">
      <c r="B235" s="73"/>
    </row>
    <row r="236" spans="2:2" ht="13.2" customHeight="1">
      <c r="B236" s="73"/>
    </row>
    <row r="237" spans="2:2" ht="13.2" customHeight="1">
      <c r="B237" s="73"/>
    </row>
    <row r="238" spans="2:2" ht="13.2" customHeight="1">
      <c r="B238" s="73"/>
    </row>
    <row r="239" spans="2:2" ht="13.2" customHeight="1">
      <c r="B239" s="73"/>
    </row>
    <row r="240" spans="2:2" ht="13.2" customHeight="1">
      <c r="B240" s="73"/>
    </row>
    <row r="241" spans="2:2" ht="13.2" customHeight="1">
      <c r="B241" s="73"/>
    </row>
    <row r="242" spans="2:2" ht="13.2" customHeight="1">
      <c r="B242" s="73"/>
    </row>
    <row r="243" spans="2:2" ht="13.2" customHeight="1">
      <c r="B243" s="73"/>
    </row>
    <row r="244" spans="2:2" ht="13.2" customHeight="1">
      <c r="B244" s="73"/>
    </row>
    <row r="245" spans="2:2" ht="13.2" customHeight="1">
      <c r="B245" s="73"/>
    </row>
    <row r="246" spans="2:2" ht="13.2" customHeight="1">
      <c r="B246" s="73"/>
    </row>
    <row r="247" spans="2:2" ht="13.2" customHeight="1">
      <c r="B247" s="73"/>
    </row>
    <row r="248" spans="2:2" ht="13.2" customHeight="1">
      <c r="B248" s="73"/>
    </row>
    <row r="249" spans="2:2" ht="13.2" customHeight="1">
      <c r="B249" s="73"/>
    </row>
    <row r="250" spans="2:2" ht="13.2" customHeight="1">
      <c r="B250" s="73"/>
    </row>
    <row r="251" spans="2:2" ht="13.2" customHeight="1">
      <c r="B251" s="73"/>
    </row>
    <row r="252" spans="2:2" ht="13.2" customHeight="1">
      <c r="B252" s="73"/>
    </row>
    <row r="253" spans="2:2" ht="13.2" customHeight="1">
      <c r="B253" s="73"/>
    </row>
    <row r="254" spans="2:2" ht="13.2" customHeight="1">
      <c r="B254" s="73"/>
    </row>
    <row r="255" spans="2:2" ht="13.2" customHeight="1">
      <c r="B255" s="73"/>
    </row>
    <row r="256" spans="2:2" ht="13.2" customHeight="1">
      <c r="B256" s="73"/>
    </row>
    <row r="257" spans="2:2" ht="13.2" customHeight="1">
      <c r="B257" s="73"/>
    </row>
    <row r="258" spans="2:2" ht="13.2" customHeight="1">
      <c r="B258" s="73"/>
    </row>
    <row r="259" spans="2:2" ht="13.2" customHeight="1">
      <c r="B259" s="73"/>
    </row>
    <row r="260" spans="2:2" ht="13.2" customHeight="1">
      <c r="B260" s="73"/>
    </row>
    <row r="261" spans="2:2" ht="13.2" customHeight="1">
      <c r="B261" s="73"/>
    </row>
    <row r="262" spans="2:2" ht="13.2" customHeight="1">
      <c r="B262" s="73"/>
    </row>
    <row r="263" spans="2:2" ht="13.2" customHeight="1">
      <c r="B263" s="73"/>
    </row>
    <row r="264" spans="2:2" ht="13.2" customHeight="1">
      <c r="B264" s="73"/>
    </row>
    <row r="265" spans="2:2" ht="13.2" customHeight="1">
      <c r="B265" s="73"/>
    </row>
    <row r="266" spans="2:2" ht="13.2" customHeight="1">
      <c r="B266" s="73"/>
    </row>
    <row r="267" spans="2:2" ht="13.2" customHeight="1">
      <c r="B267" s="73"/>
    </row>
    <row r="268" spans="2:2" ht="13.2" customHeight="1">
      <c r="B268" s="73"/>
    </row>
    <row r="269" spans="2:2" ht="13.2" customHeight="1">
      <c r="B269" s="73"/>
    </row>
    <row r="270" spans="2:2" ht="13.2" customHeight="1">
      <c r="B270" s="73"/>
    </row>
    <row r="271" spans="2:2" ht="13.2" customHeight="1">
      <c r="B271" s="73"/>
    </row>
    <row r="272" spans="2:2" ht="13.2" customHeight="1">
      <c r="B272" s="73"/>
    </row>
    <row r="273" spans="2:2" ht="13.2" customHeight="1">
      <c r="B273" s="73"/>
    </row>
    <row r="274" spans="2:2" ht="13.2" customHeight="1">
      <c r="B274" s="73"/>
    </row>
    <row r="275" spans="2:2" ht="13.2" customHeight="1">
      <c r="B275" s="73"/>
    </row>
    <row r="276" spans="2:2" ht="13.2" customHeight="1">
      <c r="B276" s="73"/>
    </row>
    <row r="277" spans="2:2" ht="13.2" customHeight="1">
      <c r="B277" s="73"/>
    </row>
    <row r="278" spans="2:2" ht="13.2" customHeight="1">
      <c r="B278" s="73"/>
    </row>
    <row r="279" spans="2:2" ht="13.2" customHeight="1">
      <c r="B279" s="73"/>
    </row>
    <row r="280" spans="2:2" ht="13.2" customHeight="1">
      <c r="B280" s="73"/>
    </row>
    <row r="281" spans="2:2" ht="13.2" customHeight="1">
      <c r="B281" s="73"/>
    </row>
    <row r="282" spans="2:2" ht="13.2" customHeight="1">
      <c r="B282" s="73"/>
    </row>
    <row r="283" spans="2:2" ht="13.2" customHeight="1">
      <c r="B283" s="73"/>
    </row>
    <row r="284" spans="2:2" ht="13.2" customHeight="1">
      <c r="B284" s="73"/>
    </row>
    <row r="285" spans="2:2" ht="13.2" customHeight="1">
      <c r="B285" s="73"/>
    </row>
    <row r="286" spans="2:2" ht="13.2" customHeight="1">
      <c r="B286" s="73"/>
    </row>
    <row r="287" spans="2:2" ht="13.2" customHeight="1">
      <c r="B287" s="73"/>
    </row>
    <row r="288" spans="2:2" ht="13.2" customHeight="1">
      <c r="B288" s="73"/>
    </row>
    <row r="289" spans="2:2" ht="13.2" customHeight="1">
      <c r="B289" s="73"/>
    </row>
    <row r="290" spans="2:2" ht="13.2" customHeight="1">
      <c r="B290" s="73"/>
    </row>
    <row r="291" spans="2:2" ht="13.2" customHeight="1">
      <c r="B291" s="73"/>
    </row>
    <row r="292" spans="2:2" ht="13.2" customHeight="1">
      <c r="B292" s="73"/>
    </row>
    <row r="293" spans="2:2" ht="13.2" customHeight="1">
      <c r="B293" s="73"/>
    </row>
    <row r="294" spans="2:2" ht="13.2" customHeight="1">
      <c r="B294" s="73"/>
    </row>
    <row r="295" spans="2:2" ht="13.2" customHeight="1">
      <c r="B295" s="73"/>
    </row>
    <row r="296" spans="2:2" ht="13.2" customHeight="1">
      <c r="B296" s="73"/>
    </row>
    <row r="297" spans="2:2" ht="13.2" customHeight="1">
      <c r="B297" s="73"/>
    </row>
    <row r="298" spans="2:2" ht="13.2" customHeight="1">
      <c r="B298" s="73"/>
    </row>
    <row r="299" spans="2:2" ht="13.2" customHeight="1">
      <c r="B299" s="73"/>
    </row>
    <row r="300" spans="2:2" ht="13.2" customHeight="1">
      <c r="B300" s="73"/>
    </row>
    <row r="301" spans="2:2" ht="13.2" customHeight="1">
      <c r="B301" s="73"/>
    </row>
    <row r="302" spans="2:2" ht="13.2" customHeight="1">
      <c r="B302" s="73"/>
    </row>
    <row r="303" spans="2:2" ht="13.2" customHeight="1">
      <c r="B303" s="73"/>
    </row>
    <row r="304" spans="2:2" ht="13.2" customHeight="1">
      <c r="B304" s="73"/>
    </row>
    <row r="305" spans="2:2" ht="13.2" customHeight="1">
      <c r="B305" s="73"/>
    </row>
    <row r="306" spans="2:2" ht="13.2" customHeight="1">
      <c r="B306" s="73"/>
    </row>
    <row r="307" spans="2:2" ht="13.2" customHeight="1">
      <c r="B307" s="73"/>
    </row>
    <row r="308" spans="2:2" ht="13.2" customHeight="1">
      <c r="B308" s="73"/>
    </row>
    <row r="309" spans="2:2" ht="13.2" customHeight="1">
      <c r="B309" s="73"/>
    </row>
    <row r="310" spans="2:2" ht="13.2" customHeight="1">
      <c r="B310" s="73"/>
    </row>
    <row r="311" spans="2:2" ht="13.2" customHeight="1">
      <c r="B311" s="73"/>
    </row>
    <row r="312" spans="2:2" ht="13.2" customHeight="1">
      <c r="B312" s="73"/>
    </row>
    <row r="313" spans="2:2" ht="13.2" customHeight="1">
      <c r="B313" s="73"/>
    </row>
    <row r="314" spans="2:2" ht="13.2" customHeight="1">
      <c r="B314" s="73"/>
    </row>
    <row r="315" spans="2:2" ht="13.2" customHeight="1">
      <c r="B315" s="73"/>
    </row>
    <row r="316" spans="2:2" ht="13.2" customHeight="1">
      <c r="B316" s="73"/>
    </row>
    <row r="317" spans="2:2" ht="13.2" customHeight="1">
      <c r="B317" s="73"/>
    </row>
    <row r="318" spans="2:2" ht="13.2" customHeight="1">
      <c r="B318" s="73"/>
    </row>
    <row r="319" spans="2:2" ht="13.2" customHeight="1">
      <c r="B319" s="73"/>
    </row>
    <row r="320" spans="2:2" ht="13.2" customHeight="1">
      <c r="B320" s="73"/>
    </row>
    <row r="321" spans="2:2" ht="13.2" customHeight="1">
      <c r="B321" s="73"/>
    </row>
    <row r="322" spans="2:2" ht="13.2" customHeight="1">
      <c r="B322" s="73"/>
    </row>
    <row r="323" spans="2:2" ht="13.2" customHeight="1">
      <c r="B323" s="73"/>
    </row>
    <row r="324" spans="2:2" ht="13.2" customHeight="1">
      <c r="B324" s="73"/>
    </row>
    <row r="325" spans="2:2" ht="13.2" customHeight="1">
      <c r="B325" s="73"/>
    </row>
    <row r="326" spans="2:2" ht="13.2" customHeight="1">
      <c r="B326" s="73"/>
    </row>
    <row r="327" spans="2:2" ht="13.2" customHeight="1">
      <c r="B327" s="73"/>
    </row>
    <row r="328" spans="2:2" ht="13.2" customHeight="1">
      <c r="B328" s="73"/>
    </row>
    <row r="329" spans="2:2" ht="13.2" customHeight="1">
      <c r="B329" s="73"/>
    </row>
    <row r="330" spans="2:2" ht="13.2" customHeight="1">
      <c r="B330" s="73"/>
    </row>
    <row r="331" spans="2:2" ht="13.2" customHeight="1">
      <c r="B331" s="73"/>
    </row>
    <row r="332" spans="2:2" ht="13.2" customHeight="1">
      <c r="B332" s="73"/>
    </row>
    <row r="333" spans="2:2" ht="13.2" customHeight="1">
      <c r="B333" s="73"/>
    </row>
    <row r="334" spans="2:2" ht="13.2" customHeight="1">
      <c r="B334" s="73"/>
    </row>
    <row r="335" spans="2:2" ht="13.2" customHeight="1">
      <c r="B335" s="73"/>
    </row>
    <row r="336" spans="2:2" ht="13.2" customHeight="1">
      <c r="B336" s="73"/>
    </row>
    <row r="337" spans="2:2" ht="13.2" customHeight="1">
      <c r="B337" s="73"/>
    </row>
    <row r="338" spans="2:2" ht="13.2" customHeight="1">
      <c r="B338" s="73"/>
    </row>
    <row r="339" spans="2:2" ht="13.2" customHeight="1">
      <c r="B339" s="73"/>
    </row>
    <row r="340" spans="2:2" ht="13.2" customHeight="1">
      <c r="B340" s="73"/>
    </row>
    <row r="341" spans="2:2" ht="13.2" customHeight="1">
      <c r="B341" s="73"/>
    </row>
    <row r="342" spans="2:2" ht="13.2" customHeight="1">
      <c r="B342" s="73"/>
    </row>
    <row r="343" spans="2:2" ht="13.2" customHeight="1">
      <c r="B343" s="73"/>
    </row>
    <row r="344" spans="2:2" ht="13.2" customHeight="1">
      <c r="B344" s="73"/>
    </row>
    <row r="345" spans="2:2" ht="13.2" customHeight="1">
      <c r="B345" s="73"/>
    </row>
    <row r="346" spans="2:2" ht="13.2" customHeight="1">
      <c r="B346" s="73"/>
    </row>
    <row r="347" spans="2:2" ht="13.2" customHeight="1">
      <c r="B347" s="73"/>
    </row>
    <row r="348" spans="2:2" ht="13.2" customHeight="1">
      <c r="B348" s="73"/>
    </row>
    <row r="349" spans="2:2" ht="13.2" customHeight="1">
      <c r="B349" s="73"/>
    </row>
    <row r="350" spans="2:2" ht="13.2" customHeight="1">
      <c r="B350" s="73"/>
    </row>
    <row r="351" spans="2:2" ht="13.2" customHeight="1">
      <c r="B351" s="73"/>
    </row>
    <row r="352" spans="2:2" ht="13.2" customHeight="1">
      <c r="B352" s="73"/>
    </row>
    <row r="353" spans="2:2" ht="13.2" customHeight="1">
      <c r="B353" s="73"/>
    </row>
    <row r="354" spans="2:2" ht="13.2" customHeight="1">
      <c r="B354" s="73"/>
    </row>
    <row r="355" spans="2:2" ht="13.2" customHeight="1">
      <c r="B355" s="73"/>
    </row>
    <row r="356" spans="2:2" ht="13.2" customHeight="1">
      <c r="B356" s="73"/>
    </row>
    <row r="357" spans="2:2" ht="13.2" customHeight="1">
      <c r="B357" s="73"/>
    </row>
    <row r="358" spans="2:2" ht="13.2" customHeight="1">
      <c r="B358" s="73"/>
    </row>
    <row r="359" spans="2:2" ht="13.2" customHeight="1">
      <c r="B359" s="73"/>
    </row>
    <row r="360" spans="2:2" ht="13.2" customHeight="1">
      <c r="B360" s="73"/>
    </row>
    <row r="361" spans="2:2" ht="13.2" customHeight="1">
      <c r="B361" s="73"/>
    </row>
    <row r="362" spans="2:2" ht="13.2" customHeight="1">
      <c r="B362" s="73"/>
    </row>
    <row r="363" spans="2:2" ht="13.2" customHeight="1">
      <c r="B363" s="73"/>
    </row>
    <row r="364" spans="2:2" ht="13.2" customHeight="1">
      <c r="B364" s="73"/>
    </row>
    <row r="365" spans="2:2" ht="13.2" customHeight="1">
      <c r="B365" s="73"/>
    </row>
    <row r="366" spans="2:2" ht="13.2" customHeight="1">
      <c r="B366" s="73"/>
    </row>
    <row r="367" spans="2:2" ht="13.2" customHeight="1">
      <c r="B367" s="73"/>
    </row>
    <row r="368" spans="2:2" ht="13.2" customHeight="1">
      <c r="B368" s="73"/>
    </row>
    <row r="369" spans="2:2" ht="13.2" customHeight="1">
      <c r="B369" s="73"/>
    </row>
    <row r="370" spans="2:2" ht="13.2" customHeight="1">
      <c r="B370" s="73"/>
    </row>
    <row r="371" spans="2:2" ht="13.2" customHeight="1">
      <c r="B371" s="73"/>
    </row>
    <row r="372" spans="2:2" ht="13.2" customHeight="1">
      <c r="B372" s="73"/>
    </row>
    <row r="373" spans="2:2" ht="13.2" customHeight="1">
      <c r="B373" s="73"/>
    </row>
    <row r="374" spans="2:2" ht="13.2" customHeight="1">
      <c r="B374" s="73"/>
    </row>
    <row r="375" spans="2:2" ht="13.2" customHeight="1">
      <c r="B375" s="73"/>
    </row>
    <row r="376" spans="2:2" ht="13.2" customHeight="1">
      <c r="B376" s="73"/>
    </row>
    <row r="377" spans="2:2" ht="13.2" customHeight="1">
      <c r="B377" s="73"/>
    </row>
    <row r="378" spans="2:2" ht="13.2" customHeight="1">
      <c r="B378" s="73"/>
    </row>
    <row r="379" spans="2:2" ht="13.2" customHeight="1">
      <c r="B379" s="73"/>
    </row>
    <row r="380" spans="2:2" ht="13.2" customHeight="1">
      <c r="B380" s="73"/>
    </row>
    <row r="381" spans="2:2" ht="13.2" customHeight="1">
      <c r="B381" s="73"/>
    </row>
    <row r="382" spans="2:2" ht="13.2" customHeight="1">
      <c r="B382" s="73"/>
    </row>
    <row r="383" spans="2:2" ht="13.2" customHeight="1">
      <c r="B383" s="73"/>
    </row>
    <row r="384" spans="2:2" ht="13.2" customHeight="1">
      <c r="B384" s="73"/>
    </row>
    <row r="385" spans="2:2" ht="13.2" customHeight="1">
      <c r="B385" s="73"/>
    </row>
    <row r="386" spans="2:2" ht="13.2" customHeight="1">
      <c r="B386" s="73"/>
    </row>
    <row r="387" spans="2:2" ht="13.2" customHeight="1">
      <c r="B387" s="73"/>
    </row>
    <row r="388" spans="2:2" ht="13.2" customHeight="1">
      <c r="B388" s="73"/>
    </row>
    <row r="389" spans="2:2" ht="13.2" customHeight="1">
      <c r="B389" s="73"/>
    </row>
    <row r="390" spans="2:2" ht="13.2" customHeight="1">
      <c r="B390" s="73"/>
    </row>
    <row r="391" spans="2:2" ht="13.2" customHeight="1">
      <c r="B391" s="73"/>
    </row>
    <row r="392" spans="2:2" ht="13.2" customHeight="1">
      <c r="B392" s="73"/>
    </row>
    <row r="393" spans="2:2" ht="13.2" customHeight="1">
      <c r="B393" s="73"/>
    </row>
    <row r="394" spans="2:2" ht="13.2" customHeight="1">
      <c r="B394" s="73"/>
    </row>
    <row r="395" spans="2:2" ht="13.2" customHeight="1">
      <c r="B395" s="73"/>
    </row>
    <row r="396" spans="2:2" ht="13.2" customHeight="1">
      <c r="B396" s="73"/>
    </row>
    <row r="397" spans="2:2" ht="13.2" customHeight="1">
      <c r="B397" s="73"/>
    </row>
    <row r="398" spans="2:2" ht="13.2" customHeight="1">
      <c r="B398" s="73"/>
    </row>
    <row r="399" spans="2:2" ht="13.2" customHeight="1">
      <c r="B399" s="73"/>
    </row>
    <row r="400" spans="2:2" ht="13.2" customHeight="1">
      <c r="B400" s="73"/>
    </row>
    <row r="401" spans="2:2" ht="13.2" customHeight="1">
      <c r="B401" s="73"/>
    </row>
    <row r="402" spans="2:2" ht="13.2" customHeight="1">
      <c r="B402" s="73"/>
    </row>
    <row r="403" spans="2:2" ht="13.2" customHeight="1">
      <c r="B403" s="73"/>
    </row>
    <row r="404" spans="2:2" ht="13.2" customHeight="1">
      <c r="B404" s="73"/>
    </row>
    <row r="405" spans="2:2" ht="13.2" customHeight="1">
      <c r="B405" s="73"/>
    </row>
    <row r="406" spans="2:2" ht="13.2" customHeight="1">
      <c r="B406" s="73"/>
    </row>
    <row r="407" spans="2:2" ht="13.2" customHeight="1">
      <c r="B407" s="73"/>
    </row>
    <row r="408" spans="2:2" ht="13.2" customHeight="1">
      <c r="B408" s="73"/>
    </row>
    <row r="409" spans="2:2" ht="13.2" customHeight="1">
      <c r="B409" s="73"/>
    </row>
    <row r="410" spans="2:2" ht="13.2" customHeight="1">
      <c r="B410" s="73"/>
    </row>
    <row r="411" spans="2:2" ht="13.2" customHeight="1">
      <c r="B411" s="73"/>
    </row>
    <row r="412" spans="2:2" ht="13.2" customHeight="1">
      <c r="B412" s="73"/>
    </row>
    <row r="413" spans="2:2" ht="13.2" customHeight="1">
      <c r="B413" s="73"/>
    </row>
    <row r="414" spans="2:2" ht="13.2" customHeight="1">
      <c r="B414" s="73"/>
    </row>
    <row r="415" spans="2:2" ht="13.2" customHeight="1">
      <c r="B415" s="73"/>
    </row>
    <row r="416" spans="2:2" ht="13.2" customHeight="1">
      <c r="B416" s="73"/>
    </row>
    <row r="417" spans="2:2" ht="13.2" customHeight="1">
      <c r="B417" s="73"/>
    </row>
    <row r="418" spans="2:2" ht="13.2" customHeight="1">
      <c r="B418" s="73"/>
    </row>
    <row r="419" spans="2:2" ht="13.2" customHeight="1">
      <c r="B419" s="73"/>
    </row>
    <row r="420" spans="2:2" ht="13.2" customHeight="1">
      <c r="B420" s="73"/>
    </row>
    <row r="421" spans="2:2" ht="13.2" customHeight="1">
      <c r="B421" s="73"/>
    </row>
    <row r="422" spans="2:2" ht="13.2" customHeight="1">
      <c r="B422" s="73"/>
    </row>
    <row r="423" spans="2:2" ht="13.2" customHeight="1">
      <c r="B423" s="73"/>
    </row>
    <row r="424" spans="2:2" ht="13.2" customHeight="1">
      <c r="B424" s="73"/>
    </row>
    <row r="425" spans="2:2" ht="13.2" customHeight="1">
      <c r="B425" s="73"/>
    </row>
    <row r="426" spans="2:2" ht="13.2" customHeight="1">
      <c r="B426" s="73"/>
    </row>
    <row r="427" spans="2:2" ht="13.2" customHeight="1">
      <c r="B427" s="73"/>
    </row>
    <row r="428" spans="2:2" ht="13.2" customHeight="1">
      <c r="B428" s="73"/>
    </row>
    <row r="429" spans="2:2" ht="13.2" customHeight="1">
      <c r="B429" s="73"/>
    </row>
    <row r="430" spans="2:2" ht="13.2" customHeight="1">
      <c r="B430" s="73"/>
    </row>
    <row r="431" spans="2:2" ht="13.2" customHeight="1">
      <c r="B431" s="73"/>
    </row>
    <row r="432" spans="2:2" ht="13.2" customHeight="1">
      <c r="B432" s="73"/>
    </row>
    <row r="433" spans="2:2" ht="13.2" customHeight="1">
      <c r="B433" s="73"/>
    </row>
    <row r="434" spans="2:2" ht="13.2" customHeight="1">
      <c r="B434" s="73"/>
    </row>
    <row r="435" spans="2:2" ht="13.2" customHeight="1">
      <c r="B435" s="73"/>
    </row>
    <row r="436" spans="2:2" ht="13.2" customHeight="1">
      <c r="B436" s="73"/>
    </row>
    <row r="437" spans="2:2" ht="13.2" customHeight="1">
      <c r="B437" s="73"/>
    </row>
    <row r="438" spans="2:2" ht="13.2" customHeight="1">
      <c r="B438" s="73"/>
    </row>
    <row r="439" spans="2:2" ht="13.2" customHeight="1">
      <c r="B439" s="73"/>
    </row>
    <row r="440" spans="2:2" ht="13.2" customHeight="1">
      <c r="B440" s="73"/>
    </row>
    <row r="441" spans="2:2" ht="13.2" customHeight="1">
      <c r="B441" s="73"/>
    </row>
    <row r="442" spans="2:2" ht="13.2" customHeight="1">
      <c r="B442" s="73"/>
    </row>
    <row r="443" spans="2:2" ht="13.2" customHeight="1">
      <c r="B443" s="73"/>
    </row>
    <row r="444" spans="2:2" ht="13.2" customHeight="1">
      <c r="B444" s="73"/>
    </row>
    <row r="445" spans="2:2" ht="13.2" customHeight="1">
      <c r="B445" s="73"/>
    </row>
    <row r="446" spans="2:2" ht="13.2" customHeight="1">
      <c r="B446" s="73"/>
    </row>
    <row r="447" spans="2:2" ht="13.2" customHeight="1">
      <c r="B447" s="73"/>
    </row>
    <row r="448" spans="2:2" ht="13.2" customHeight="1">
      <c r="B448" s="73"/>
    </row>
    <row r="449" spans="2:2" ht="13.2" customHeight="1">
      <c r="B449" s="73"/>
    </row>
    <row r="450" spans="2:2" ht="13.2" customHeight="1">
      <c r="B450" s="73"/>
    </row>
    <row r="451" spans="2:2" ht="13.2" customHeight="1">
      <c r="B451" s="73"/>
    </row>
    <row r="452" spans="2:2" ht="13.2" customHeight="1">
      <c r="B452" s="73"/>
    </row>
    <row r="453" spans="2:2" ht="13.2" customHeight="1">
      <c r="B453" s="73"/>
    </row>
    <row r="454" spans="2:2" ht="13.2" customHeight="1">
      <c r="B454" s="73"/>
    </row>
    <row r="455" spans="2:2" ht="13.2" customHeight="1">
      <c r="B455" s="73"/>
    </row>
    <row r="456" spans="2:2" ht="13.2" customHeight="1">
      <c r="B456" s="73"/>
    </row>
    <row r="457" spans="2:2" ht="13.2" customHeight="1">
      <c r="B457" s="73"/>
    </row>
    <row r="458" spans="2:2" ht="13.2" customHeight="1">
      <c r="B458" s="73"/>
    </row>
    <row r="459" spans="2:2" ht="13.2" customHeight="1">
      <c r="B459" s="73"/>
    </row>
    <row r="460" spans="2:2" ht="13.2" customHeight="1">
      <c r="B460" s="73"/>
    </row>
    <row r="461" spans="2:2" ht="13.2" customHeight="1">
      <c r="B461" s="73"/>
    </row>
    <row r="462" spans="2:2" ht="13.2" customHeight="1">
      <c r="B462" s="73"/>
    </row>
    <row r="463" spans="2:2" ht="13.2" customHeight="1">
      <c r="B463" s="73"/>
    </row>
    <row r="464" spans="2:2" ht="13.2" customHeight="1">
      <c r="B464" s="73"/>
    </row>
    <row r="465" spans="2:2" ht="13.2" customHeight="1">
      <c r="B465" s="73"/>
    </row>
    <row r="466" spans="2:2" ht="13.2" customHeight="1">
      <c r="B466" s="73"/>
    </row>
    <row r="467" spans="2:2" ht="13.2" customHeight="1">
      <c r="B467" s="73"/>
    </row>
    <row r="468" spans="2:2" ht="13.2" customHeight="1">
      <c r="B468" s="73"/>
    </row>
    <row r="469" spans="2:2" ht="13.2" customHeight="1">
      <c r="B469" s="73"/>
    </row>
    <row r="470" spans="2:2" ht="13.2" customHeight="1">
      <c r="B470" s="73"/>
    </row>
    <row r="471" spans="2:2" ht="13.2" customHeight="1">
      <c r="B471" s="73"/>
    </row>
    <row r="472" spans="2:2" ht="13.2" customHeight="1">
      <c r="B472" s="73"/>
    </row>
    <row r="473" spans="2:2" ht="13.2" customHeight="1">
      <c r="B473" s="73"/>
    </row>
    <row r="474" spans="2:2" ht="13.2" customHeight="1">
      <c r="B474" s="73"/>
    </row>
    <row r="475" spans="2:2" ht="13.2" customHeight="1">
      <c r="B475" s="73"/>
    </row>
    <row r="476" spans="2:2" ht="13.2" customHeight="1">
      <c r="B476" s="73"/>
    </row>
    <row r="477" spans="2:2" ht="13.2" customHeight="1">
      <c r="B477" s="73"/>
    </row>
    <row r="478" spans="2:2" ht="13.2" customHeight="1">
      <c r="B478" s="73"/>
    </row>
    <row r="479" spans="2:2" ht="13.2" customHeight="1">
      <c r="B479" s="73"/>
    </row>
    <row r="480" spans="2:2" ht="13.2" customHeight="1">
      <c r="B480" s="73"/>
    </row>
    <row r="481" spans="2:2" ht="13.2" customHeight="1">
      <c r="B481" s="73"/>
    </row>
    <row r="482" spans="2:2" ht="13.2" customHeight="1">
      <c r="B482" s="73"/>
    </row>
    <row r="483" spans="2:2" ht="13.2" customHeight="1">
      <c r="B483" s="73"/>
    </row>
    <row r="484" spans="2:2" ht="13.2" customHeight="1">
      <c r="B484" s="73"/>
    </row>
    <row r="485" spans="2:2" ht="13.2" customHeight="1">
      <c r="B485" s="73"/>
    </row>
    <row r="486" spans="2:2" ht="13.2" customHeight="1">
      <c r="B486" s="73"/>
    </row>
    <row r="487" spans="2:2" ht="13.2" customHeight="1">
      <c r="B487" s="73"/>
    </row>
    <row r="488" spans="2:2" ht="13.2" customHeight="1">
      <c r="B488" s="73"/>
    </row>
    <row r="489" spans="2:2" ht="13.2" customHeight="1">
      <c r="B489" s="73"/>
    </row>
    <row r="490" spans="2:2" ht="13.2" customHeight="1">
      <c r="B490" s="73"/>
    </row>
    <row r="491" spans="2:2" ht="13.2" customHeight="1">
      <c r="B491" s="73"/>
    </row>
    <row r="492" spans="2:2" ht="13.2" customHeight="1">
      <c r="B492" s="73"/>
    </row>
    <row r="493" spans="2:2" ht="13.2" customHeight="1">
      <c r="B493" s="73"/>
    </row>
    <row r="494" spans="2:2" ht="13.2" customHeight="1">
      <c r="B494" s="73"/>
    </row>
    <row r="495" spans="2:2" ht="13.2" customHeight="1">
      <c r="B495" s="73"/>
    </row>
    <row r="496" spans="2:2" ht="13.2" customHeight="1">
      <c r="B496" s="73"/>
    </row>
    <row r="497" spans="2:2" ht="13.2" customHeight="1">
      <c r="B497" s="73"/>
    </row>
    <row r="498" spans="2:2" ht="13.2" customHeight="1">
      <c r="B498" s="73"/>
    </row>
    <row r="499" spans="2:2" ht="13.2" customHeight="1">
      <c r="B499" s="73"/>
    </row>
    <row r="500" spans="2:2" ht="13.2" customHeight="1">
      <c r="B500" s="73"/>
    </row>
    <row r="501" spans="2:2" ht="13.2" customHeight="1">
      <c r="B501" s="73"/>
    </row>
    <row r="502" spans="2:2" ht="13.2" customHeight="1">
      <c r="B502" s="73"/>
    </row>
    <row r="503" spans="2:2" ht="13.2" customHeight="1">
      <c r="B503" s="73"/>
    </row>
    <row r="504" spans="2:2" ht="13.2" customHeight="1">
      <c r="B504" s="73"/>
    </row>
    <row r="505" spans="2:2" ht="13.2" customHeight="1">
      <c r="B505" s="73"/>
    </row>
    <row r="506" spans="2:2" ht="13.2" customHeight="1">
      <c r="B506" s="73"/>
    </row>
    <row r="507" spans="2:2" ht="13.2" customHeight="1">
      <c r="B507" s="73"/>
    </row>
    <row r="508" spans="2:2" ht="13.2" customHeight="1">
      <c r="B508" s="73"/>
    </row>
    <row r="509" spans="2:2" ht="13.2" customHeight="1">
      <c r="B509" s="73"/>
    </row>
    <row r="510" spans="2:2" ht="13.2" customHeight="1">
      <c r="B510" s="73"/>
    </row>
    <row r="511" spans="2:2" ht="13.2" customHeight="1">
      <c r="B511" s="73"/>
    </row>
    <row r="512" spans="2:2" ht="13.2" customHeight="1">
      <c r="B512" s="73"/>
    </row>
    <row r="513" spans="2:2" ht="13.2" customHeight="1">
      <c r="B513" s="73"/>
    </row>
    <row r="514" spans="2:2" ht="13.2" customHeight="1">
      <c r="B514" s="73"/>
    </row>
    <row r="515" spans="2:2" ht="13.2" customHeight="1">
      <c r="B515" s="73"/>
    </row>
    <row r="516" spans="2:2" ht="13.2" customHeight="1">
      <c r="B516" s="73"/>
    </row>
    <row r="517" spans="2:2" ht="13.2" customHeight="1">
      <c r="B517" s="73"/>
    </row>
    <row r="518" spans="2:2" ht="13.2" customHeight="1">
      <c r="B518" s="73"/>
    </row>
    <row r="519" spans="2:2" ht="13.2" customHeight="1">
      <c r="B519" s="73"/>
    </row>
    <row r="520" spans="2:2" ht="13.2" customHeight="1">
      <c r="B520" s="73"/>
    </row>
    <row r="521" spans="2:2" ht="13.2" customHeight="1">
      <c r="B521" s="73"/>
    </row>
    <row r="522" spans="2:2" ht="13.2" customHeight="1">
      <c r="B522" s="73"/>
    </row>
    <row r="523" spans="2:2" ht="13.2" customHeight="1">
      <c r="B523" s="73"/>
    </row>
    <row r="524" spans="2:2" ht="13.2" customHeight="1">
      <c r="B524" s="73"/>
    </row>
    <row r="525" spans="2:2" ht="13.2" customHeight="1">
      <c r="B525" s="73"/>
    </row>
    <row r="526" spans="2:2" ht="13.2" customHeight="1">
      <c r="B526" s="73"/>
    </row>
    <row r="527" spans="2:2" ht="13.2" customHeight="1">
      <c r="B527" s="73"/>
    </row>
    <row r="528" spans="2:2" ht="13.2" customHeight="1">
      <c r="B528" s="73"/>
    </row>
    <row r="529" spans="2:2" ht="13.2" customHeight="1">
      <c r="B529" s="73"/>
    </row>
    <row r="530" spans="2:2" ht="13.2" customHeight="1">
      <c r="B530" s="73"/>
    </row>
    <row r="531" spans="2:2" ht="13.2" customHeight="1">
      <c r="B531" s="73"/>
    </row>
    <row r="532" spans="2:2" ht="13.2" customHeight="1">
      <c r="B532" s="73"/>
    </row>
    <row r="533" spans="2:2" ht="13.2" customHeight="1">
      <c r="B533" s="73"/>
    </row>
    <row r="534" spans="2:2" ht="13.2" customHeight="1">
      <c r="B534" s="73"/>
    </row>
    <row r="535" spans="2:2" ht="13.2" customHeight="1">
      <c r="B535" s="73"/>
    </row>
    <row r="536" spans="2:2" ht="13.2" customHeight="1">
      <c r="B536" s="73"/>
    </row>
    <row r="537" spans="2:2" ht="13.2" customHeight="1">
      <c r="B537" s="73"/>
    </row>
    <row r="538" spans="2:2" ht="13.2" customHeight="1">
      <c r="B538" s="73"/>
    </row>
    <row r="539" spans="2:2" ht="13.2" customHeight="1">
      <c r="B539" s="73"/>
    </row>
    <row r="540" spans="2:2" ht="13.2" customHeight="1">
      <c r="B540" s="73"/>
    </row>
    <row r="541" spans="2:2" ht="13.2" customHeight="1">
      <c r="B541" s="73"/>
    </row>
    <row r="542" spans="2:2" ht="13.2" customHeight="1">
      <c r="B542" s="73"/>
    </row>
    <row r="543" spans="2:2" ht="13.2" customHeight="1">
      <c r="B543" s="73"/>
    </row>
    <row r="544" spans="2:2" ht="13.2" customHeight="1">
      <c r="B544" s="73"/>
    </row>
    <row r="545" spans="2:2" ht="13.2" customHeight="1">
      <c r="B545" s="73"/>
    </row>
    <row r="546" spans="2:2" ht="13.2" customHeight="1">
      <c r="B546" s="73"/>
    </row>
    <row r="547" spans="2:2" ht="13.2" customHeight="1">
      <c r="B547" s="73"/>
    </row>
    <row r="548" spans="2:2" ht="13.2" customHeight="1">
      <c r="B548" s="73"/>
    </row>
    <row r="549" spans="2:2" ht="13.2" customHeight="1">
      <c r="B549" s="73"/>
    </row>
    <row r="550" spans="2:2" ht="13.2" customHeight="1">
      <c r="B550" s="73"/>
    </row>
    <row r="551" spans="2:2" ht="13.2" customHeight="1">
      <c r="B551" s="73"/>
    </row>
    <row r="552" spans="2:2" ht="13.2" customHeight="1">
      <c r="B552" s="73"/>
    </row>
    <row r="553" spans="2:2" ht="13.2" customHeight="1">
      <c r="B553" s="73"/>
    </row>
    <row r="554" spans="2:2" ht="13.2" customHeight="1">
      <c r="B554" s="73"/>
    </row>
    <row r="555" spans="2:2" ht="13.2" customHeight="1">
      <c r="B555" s="73"/>
    </row>
    <row r="556" spans="2:2" ht="13.2" customHeight="1">
      <c r="B556" s="73"/>
    </row>
    <row r="557" spans="2:2" ht="13.2" customHeight="1">
      <c r="B557" s="73"/>
    </row>
    <row r="558" spans="2:2" ht="13.2" customHeight="1">
      <c r="B558" s="73"/>
    </row>
    <row r="559" spans="2:2" ht="13.2" customHeight="1">
      <c r="B559" s="73"/>
    </row>
    <row r="560" spans="2:2" ht="13.2" customHeight="1">
      <c r="B560" s="73"/>
    </row>
    <row r="561" spans="2:2" ht="13.2" customHeight="1">
      <c r="B561" s="73"/>
    </row>
    <row r="562" spans="2:2" ht="13.2" customHeight="1">
      <c r="B562" s="73"/>
    </row>
    <row r="563" spans="2:2" ht="13.2" customHeight="1">
      <c r="B563" s="73"/>
    </row>
    <row r="564" spans="2:2" ht="13.2" customHeight="1">
      <c r="B564" s="73"/>
    </row>
    <row r="565" spans="2:2" ht="13.2" customHeight="1">
      <c r="B565" s="73"/>
    </row>
    <row r="566" spans="2:2" ht="13.2" customHeight="1">
      <c r="B566" s="73"/>
    </row>
    <row r="567" spans="2:2" ht="13.2" customHeight="1">
      <c r="B567" s="73"/>
    </row>
    <row r="568" spans="2:2" ht="13.2" customHeight="1">
      <c r="B568" s="73"/>
    </row>
    <row r="569" spans="2:2" ht="13.2" customHeight="1">
      <c r="B569" s="73"/>
    </row>
    <row r="570" spans="2:2" ht="13.2" customHeight="1">
      <c r="B570" s="73"/>
    </row>
    <row r="571" spans="2:2" ht="13.2" customHeight="1">
      <c r="B571" s="73"/>
    </row>
    <row r="572" spans="2:2" ht="13.2" customHeight="1">
      <c r="B572" s="73"/>
    </row>
    <row r="573" spans="2:2" ht="13.2" customHeight="1">
      <c r="B573" s="73"/>
    </row>
    <row r="574" spans="2:2" ht="13.2" customHeight="1">
      <c r="B574" s="73"/>
    </row>
    <row r="575" spans="2:2" ht="13.2" customHeight="1">
      <c r="B575" s="73"/>
    </row>
    <row r="576" spans="2:2" ht="13.2" customHeight="1">
      <c r="B576" s="73"/>
    </row>
    <row r="577" spans="2:2" ht="13.2" customHeight="1">
      <c r="B577" s="73"/>
    </row>
    <row r="578" spans="2:2" ht="13.2" customHeight="1">
      <c r="B578" s="73"/>
    </row>
    <row r="579" spans="2:2" ht="13.2" customHeight="1">
      <c r="B579" s="73"/>
    </row>
    <row r="580" spans="2:2" ht="13.2" customHeight="1">
      <c r="B580" s="73"/>
    </row>
    <row r="581" spans="2:2" ht="13.2" customHeight="1">
      <c r="B581" s="73"/>
    </row>
    <row r="582" spans="2:2" ht="13.2" customHeight="1">
      <c r="B582" s="73"/>
    </row>
    <row r="583" spans="2:2" ht="13.2" customHeight="1">
      <c r="B583" s="73"/>
    </row>
    <row r="584" spans="2:2" ht="13.2" customHeight="1">
      <c r="B584" s="73"/>
    </row>
    <row r="585" spans="2:2" ht="13.2" customHeight="1">
      <c r="B585" s="73"/>
    </row>
    <row r="586" spans="2:2" ht="13.2" customHeight="1">
      <c r="B586" s="73"/>
    </row>
    <row r="587" spans="2:2" ht="13.2" customHeight="1">
      <c r="B587" s="73"/>
    </row>
    <row r="588" spans="2:2" ht="13.2" customHeight="1">
      <c r="B588" s="73"/>
    </row>
    <row r="589" spans="2:2" ht="13.2" customHeight="1">
      <c r="B589" s="73"/>
    </row>
    <row r="590" spans="2:2" ht="13.2" customHeight="1">
      <c r="B590" s="73"/>
    </row>
    <row r="591" spans="2:2" ht="13.2" customHeight="1">
      <c r="B591" s="73"/>
    </row>
    <row r="592" spans="2:2" ht="13.2" customHeight="1">
      <c r="B592" s="73"/>
    </row>
    <row r="593" spans="2:2" ht="13.2" customHeight="1">
      <c r="B593" s="73"/>
    </row>
    <row r="594" spans="2:2" ht="13.2" customHeight="1">
      <c r="B594" s="73"/>
    </row>
    <row r="595" spans="2:2" ht="13.2" customHeight="1">
      <c r="B595" s="73"/>
    </row>
    <row r="596" spans="2:2" ht="13.2" customHeight="1">
      <c r="B596" s="73"/>
    </row>
    <row r="597" spans="2:2" ht="13.2" customHeight="1">
      <c r="B597" s="73"/>
    </row>
    <row r="598" spans="2:2" ht="13.2" customHeight="1">
      <c r="B598" s="73"/>
    </row>
    <row r="599" spans="2:2" ht="13.2" customHeight="1">
      <c r="B599" s="73"/>
    </row>
    <row r="600" spans="2:2" ht="13.2" customHeight="1">
      <c r="B600" s="73"/>
    </row>
    <row r="601" spans="2:2" ht="13.2" customHeight="1">
      <c r="B601" s="73"/>
    </row>
    <row r="602" spans="2:2" ht="13.2" customHeight="1">
      <c r="B602" s="73"/>
    </row>
    <row r="603" spans="2:2" ht="13.2" customHeight="1">
      <c r="B603" s="73"/>
    </row>
    <row r="604" spans="2:2" ht="13.2" customHeight="1">
      <c r="B604" s="73"/>
    </row>
    <row r="605" spans="2:2" ht="13.2" customHeight="1">
      <c r="B605" s="73"/>
    </row>
    <row r="606" spans="2:2" ht="13.2" customHeight="1">
      <c r="B606" s="73"/>
    </row>
    <row r="607" spans="2:2" ht="13.2" customHeight="1">
      <c r="B607" s="73"/>
    </row>
    <row r="608" spans="2:2" ht="13.2" customHeight="1">
      <c r="B608" s="73"/>
    </row>
    <row r="609" spans="2:2" ht="13.2" customHeight="1">
      <c r="B609" s="73"/>
    </row>
    <row r="610" spans="2:2" ht="13.2" customHeight="1">
      <c r="B610" s="73"/>
    </row>
    <row r="611" spans="2:2" ht="13.2" customHeight="1">
      <c r="B611" s="73"/>
    </row>
    <row r="612" spans="2:2" ht="13.2" customHeight="1">
      <c r="B612" s="73"/>
    </row>
    <row r="613" spans="2:2" ht="13.2" customHeight="1">
      <c r="B613" s="73"/>
    </row>
    <row r="614" spans="2:2" ht="13.2" customHeight="1">
      <c r="B614" s="73"/>
    </row>
    <row r="615" spans="2:2" ht="13.2" customHeight="1">
      <c r="B615" s="73"/>
    </row>
    <row r="616" spans="2:2" ht="13.2" customHeight="1">
      <c r="B616" s="73"/>
    </row>
    <row r="617" spans="2:2" ht="13.2" customHeight="1">
      <c r="B617" s="73"/>
    </row>
    <row r="618" spans="2:2" ht="13.2" customHeight="1">
      <c r="B618" s="73"/>
    </row>
    <row r="619" spans="2:2" ht="13.2" customHeight="1">
      <c r="B619" s="73"/>
    </row>
    <row r="620" spans="2:2" ht="13.2" customHeight="1">
      <c r="B620" s="73"/>
    </row>
    <row r="621" spans="2:2" ht="13.2" customHeight="1">
      <c r="B621" s="73"/>
    </row>
    <row r="622" spans="2:2" ht="13.2" customHeight="1">
      <c r="B622" s="73"/>
    </row>
    <row r="623" spans="2:2" ht="13.2" customHeight="1">
      <c r="B623" s="73"/>
    </row>
    <row r="624" spans="2:2" ht="13.2" customHeight="1">
      <c r="B624" s="73"/>
    </row>
    <row r="625" spans="2:2" ht="13.2" customHeight="1">
      <c r="B625" s="73"/>
    </row>
    <row r="626" spans="2:2" ht="13.2" customHeight="1">
      <c r="B626" s="73"/>
    </row>
    <row r="627" spans="2:2" ht="13.2" customHeight="1">
      <c r="B627" s="73"/>
    </row>
    <row r="628" spans="2:2" ht="13.2" customHeight="1">
      <c r="B628" s="73"/>
    </row>
    <row r="629" spans="2:2" ht="13.2" customHeight="1">
      <c r="B629" s="73"/>
    </row>
    <row r="630" spans="2:2" ht="13.2" customHeight="1">
      <c r="B630" s="73"/>
    </row>
    <row r="631" spans="2:2" ht="13.2" customHeight="1">
      <c r="B631" s="73"/>
    </row>
    <row r="632" spans="2:2" ht="13.2" customHeight="1">
      <c r="B632" s="73"/>
    </row>
    <row r="633" spans="2:2" ht="13.2" customHeight="1">
      <c r="B633" s="73"/>
    </row>
    <row r="634" spans="2:2" ht="13.2" customHeight="1">
      <c r="B634" s="73"/>
    </row>
    <row r="635" spans="2:2" ht="13.2" customHeight="1">
      <c r="B635" s="73"/>
    </row>
    <row r="636" spans="2:2" ht="13.2" customHeight="1">
      <c r="B636" s="73"/>
    </row>
    <row r="637" spans="2:2" ht="13.2" customHeight="1">
      <c r="B637" s="73"/>
    </row>
    <row r="638" spans="2:2" ht="13.2" customHeight="1">
      <c r="B638" s="73"/>
    </row>
    <row r="639" spans="2:2" ht="13.2" customHeight="1">
      <c r="B639" s="73"/>
    </row>
    <row r="640" spans="2:2" ht="13.2" customHeight="1">
      <c r="B640" s="73"/>
    </row>
    <row r="641" spans="2:2" ht="13.2" customHeight="1">
      <c r="B641" s="73"/>
    </row>
    <row r="642" spans="2:2" ht="13.2" customHeight="1">
      <c r="B642" s="73"/>
    </row>
    <row r="643" spans="2:2" ht="13.2" customHeight="1">
      <c r="B643" s="73"/>
    </row>
    <row r="644" spans="2:2" ht="13.2" customHeight="1">
      <c r="B644" s="73"/>
    </row>
    <row r="645" spans="2:2" ht="13.2" customHeight="1">
      <c r="B645" s="73"/>
    </row>
    <row r="646" spans="2:2" ht="13.2" customHeight="1">
      <c r="B646" s="73"/>
    </row>
    <row r="647" spans="2:2" ht="13.2" customHeight="1">
      <c r="B647" s="73"/>
    </row>
    <row r="648" spans="2:2" ht="13.2" customHeight="1">
      <c r="B648" s="73"/>
    </row>
    <row r="649" spans="2:2" ht="13.2" customHeight="1">
      <c r="B649" s="73"/>
    </row>
    <row r="650" spans="2:2" ht="13.2" customHeight="1">
      <c r="B650" s="73"/>
    </row>
    <row r="651" spans="2:2" ht="13.2" customHeight="1">
      <c r="B651" s="73"/>
    </row>
    <row r="652" spans="2:2" ht="13.2" customHeight="1">
      <c r="B652" s="73"/>
    </row>
    <row r="653" spans="2:2" ht="13.2" customHeight="1">
      <c r="B653" s="73"/>
    </row>
    <row r="654" spans="2:2" ht="13.2" customHeight="1">
      <c r="B654" s="73"/>
    </row>
    <row r="655" spans="2:2" ht="13.2" customHeight="1">
      <c r="B655" s="73"/>
    </row>
    <row r="656" spans="2:2" ht="13.2" customHeight="1">
      <c r="B656" s="73"/>
    </row>
    <row r="657" spans="2:2" ht="13.2" customHeight="1">
      <c r="B657" s="73"/>
    </row>
    <row r="658" spans="2:2" ht="13.2" customHeight="1">
      <c r="B658" s="73"/>
    </row>
    <row r="659" spans="2:2" ht="13.2" customHeight="1">
      <c r="B659" s="73"/>
    </row>
    <row r="660" spans="2:2" ht="13.2" customHeight="1">
      <c r="B660" s="73"/>
    </row>
    <row r="661" spans="2:2" ht="13.2" customHeight="1">
      <c r="B661" s="73"/>
    </row>
    <row r="662" spans="2:2" ht="13.2" customHeight="1">
      <c r="B662" s="73"/>
    </row>
    <row r="663" spans="2:2" ht="13.2" customHeight="1">
      <c r="B663" s="73"/>
    </row>
    <row r="664" spans="2:2" ht="13.2" customHeight="1">
      <c r="B664" s="73"/>
    </row>
    <row r="665" spans="2:2" ht="13.2" customHeight="1">
      <c r="B665" s="73"/>
    </row>
    <row r="666" spans="2:2" ht="13.2" customHeight="1">
      <c r="B666" s="73"/>
    </row>
    <row r="667" spans="2:2" ht="13.2" customHeight="1">
      <c r="B667" s="73"/>
    </row>
    <row r="668" spans="2:2" ht="13.2" customHeight="1">
      <c r="B668" s="73"/>
    </row>
    <row r="669" spans="2:2" ht="13.2" customHeight="1">
      <c r="B669" s="73"/>
    </row>
    <row r="670" spans="2:2" ht="13.2" customHeight="1">
      <c r="B670" s="73"/>
    </row>
    <row r="671" spans="2:2" ht="13.2" customHeight="1">
      <c r="B671" s="73"/>
    </row>
    <row r="672" spans="2:2" ht="13.2" customHeight="1">
      <c r="B672" s="73"/>
    </row>
    <row r="673" spans="2:2" ht="13.2" customHeight="1">
      <c r="B673" s="73"/>
    </row>
    <row r="674" spans="2:2" ht="13.2" customHeight="1">
      <c r="B674" s="73"/>
    </row>
    <row r="675" spans="2:2" ht="13.2" customHeight="1">
      <c r="B675" s="73"/>
    </row>
    <row r="676" spans="2:2" ht="13.2" customHeight="1">
      <c r="B676" s="73"/>
    </row>
    <row r="677" spans="2:2" ht="13.2" customHeight="1">
      <c r="B677" s="73"/>
    </row>
    <row r="678" spans="2:2" ht="13.2" customHeight="1">
      <c r="B678" s="73"/>
    </row>
    <row r="679" spans="2:2" ht="13.2" customHeight="1">
      <c r="B679" s="73"/>
    </row>
    <row r="680" spans="2:2" ht="13.2" customHeight="1">
      <c r="B680" s="73"/>
    </row>
    <row r="681" spans="2:2" ht="13.2" customHeight="1">
      <c r="B681" s="73"/>
    </row>
    <row r="682" spans="2:2" ht="13.2" customHeight="1">
      <c r="B682" s="73"/>
    </row>
    <row r="683" spans="2:2" ht="13.2" customHeight="1">
      <c r="B683" s="73"/>
    </row>
    <row r="684" spans="2:2" ht="13.2" customHeight="1">
      <c r="B684" s="73"/>
    </row>
    <row r="685" spans="2:2" ht="13.2" customHeight="1">
      <c r="B685" s="73"/>
    </row>
    <row r="686" spans="2:2" ht="13.2" customHeight="1">
      <c r="B686" s="73"/>
    </row>
    <row r="687" spans="2:2" ht="13.2" customHeight="1">
      <c r="B687" s="73"/>
    </row>
    <row r="688" spans="2:2" ht="13.2" customHeight="1">
      <c r="B688" s="73"/>
    </row>
    <row r="689" spans="2:2" ht="13.2" customHeight="1">
      <c r="B689" s="73"/>
    </row>
    <row r="690" spans="2:2" ht="13.2" customHeight="1">
      <c r="B690" s="73"/>
    </row>
    <row r="691" spans="2:2" ht="13.2" customHeight="1">
      <c r="B691" s="73"/>
    </row>
    <row r="692" spans="2:2" ht="13.2" customHeight="1">
      <c r="B692" s="73"/>
    </row>
    <row r="693" spans="2:2" ht="13.2" customHeight="1">
      <c r="B693" s="73"/>
    </row>
    <row r="694" spans="2:2" ht="13.2" customHeight="1">
      <c r="B694" s="73"/>
    </row>
    <row r="695" spans="2:2" ht="13.2" customHeight="1">
      <c r="B695" s="73"/>
    </row>
    <row r="696" spans="2:2" ht="13.2" customHeight="1">
      <c r="B696" s="73"/>
    </row>
    <row r="697" spans="2:2" ht="13.2" customHeight="1">
      <c r="B697" s="73"/>
    </row>
    <row r="698" spans="2:2" ht="13.2" customHeight="1">
      <c r="B698" s="73"/>
    </row>
    <row r="699" spans="2:2" ht="13.2" customHeight="1">
      <c r="B699" s="73"/>
    </row>
    <row r="700" spans="2:2" ht="13.2" customHeight="1">
      <c r="B700" s="73"/>
    </row>
    <row r="701" spans="2:2" ht="13.2" customHeight="1">
      <c r="B701" s="73"/>
    </row>
    <row r="702" spans="2:2" ht="13.2" customHeight="1">
      <c r="B702" s="73"/>
    </row>
    <row r="703" spans="2:2" ht="13.2" customHeight="1">
      <c r="B703" s="73"/>
    </row>
    <row r="704" spans="2:2" ht="13.2" customHeight="1">
      <c r="B704" s="73"/>
    </row>
    <row r="705" spans="2:2" ht="13.2" customHeight="1">
      <c r="B705" s="73"/>
    </row>
    <row r="706" spans="2:2" ht="13.2" customHeight="1">
      <c r="B706" s="73"/>
    </row>
    <row r="707" spans="2:2" ht="13.2" customHeight="1">
      <c r="B707" s="73"/>
    </row>
    <row r="708" spans="2:2" ht="13.2" customHeight="1">
      <c r="B708" s="73"/>
    </row>
    <row r="709" spans="2:2" ht="13.2" customHeight="1">
      <c r="B709" s="73"/>
    </row>
    <row r="710" spans="2:2" ht="13.2" customHeight="1">
      <c r="B710" s="73"/>
    </row>
    <row r="711" spans="2:2" ht="13.2" customHeight="1">
      <c r="B711" s="73"/>
    </row>
    <row r="712" spans="2:2" ht="13.2" customHeight="1">
      <c r="B712" s="73"/>
    </row>
    <row r="713" spans="2:2" ht="13.2" customHeight="1">
      <c r="B713" s="73"/>
    </row>
    <row r="714" spans="2:2" ht="13.2" customHeight="1">
      <c r="B714" s="73"/>
    </row>
    <row r="715" spans="2:2" ht="13.2" customHeight="1">
      <c r="B715" s="73"/>
    </row>
    <row r="716" spans="2:2" ht="13.2" customHeight="1">
      <c r="B716" s="73"/>
    </row>
    <row r="717" spans="2:2" ht="13.2" customHeight="1">
      <c r="B717" s="73"/>
    </row>
    <row r="718" spans="2:2" ht="13.2" customHeight="1">
      <c r="B718" s="73"/>
    </row>
    <row r="719" spans="2:2" ht="13.2" customHeight="1">
      <c r="B719" s="73"/>
    </row>
    <row r="720" spans="2:2" ht="13.2" customHeight="1">
      <c r="B720" s="73"/>
    </row>
    <row r="721" spans="2:2" ht="13.2" customHeight="1">
      <c r="B721" s="73"/>
    </row>
    <row r="722" spans="2:2" ht="13.2" customHeight="1">
      <c r="B722" s="73"/>
    </row>
    <row r="723" spans="2:2" ht="13.2" customHeight="1">
      <c r="B723" s="73"/>
    </row>
    <row r="724" spans="2:2" ht="13.2" customHeight="1">
      <c r="B724" s="73"/>
    </row>
    <row r="725" spans="2:2" ht="13.2" customHeight="1">
      <c r="B725" s="73"/>
    </row>
    <row r="726" spans="2:2" ht="13.2" customHeight="1">
      <c r="B726" s="73"/>
    </row>
    <row r="727" spans="2:2" ht="13.2" customHeight="1">
      <c r="B727" s="73"/>
    </row>
    <row r="728" spans="2:2" ht="13.2" customHeight="1">
      <c r="B728" s="73"/>
    </row>
    <row r="729" spans="2:2" ht="13.2" customHeight="1">
      <c r="B729" s="73"/>
    </row>
    <row r="730" spans="2:2" ht="13.2" customHeight="1">
      <c r="B730" s="73"/>
    </row>
    <row r="731" spans="2:2" ht="13.2" customHeight="1">
      <c r="B731" s="73"/>
    </row>
    <row r="732" spans="2:2" ht="13.2" customHeight="1">
      <c r="B732" s="73"/>
    </row>
    <row r="733" spans="2:2" ht="13.2" customHeight="1">
      <c r="B733" s="73"/>
    </row>
    <row r="734" spans="2:2" ht="13.2" customHeight="1">
      <c r="B734" s="73"/>
    </row>
    <row r="735" spans="2:2" ht="13.2" customHeight="1">
      <c r="B735" s="73"/>
    </row>
    <row r="736" spans="2:2" ht="13.2" customHeight="1">
      <c r="B736" s="73"/>
    </row>
    <row r="737" spans="2:2" ht="13.2" customHeight="1">
      <c r="B737" s="73"/>
    </row>
    <row r="738" spans="2:2" ht="13.2" customHeight="1">
      <c r="B738" s="73"/>
    </row>
    <row r="739" spans="2:2" ht="13.2" customHeight="1">
      <c r="B739" s="73"/>
    </row>
    <row r="740" spans="2:2" ht="13.2" customHeight="1">
      <c r="B740" s="73"/>
    </row>
    <row r="741" spans="2:2" ht="13.2" customHeight="1">
      <c r="B741" s="73"/>
    </row>
    <row r="742" spans="2:2" ht="13.2" customHeight="1">
      <c r="B742" s="73"/>
    </row>
    <row r="743" spans="2:2" ht="13.2" customHeight="1">
      <c r="B743" s="73"/>
    </row>
    <row r="744" spans="2:2" ht="13.2" customHeight="1">
      <c r="B744" s="73"/>
    </row>
    <row r="745" spans="2:2" ht="13.2" customHeight="1">
      <c r="B745" s="73"/>
    </row>
    <row r="746" spans="2:2" ht="13.2" customHeight="1">
      <c r="B746" s="73"/>
    </row>
    <row r="747" spans="2:2" ht="13.2" customHeight="1">
      <c r="B747" s="73"/>
    </row>
    <row r="748" spans="2:2" ht="13.2" customHeight="1">
      <c r="B748" s="73"/>
    </row>
    <row r="749" spans="2:2" ht="13.2" customHeight="1">
      <c r="B749" s="73"/>
    </row>
    <row r="750" spans="2:2" ht="13.2" customHeight="1">
      <c r="B750" s="73"/>
    </row>
    <row r="751" spans="2:2" ht="13.2" customHeight="1">
      <c r="B751" s="73"/>
    </row>
    <row r="752" spans="2:2" ht="13.2" customHeight="1">
      <c r="B752" s="73"/>
    </row>
    <row r="753" spans="2:2" ht="13.2" customHeight="1">
      <c r="B753" s="73"/>
    </row>
    <row r="754" spans="2:2" ht="13.2" customHeight="1">
      <c r="B754" s="73"/>
    </row>
    <row r="755" spans="2:2" ht="13.2" customHeight="1">
      <c r="B755" s="73"/>
    </row>
    <row r="756" spans="2:2" ht="13.2" customHeight="1">
      <c r="B756" s="73"/>
    </row>
    <row r="757" spans="2:2" ht="13.2" customHeight="1">
      <c r="B757" s="73"/>
    </row>
    <row r="758" spans="2:2" ht="13.2" customHeight="1">
      <c r="B758" s="73"/>
    </row>
    <row r="759" spans="2:2" ht="13.2" customHeight="1">
      <c r="B759" s="73"/>
    </row>
    <row r="760" spans="2:2" ht="13.2" customHeight="1">
      <c r="B760" s="73"/>
    </row>
    <row r="761" spans="2:2" ht="13.2" customHeight="1">
      <c r="B761" s="73"/>
    </row>
    <row r="762" spans="2:2" ht="13.2" customHeight="1">
      <c r="B762" s="73"/>
    </row>
    <row r="763" spans="2:2" ht="13.2" customHeight="1">
      <c r="B763" s="73"/>
    </row>
    <row r="764" spans="2:2" ht="13.2" customHeight="1">
      <c r="B764" s="73"/>
    </row>
    <row r="765" spans="2:2" ht="13.2" customHeight="1">
      <c r="B765" s="73"/>
    </row>
    <row r="766" spans="2:2" ht="13.2" customHeight="1">
      <c r="B766" s="73"/>
    </row>
    <row r="767" spans="2:2" ht="13.2" customHeight="1">
      <c r="B767" s="73"/>
    </row>
    <row r="768" spans="2:2" ht="13.2" customHeight="1">
      <c r="B768" s="73"/>
    </row>
    <row r="769" spans="2:2" ht="13.2" customHeight="1">
      <c r="B769" s="73"/>
    </row>
    <row r="770" spans="2:2" ht="13.2" customHeight="1">
      <c r="B770" s="73"/>
    </row>
    <row r="771" spans="2:2" ht="13.2" customHeight="1">
      <c r="B771" s="73"/>
    </row>
    <row r="772" spans="2:2" ht="13.2" customHeight="1">
      <c r="B772" s="73"/>
    </row>
    <row r="773" spans="2:2" ht="13.2" customHeight="1">
      <c r="B773" s="73"/>
    </row>
    <row r="774" spans="2:2" ht="13.2" customHeight="1">
      <c r="B774" s="73"/>
    </row>
    <row r="775" spans="2:2" ht="13.2" customHeight="1">
      <c r="B775" s="73"/>
    </row>
    <row r="776" spans="2:2" ht="13.2" customHeight="1">
      <c r="B776" s="73"/>
    </row>
    <row r="777" spans="2:2" ht="13.2" customHeight="1">
      <c r="B777" s="73"/>
    </row>
    <row r="778" spans="2:2" ht="13.2" customHeight="1">
      <c r="B778" s="73"/>
    </row>
    <row r="779" spans="2:2" ht="13.2" customHeight="1">
      <c r="B779" s="73"/>
    </row>
    <row r="780" spans="2:2" ht="13.2" customHeight="1">
      <c r="B780" s="73"/>
    </row>
    <row r="781" spans="2:2" ht="13.2" customHeight="1">
      <c r="B781" s="73"/>
    </row>
    <row r="782" spans="2:2" ht="13.2" customHeight="1">
      <c r="B782" s="73"/>
    </row>
    <row r="783" spans="2:2" ht="13.2" customHeight="1">
      <c r="B783" s="73"/>
    </row>
    <row r="784" spans="2:2" ht="13.2" customHeight="1">
      <c r="B784" s="73"/>
    </row>
    <row r="785" spans="2:2" ht="13.2" customHeight="1">
      <c r="B785" s="73"/>
    </row>
    <row r="786" spans="2:2" ht="13.2" customHeight="1">
      <c r="B786" s="73"/>
    </row>
    <row r="787" spans="2:2" ht="13.2" customHeight="1">
      <c r="B787" s="73"/>
    </row>
    <row r="788" spans="2:2" ht="13.2" customHeight="1">
      <c r="B788" s="73"/>
    </row>
    <row r="789" spans="2:2" ht="13.2" customHeight="1">
      <c r="B789" s="73"/>
    </row>
    <row r="790" spans="2:2" ht="13.2" customHeight="1">
      <c r="B790" s="73"/>
    </row>
    <row r="791" spans="2:2" ht="13.2" customHeight="1">
      <c r="B791" s="73"/>
    </row>
    <row r="792" spans="2:2" ht="13.2" customHeight="1">
      <c r="B792" s="73"/>
    </row>
    <row r="793" spans="2:2" ht="13.2" customHeight="1">
      <c r="B793" s="73"/>
    </row>
    <row r="794" spans="2:2" ht="13.2" customHeight="1">
      <c r="B794" s="73"/>
    </row>
    <row r="795" spans="2:2" ht="13.2" customHeight="1">
      <c r="B795" s="73"/>
    </row>
    <row r="796" spans="2:2" ht="13.2" customHeight="1">
      <c r="B796" s="73"/>
    </row>
    <row r="797" spans="2:2" ht="13.2" customHeight="1">
      <c r="B797" s="73"/>
    </row>
    <row r="798" spans="2:2" ht="13.2" customHeight="1">
      <c r="B798" s="73"/>
    </row>
    <row r="799" spans="2:2" ht="13.2" customHeight="1">
      <c r="B799" s="73"/>
    </row>
    <row r="800" spans="2:2" ht="13.2" customHeight="1">
      <c r="B800" s="73"/>
    </row>
    <row r="801" spans="2:2" ht="13.2" customHeight="1">
      <c r="B801" s="73"/>
    </row>
    <row r="802" spans="2:2" ht="13.2" customHeight="1">
      <c r="B802" s="73"/>
    </row>
    <row r="803" spans="2:2" ht="13.2" customHeight="1">
      <c r="B803" s="73"/>
    </row>
    <row r="804" spans="2:2" ht="13.2" customHeight="1">
      <c r="B804" s="73"/>
    </row>
    <row r="805" spans="2:2" ht="13.2" customHeight="1">
      <c r="B805" s="73"/>
    </row>
    <row r="806" spans="2:2" ht="13.2" customHeight="1">
      <c r="B806" s="73"/>
    </row>
    <row r="807" spans="2:2" ht="13.2" customHeight="1">
      <c r="B807" s="73"/>
    </row>
    <row r="808" spans="2:2" ht="13.2" customHeight="1">
      <c r="B808" s="73"/>
    </row>
    <row r="809" spans="2:2" ht="13.2" customHeight="1">
      <c r="B809" s="73"/>
    </row>
    <row r="810" spans="2:2" ht="13.2" customHeight="1">
      <c r="B810" s="73"/>
    </row>
    <row r="811" spans="2:2" ht="13.2" customHeight="1">
      <c r="B811" s="73"/>
    </row>
    <row r="812" spans="2:2" ht="13.2" customHeight="1">
      <c r="B812" s="73"/>
    </row>
    <row r="813" spans="2:2" ht="13.2" customHeight="1">
      <c r="B813" s="73"/>
    </row>
    <row r="814" spans="2:2" ht="13.2" customHeight="1">
      <c r="B814" s="73"/>
    </row>
    <row r="815" spans="2:2" ht="13.2" customHeight="1">
      <c r="B815" s="73"/>
    </row>
    <row r="816" spans="2:2" ht="13.2" customHeight="1">
      <c r="B816" s="73"/>
    </row>
    <row r="817" spans="2:2" ht="13.2" customHeight="1">
      <c r="B817" s="73"/>
    </row>
    <row r="818" spans="2:2" ht="13.2" customHeight="1">
      <c r="B818" s="73"/>
    </row>
    <row r="819" spans="2:2" ht="13.2" customHeight="1">
      <c r="B819" s="73"/>
    </row>
    <row r="820" spans="2:2" ht="13.2" customHeight="1">
      <c r="B820" s="73"/>
    </row>
    <row r="821" spans="2:2" ht="13.2" customHeight="1">
      <c r="B821" s="73"/>
    </row>
    <row r="822" spans="2:2" ht="13.2" customHeight="1">
      <c r="B822" s="73"/>
    </row>
    <row r="823" spans="2:2" ht="13.2" customHeight="1">
      <c r="B823" s="73"/>
    </row>
    <row r="824" spans="2:2" ht="13.2" customHeight="1">
      <c r="B824" s="73"/>
    </row>
    <row r="825" spans="2:2" ht="13.2" customHeight="1">
      <c r="B825" s="73"/>
    </row>
    <row r="826" spans="2:2" ht="13.2" customHeight="1">
      <c r="B826" s="73"/>
    </row>
    <row r="827" spans="2:2" ht="13.2" customHeight="1">
      <c r="B827" s="73"/>
    </row>
    <row r="828" spans="2:2" ht="13.2" customHeight="1">
      <c r="B828" s="73"/>
    </row>
    <row r="829" spans="2:2" ht="13.2" customHeight="1">
      <c r="B829" s="73"/>
    </row>
    <row r="830" spans="2:2" ht="13.2" customHeight="1">
      <c r="B830" s="73"/>
    </row>
    <row r="831" spans="2:2" ht="13.2" customHeight="1">
      <c r="B831" s="73"/>
    </row>
    <row r="832" spans="2:2" ht="13.2" customHeight="1">
      <c r="B832" s="73"/>
    </row>
    <row r="833" spans="2:2" ht="13.2" customHeight="1">
      <c r="B833" s="73"/>
    </row>
    <row r="834" spans="2:2" ht="13.2" customHeight="1">
      <c r="B834" s="73"/>
    </row>
    <row r="835" spans="2:2" ht="13.2" customHeight="1">
      <c r="B835" s="73"/>
    </row>
    <row r="836" spans="2:2" ht="13.2" customHeight="1">
      <c r="B836" s="73"/>
    </row>
    <row r="837" spans="2:2" ht="13.2" customHeight="1">
      <c r="B837" s="73"/>
    </row>
    <row r="838" spans="2:2" ht="13.2" customHeight="1">
      <c r="B838" s="73"/>
    </row>
    <row r="839" spans="2:2" ht="13.2" customHeight="1">
      <c r="B839" s="73"/>
    </row>
    <row r="840" spans="2:2" ht="13.2" customHeight="1">
      <c r="B840" s="73"/>
    </row>
    <row r="841" spans="2:2" ht="13.2" customHeight="1">
      <c r="B841" s="73"/>
    </row>
    <row r="842" spans="2:2" ht="13.2" customHeight="1">
      <c r="B842" s="73"/>
    </row>
    <row r="843" spans="2:2" ht="13.2" customHeight="1">
      <c r="B843" s="73"/>
    </row>
    <row r="844" spans="2:2" ht="13.2" customHeight="1">
      <c r="B844" s="73"/>
    </row>
    <row r="845" spans="2:2" ht="13.2" customHeight="1">
      <c r="B845" s="73"/>
    </row>
    <row r="846" spans="2:2" ht="13.2" customHeight="1">
      <c r="B846" s="73"/>
    </row>
    <row r="847" spans="2:2" ht="13.2" customHeight="1">
      <c r="B847" s="73"/>
    </row>
    <row r="848" spans="2:2" ht="13.2" customHeight="1">
      <c r="B848" s="73"/>
    </row>
    <row r="849" spans="2:2" ht="13.2" customHeight="1">
      <c r="B849" s="73"/>
    </row>
    <row r="850" spans="2:2" ht="13.2" customHeight="1">
      <c r="B850" s="73"/>
    </row>
    <row r="851" spans="2:2" ht="13.2" customHeight="1">
      <c r="B851" s="73"/>
    </row>
    <row r="852" spans="2:2" ht="13.2" customHeight="1">
      <c r="B852" s="73"/>
    </row>
    <row r="853" spans="2:2" ht="13.2" customHeight="1">
      <c r="B853" s="73"/>
    </row>
    <row r="854" spans="2:2" ht="13.2" customHeight="1">
      <c r="B854" s="73"/>
    </row>
    <row r="855" spans="2:2" ht="13.2" customHeight="1">
      <c r="B855" s="73"/>
    </row>
    <row r="856" spans="2:2" ht="13.2" customHeight="1">
      <c r="B856" s="73"/>
    </row>
    <row r="857" spans="2:2" ht="13.2" customHeight="1">
      <c r="B857" s="73"/>
    </row>
    <row r="858" spans="2:2" ht="13.2" customHeight="1">
      <c r="B858" s="73"/>
    </row>
    <row r="859" spans="2:2" ht="13.2" customHeight="1">
      <c r="B859" s="73"/>
    </row>
    <row r="860" spans="2:2" ht="13.2" customHeight="1">
      <c r="B860" s="73"/>
    </row>
    <row r="861" spans="2:2" ht="13.2" customHeight="1">
      <c r="B861" s="73"/>
    </row>
    <row r="862" spans="2:2" ht="13.2" customHeight="1">
      <c r="B862" s="73"/>
    </row>
    <row r="863" spans="2:2" ht="13.2" customHeight="1">
      <c r="B863" s="73"/>
    </row>
    <row r="864" spans="2:2" ht="13.2" customHeight="1">
      <c r="B864" s="73"/>
    </row>
    <row r="865" spans="2:2" ht="13.2" customHeight="1">
      <c r="B865" s="73"/>
    </row>
    <row r="866" spans="2:2" ht="13.2" customHeight="1">
      <c r="B866" s="73"/>
    </row>
    <row r="867" spans="2:2" ht="13.2" customHeight="1">
      <c r="B867" s="73"/>
    </row>
    <row r="868" spans="2:2" ht="13.2" customHeight="1">
      <c r="B868" s="73"/>
    </row>
    <row r="869" spans="2:2" ht="13.2" customHeight="1">
      <c r="B869" s="73"/>
    </row>
    <row r="870" spans="2:2" ht="13.2" customHeight="1">
      <c r="B870" s="73"/>
    </row>
    <row r="871" spans="2:2" ht="13.2" customHeight="1">
      <c r="B871" s="73"/>
    </row>
    <row r="872" spans="2:2" ht="13.2" customHeight="1">
      <c r="B872" s="73"/>
    </row>
    <row r="873" spans="2:2" ht="13.2" customHeight="1">
      <c r="B873" s="73"/>
    </row>
    <row r="874" spans="2:2" ht="13.2" customHeight="1">
      <c r="B874" s="73"/>
    </row>
    <row r="875" spans="2:2" ht="13.2" customHeight="1">
      <c r="B875" s="73"/>
    </row>
    <row r="876" spans="2:2" ht="13.2" customHeight="1">
      <c r="B876" s="73"/>
    </row>
    <row r="877" spans="2:2" ht="13.2" customHeight="1">
      <c r="B877" s="73"/>
    </row>
    <row r="878" spans="2:2" ht="13.2" customHeight="1">
      <c r="B878" s="73"/>
    </row>
    <row r="879" spans="2:2" ht="13.2" customHeight="1">
      <c r="B879" s="73"/>
    </row>
    <row r="880" spans="2:2" ht="13.2" customHeight="1">
      <c r="B880" s="73"/>
    </row>
    <row r="881" spans="2:2" ht="13.2" customHeight="1">
      <c r="B881" s="73"/>
    </row>
    <row r="882" spans="2:2" ht="13.2" customHeight="1">
      <c r="B882" s="73"/>
    </row>
    <row r="883" spans="2:2" ht="13.2" customHeight="1">
      <c r="B883" s="73"/>
    </row>
    <row r="884" spans="2:2" ht="13.2" customHeight="1">
      <c r="B884" s="73"/>
    </row>
    <row r="885" spans="2:2" ht="13.2" customHeight="1">
      <c r="B885" s="73"/>
    </row>
    <row r="886" spans="2:2" ht="13.2" customHeight="1">
      <c r="B886" s="73"/>
    </row>
    <row r="887" spans="2:2" ht="13.2" customHeight="1">
      <c r="B887" s="73"/>
    </row>
    <row r="888" spans="2:2" ht="13.2" customHeight="1">
      <c r="B888" s="73"/>
    </row>
    <row r="889" spans="2:2" ht="13.2" customHeight="1">
      <c r="B889" s="73"/>
    </row>
    <row r="890" spans="2:2" ht="13.2" customHeight="1">
      <c r="B890" s="73"/>
    </row>
    <row r="891" spans="2:2" ht="13.2" customHeight="1">
      <c r="B891" s="73"/>
    </row>
    <row r="892" spans="2:2" ht="13.2" customHeight="1">
      <c r="B892" s="73"/>
    </row>
    <row r="893" spans="2:2" ht="13.2" customHeight="1">
      <c r="B893" s="73"/>
    </row>
    <row r="894" spans="2:2" ht="13.2" customHeight="1">
      <c r="B894" s="73"/>
    </row>
    <row r="895" spans="2:2" ht="13.2" customHeight="1">
      <c r="B895" s="73"/>
    </row>
    <row r="896" spans="2:2" ht="13.2" customHeight="1">
      <c r="B896" s="73"/>
    </row>
    <row r="897" spans="2:2" ht="13.2" customHeight="1">
      <c r="B897" s="73"/>
    </row>
    <row r="898" spans="2:2" ht="13.2" customHeight="1">
      <c r="B898" s="73"/>
    </row>
    <row r="899" spans="2:2" ht="13.2" customHeight="1">
      <c r="B899" s="73"/>
    </row>
    <row r="900" spans="2:2" ht="13.2" customHeight="1">
      <c r="B900" s="73"/>
    </row>
    <row r="901" spans="2:2" ht="13.2" customHeight="1">
      <c r="B901" s="73"/>
    </row>
    <row r="902" spans="2:2" ht="13.2" customHeight="1">
      <c r="B902" s="73"/>
    </row>
    <row r="903" spans="2:2" ht="13.2" customHeight="1">
      <c r="B903" s="73"/>
    </row>
    <row r="904" spans="2:2" ht="13.2" customHeight="1">
      <c r="B904" s="73"/>
    </row>
    <row r="905" spans="2:2" ht="13.2" customHeight="1">
      <c r="B905" s="73"/>
    </row>
    <row r="906" spans="2:2" ht="13.2" customHeight="1">
      <c r="B906" s="73"/>
    </row>
    <row r="907" spans="2:2" ht="13.2" customHeight="1">
      <c r="B907" s="73"/>
    </row>
    <row r="908" spans="2:2" ht="13.2" customHeight="1">
      <c r="B908" s="73"/>
    </row>
    <row r="909" spans="2:2" ht="13.2" customHeight="1">
      <c r="B909" s="73"/>
    </row>
    <row r="910" spans="2:2" ht="13.2" customHeight="1">
      <c r="B910" s="73"/>
    </row>
    <row r="911" spans="2:2" ht="13.2" customHeight="1">
      <c r="B911" s="73"/>
    </row>
    <row r="912" spans="2:2" ht="13.2" customHeight="1">
      <c r="B912" s="73"/>
    </row>
    <row r="913" spans="2:2" ht="13.2" customHeight="1">
      <c r="B913" s="73"/>
    </row>
    <row r="914" spans="2:2" ht="13.2" customHeight="1">
      <c r="B914" s="73"/>
    </row>
    <row r="915" spans="2:2" ht="13.2" customHeight="1">
      <c r="B915" s="73"/>
    </row>
    <row r="916" spans="2:2" ht="13.2" customHeight="1">
      <c r="B916" s="73"/>
    </row>
    <row r="917" spans="2:2" ht="13.2" customHeight="1">
      <c r="B917" s="73"/>
    </row>
    <row r="918" spans="2:2" ht="13.2" customHeight="1">
      <c r="B918" s="73"/>
    </row>
    <row r="919" spans="2:2" ht="13.2" customHeight="1">
      <c r="B919" s="73"/>
    </row>
    <row r="920" spans="2:2" ht="13.2" customHeight="1">
      <c r="B920" s="73"/>
    </row>
    <row r="921" spans="2:2" ht="13.2" customHeight="1">
      <c r="B921" s="73"/>
    </row>
    <row r="922" spans="2:2" ht="13.2" customHeight="1">
      <c r="B922" s="73"/>
    </row>
    <row r="923" spans="2:2" ht="13.2" customHeight="1">
      <c r="B923" s="73"/>
    </row>
    <row r="924" spans="2:2" ht="13.2" customHeight="1">
      <c r="B924" s="73"/>
    </row>
    <row r="925" spans="2:2" ht="13.2" customHeight="1">
      <c r="B925" s="73"/>
    </row>
    <row r="926" spans="2:2" ht="13.2" customHeight="1">
      <c r="B926" s="73"/>
    </row>
    <row r="927" spans="2:2" ht="13.2" customHeight="1">
      <c r="B927" s="73"/>
    </row>
    <row r="928" spans="2:2" ht="13.2" customHeight="1">
      <c r="B928" s="73"/>
    </row>
    <row r="929" spans="2:2" ht="13.2" customHeight="1">
      <c r="B929" s="73"/>
    </row>
    <row r="930" spans="2:2" ht="13.2" customHeight="1">
      <c r="B930" s="73"/>
    </row>
    <row r="931" spans="2:2" ht="13.2" customHeight="1">
      <c r="B931" s="73"/>
    </row>
    <row r="932" spans="2:2" ht="13.2" customHeight="1">
      <c r="B932" s="73"/>
    </row>
    <row r="933" spans="2:2" ht="13.2" customHeight="1">
      <c r="B933" s="73"/>
    </row>
    <row r="934" spans="2:2" ht="13.2" customHeight="1">
      <c r="B934" s="73"/>
    </row>
    <row r="935" spans="2:2" ht="13.2" customHeight="1">
      <c r="B935" s="73"/>
    </row>
    <row r="936" spans="2:2" ht="13.2" customHeight="1">
      <c r="B936" s="73"/>
    </row>
    <row r="937" spans="2:2" ht="13.2" customHeight="1">
      <c r="B937" s="73"/>
    </row>
    <row r="938" spans="2:2" ht="13.2" customHeight="1">
      <c r="B938" s="73"/>
    </row>
    <row r="939" spans="2:2" ht="13.2" customHeight="1">
      <c r="B939" s="73"/>
    </row>
    <row r="940" spans="2:2" ht="13.2" customHeight="1">
      <c r="B940" s="73"/>
    </row>
    <row r="941" spans="2:2" ht="13.2" customHeight="1">
      <c r="B941" s="73"/>
    </row>
    <row r="942" spans="2:2" ht="13.2" customHeight="1">
      <c r="B942" s="73"/>
    </row>
    <row r="943" spans="2:2" ht="13.2" customHeight="1">
      <c r="B943" s="73"/>
    </row>
    <row r="944" spans="2:2" ht="13.2" customHeight="1">
      <c r="B944" s="73"/>
    </row>
    <row r="945" spans="2:2" ht="13.2" customHeight="1">
      <c r="B945" s="73"/>
    </row>
    <row r="946" spans="2:2" ht="13.2" customHeight="1">
      <c r="B946" s="73"/>
    </row>
    <row r="947" spans="2:2" ht="13.2" customHeight="1">
      <c r="B947" s="73"/>
    </row>
    <row r="948" spans="2:2" ht="13.2" customHeight="1">
      <c r="B948" s="73"/>
    </row>
    <row r="949" spans="2:2" ht="13.2" customHeight="1">
      <c r="B949" s="73"/>
    </row>
    <row r="950" spans="2:2" ht="13.2" customHeight="1">
      <c r="B950" s="73"/>
    </row>
    <row r="951" spans="2:2" ht="13.2" customHeight="1">
      <c r="B951" s="73"/>
    </row>
    <row r="952" spans="2:2" ht="13.2" customHeight="1">
      <c r="B952" s="73"/>
    </row>
    <row r="953" spans="2:2" ht="13.2" customHeight="1">
      <c r="B953" s="73"/>
    </row>
    <row r="954" spans="2:2" ht="13.2" customHeight="1">
      <c r="B954" s="73"/>
    </row>
    <row r="955" spans="2:2" ht="13.2" customHeight="1">
      <c r="B955" s="73"/>
    </row>
    <row r="956" spans="2:2" ht="13.2" customHeight="1">
      <c r="B956" s="73"/>
    </row>
    <row r="957" spans="2:2" ht="13.2" customHeight="1">
      <c r="B957" s="73"/>
    </row>
    <row r="958" spans="2:2" ht="13.2" customHeight="1">
      <c r="B958" s="73"/>
    </row>
    <row r="959" spans="2:2" ht="13.2" customHeight="1">
      <c r="B959" s="73"/>
    </row>
    <row r="960" spans="2:2" ht="13.2" customHeight="1">
      <c r="B960" s="73"/>
    </row>
    <row r="961" spans="2:2" ht="13.2" customHeight="1">
      <c r="B961" s="73"/>
    </row>
    <row r="962" spans="2:2" ht="13.2" customHeight="1">
      <c r="B962" s="73"/>
    </row>
    <row r="963" spans="2:2" ht="13.2" customHeight="1">
      <c r="B963" s="73"/>
    </row>
    <row r="964" spans="2:2" ht="13.2" customHeight="1">
      <c r="B964" s="73"/>
    </row>
    <row r="965" spans="2:2" ht="13.2" customHeight="1">
      <c r="B965" s="73"/>
    </row>
    <row r="966" spans="2:2" ht="13.2" customHeight="1">
      <c r="B966" s="73"/>
    </row>
    <row r="967" spans="2:2" ht="13.2" customHeight="1">
      <c r="B967" s="73"/>
    </row>
    <row r="968" spans="2:2" ht="13.2" customHeight="1">
      <c r="B968" s="73"/>
    </row>
    <row r="969" spans="2:2" ht="13.2" customHeight="1">
      <c r="B969" s="73"/>
    </row>
    <row r="970" spans="2:2" ht="13.2" customHeight="1">
      <c r="B970" s="73"/>
    </row>
    <row r="971" spans="2:2" ht="13.2" customHeight="1">
      <c r="B971" s="73"/>
    </row>
    <row r="972" spans="2:2" ht="13.2" customHeight="1">
      <c r="B972" s="73"/>
    </row>
    <row r="973" spans="2:2" ht="13.2" customHeight="1">
      <c r="B973" s="73"/>
    </row>
    <row r="974" spans="2:2" ht="13.2" customHeight="1">
      <c r="B974" s="73"/>
    </row>
    <row r="975" spans="2:2" ht="13.2" customHeight="1">
      <c r="B975" s="73"/>
    </row>
    <row r="976" spans="2:2" ht="13.2" customHeight="1">
      <c r="B976" s="73"/>
    </row>
    <row r="977" spans="2:2" ht="13.2" customHeight="1">
      <c r="B977" s="73"/>
    </row>
    <row r="978" spans="2:2" ht="13.2" customHeight="1">
      <c r="B978" s="73"/>
    </row>
    <row r="979" spans="2:2" ht="13.2" customHeight="1">
      <c r="B979" s="73"/>
    </row>
    <row r="980" spans="2:2" ht="13.2" customHeight="1">
      <c r="B980" s="73"/>
    </row>
    <row r="981" spans="2:2" ht="13.2" customHeight="1">
      <c r="B981" s="73"/>
    </row>
    <row r="982" spans="2:2" ht="13.2" customHeight="1">
      <c r="B982" s="73"/>
    </row>
    <row r="983" spans="2:2" ht="13.2" customHeight="1">
      <c r="B983" s="73"/>
    </row>
    <row r="984" spans="2:2" ht="13.2" customHeight="1">
      <c r="B984" s="73"/>
    </row>
    <row r="985" spans="2:2" ht="13.2" customHeight="1">
      <c r="B985" s="73"/>
    </row>
    <row r="986" spans="2:2" ht="13.2" customHeight="1">
      <c r="B986" s="73"/>
    </row>
    <row r="987" spans="2:2" ht="13.2" customHeight="1">
      <c r="B987" s="73"/>
    </row>
    <row r="988" spans="2:2" ht="13.2" customHeight="1">
      <c r="B988" s="73"/>
    </row>
    <row r="989" spans="2:2" ht="13.2" customHeight="1">
      <c r="B989" s="73"/>
    </row>
    <row r="990" spans="2:2" ht="13.2" customHeight="1">
      <c r="B990" s="73"/>
    </row>
    <row r="991" spans="2:2" ht="13.2" customHeight="1">
      <c r="B991" s="73"/>
    </row>
    <row r="992" spans="2:2" ht="13.2" customHeight="1">
      <c r="B992" s="73"/>
    </row>
    <row r="993" spans="2:2" ht="13.2" customHeight="1">
      <c r="B993" s="73"/>
    </row>
    <row r="994" spans="2:2" ht="13.2" customHeight="1">
      <c r="B994" s="73"/>
    </row>
    <row r="995" spans="2:2" ht="13.2" customHeight="1">
      <c r="B995" s="73"/>
    </row>
    <row r="996" spans="2:2" ht="13.2" customHeight="1">
      <c r="B996" s="73"/>
    </row>
    <row r="997" spans="2:2" ht="13.2" customHeight="1">
      <c r="B997" s="73"/>
    </row>
    <row r="998" spans="2:2" ht="13.2" customHeight="1">
      <c r="B998" s="73"/>
    </row>
    <row r="999" spans="2:2" ht="13.2" customHeight="1">
      <c r="B999" s="73"/>
    </row>
  </sheetData>
  <mergeCells count="3">
    <mergeCell ref="A1:D1"/>
    <mergeCell ref="A2:A3"/>
    <mergeCell ref="B2:B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I32"/>
  <sheetViews>
    <sheetView workbookViewId="0">
      <pane xSplit="3" topLeftCell="D1" activePane="topRight" state="frozen"/>
      <selection pane="topRight" activeCell="E2" sqref="E2"/>
    </sheetView>
  </sheetViews>
  <sheetFormatPr defaultColWidth="12.6640625" defaultRowHeight="15.75" customHeight="1"/>
  <cols>
    <col min="1" max="1" width="5.33203125" style="323" customWidth="1"/>
    <col min="2" max="2" width="20.109375" style="323" customWidth="1"/>
  </cols>
  <sheetData>
    <row r="1" spans="1:35" ht="15.75" customHeight="1">
      <c r="A1" s="279"/>
      <c r="B1" s="279"/>
      <c r="C1" s="279"/>
      <c r="D1" s="6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ht="15.75" customHeight="1">
      <c r="A2" s="365" t="s">
        <v>0</v>
      </c>
      <c r="B2" s="366" t="s">
        <v>7</v>
      </c>
      <c r="C2" s="364" t="s">
        <v>8</v>
      </c>
      <c r="D2" s="11" t="s">
        <v>9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27"/>
      <c r="AI2" s="7"/>
    </row>
    <row r="3" spans="1:35" ht="15.75" customHeight="1">
      <c r="A3" s="362"/>
      <c r="B3" s="362"/>
      <c r="C3" s="362"/>
      <c r="D3" s="30">
        <v>46204</v>
      </c>
      <c r="E3" s="30">
        <v>46205</v>
      </c>
      <c r="F3" s="30">
        <v>46206</v>
      </c>
      <c r="G3" s="30">
        <v>46207</v>
      </c>
      <c r="H3" s="30">
        <v>46208</v>
      </c>
      <c r="I3" s="30">
        <v>46209</v>
      </c>
      <c r="J3" s="30">
        <v>46210</v>
      </c>
      <c r="K3" s="30">
        <v>46211</v>
      </c>
      <c r="L3" s="30">
        <v>46212</v>
      </c>
      <c r="M3" s="30">
        <v>46213</v>
      </c>
      <c r="N3" s="30">
        <v>46214</v>
      </c>
      <c r="O3" s="30">
        <v>46215</v>
      </c>
      <c r="P3" s="30">
        <v>46216</v>
      </c>
      <c r="Q3" s="30">
        <v>46217</v>
      </c>
      <c r="R3" s="30">
        <v>46218</v>
      </c>
      <c r="S3" s="30">
        <v>46219</v>
      </c>
      <c r="T3" s="30">
        <v>46220</v>
      </c>
      <c r="U3" s="30">
        <v>46221</v>
      </c>
      <c r="V3" s="30">
        <v>46222</v>
      </c>
      <c r="W3" s="30">
        <v>46223</v>
      </c>
      <c r="X3" s="30">
        <v>46224</v>
      </c>
      <c r="Y3" s="30">
        <v>46225</v>
      </c>
      <c r="Z3" s="30">
        <v>46226</v>
      </c>
      <c r="AA3" s="30">
        <v>46227</v>
      </c>
      <c r="AB3" s="30">
        <v>46228</v>
      </c>
      <c r="AC3" s="30">
        <v>46229</v>
      </c>
      <c r="AD3" s="30">
        <v>46230</v>
      </c>
      <c r="AE3" s="30">
        <v>46231</v>
      </c>
      <c r="AF3" s="30">
        <v>46232</v>
      </c>
      <c r="AG3" s="30">
        <v>46233</v>
      </c>
      <c r="AH3" s="30">
        <v>46234</v>
      </c>
      <c r="AI3" s="7"/>
    </row>
    <row r="4" spans="1:35" ht="15.75" customHeight="1">
      <c r="A4" s="281">
        <v>1</v>
      </c>
      <c r="B4" s="259"/>
      <c r="C4" s="259">
        <v>2156</v>
      </c>
      <c r="D4" s="192">
        <v>2893659</v>
      </c>
      <c r="E4" s="193">
        <v>1464966</v>
      </c>
      <c r="F4" s="192">
        <v>1464966</v>
      </c>
      <c r="G4" s="193">
        <v>1840534</v>
      </c>
      <c r="H4" s="194">
        <v>1634820</v>
      </c>
      <c r="I4" s="195">
        <v>2638419</v>
      </c>
      <c r="J4" s="193">
        <v>2474132</v>
      </c>
      <c r="K4" s="193"/>
      <c r="L4" s="192">
        <v>2925100</v>
      </c>
      <c r="M4" s="193"/>
      <c r="N4" s="192">
        <v>7323825</v>
      </c>
      <c r="O4" s="192">
        <v>4032215</v>
      </c>
      <c r="P4" s="193"/>
      <c r="Q4" s="193"/>
      <c r="R4" s="192">
        <v>3664234</v>
      </c>
      <c r="S4" s="193">
        <v>423467</v>
      </c>
      <c r="T4" s="196">
        <v>3680570</v>
      </c>
      <c r="U4" s="192"/>
      <c r="V4" s="193"/>
      <c r="W4" s="193"/>
      <c r="X4" s="197">
        <v>8468912</v>
      </c>
      <c r="Y4" s="197">
        <v>2603753</v>
      </c>
      <c r="Z4" s="193">
        <v>5891161</v>
      </c>
      <c r="AA4" s="198">
        <v>5264558</v>
      </c>
      <c r="AB4" s="199">
        <v>744267</v>
      </c>
      <c r="AC4" s="198">
        <v>5427216</v>
      </c>
      <c r="AD4" s="198">
        <v>594487</v>
      </c>
      <c r="AE4" s="201">
        <v>6765476</v>
      </c>
      <c r="AF4" s="198"/>
      <c r="AG4" s="199"/>
      <c r="AH4" s="198">
        <v>6993785</v>
      </c>
      <c r="AI4" s="42"/>
    </row>
    <row r="5" spans="1:35" ht="15.75" customHeight="1">
      <c r="A5" s="281">
        <v>2</v>
      </c>
      <c r="B5" s="259"/>
      <c r="C5" s="259">
        <v>740</v>
      </c>
      <c r="D5" s="193">
        <v>956151</v>
      </c>
      <c r="E5" s="193">
        <v>4429092</v>
      </c>
      <c r="F5" s="193">
        <v>1116418</v>
      </c>
      <c r="G5" s="193">
        <v>4595385</v>
      </c>
      <c r="H5" s="193"/>
      <c r="I5" s="193"/>
      <c r="J5" s="193">
        <v>4595385</v>
      </c>
      <c r="K5" s="193"/>
      <c r="L5" s="193">
        <v>2474132</v>
      </c>
      <c r="M5" s="193"/>
      <c r="N5" s="193"/>
      <c r="O5" s="201">
        <v>3711550</v>
      </c>
      <c r="P5" s="193"/>
      <c r="Q5" s="193"/>
      <c r="R5" s="193">
        <v>3499122</v>
      </c>
      <c r="S5" s="193">
        <v>846934</v>
      </c>
      <c r="T5" s="193"/>
      <c r="U5" s="193"/>
      <c r="V5" s="193"/>
      <c r="W5" s="193"/>
      <c r="X5" s="193">
        <v>3205511</v>
      </c>
      <c r="Y5" s="193">
        <v>2168124</v>
      </c>
      <c r="Z5" s="198">
        <v>4845688</v>
      </c>
      <c r="AA5" s="198">
        <v>4770541</v>
      </c>
      <c r="AB5" s="199">
        <v>655265</v>
      </c>
      <c r="AC5" s="199"/>
      <c r="AD5" s="198">
        <v>1188975</v>
      </c>
      <c r="AE5" s="198"/>
      <c r="AF5" s="198"/>
      <c r="AG5" s="199"/>
      <c r="AH5" s="198">
        <v>604577</v>
      </c>
      <c r="AI5" s="42"/>
    </row>
    <row r="6" spans="1:35" ht="15.75" customHeight="1">
      <c r="A6" s="281">
        <v>3</v>
      </c>
      <c r="B6" s="259"/>
      <c r="C6" s="259"/>
      <c r="D6" s="193">
        <v>568912</v>
      </c>
      <c r="E6" s="193"/>
      <c r="F6" s="193">
        <v>606527</v>
      </c>
      <c r="G6" s="193"/>
      <c r="H6" s="193"/>
      <c r="I6" s="193"/>
      <c r="J6" s="193">
        <v>2877317</v>
      </c>
      <c r="K6" s="193"/>
      <c r="L6" s="193"/>
      <c r="M6" s="193"/>
      <c r="N6" s="193"/>
      <c r="O6" s="193"/>
      <c r="P6" s="193"/>
      <c r="Q6" s="193"/>
      <c r="R6" s="193"/>
      <c r="S6" s="193">
        <v>2117343</v>
      </c>
      <c r="T6" s="193"/>
      <c r="U6" s="193"/>
      <c r="V6" s="193"/>
      <c r="W6" s="193"/>
      <c r="X6" s="193"/>
      <c r="Y6" s="42"/>
      <c r="Z6" s="201"/>
      <c r="AA6" s="198"/>
      <c r="AB6" s="201"/>
      <c r="AC6" s="203"/>
      <c r="AD6" s="203">
        <v>2377949</v>
      </c>
      <c r="AE6" s="198"/>
      <c r="AF6" s="201"/>
      <c r="AG6" s="42"/>
      <c r="AH6" s="201"/>
      <c r="AI6" s="42"/>
    </row>
    <row r="7" spans="1:35" ht="15.75" customHeight="1">
      <c r="A7" s="281">
        <v>4</v>
      </c>
      <c r="B7" s="259"/>
      <c r="C7" s="259"/>
      <c r="D7" s="193"/>
      <c r="E7" s="193"/>
      <c r="F7" s="193"/>
      <c r="G7" s="193"/>
      <c r="H7" s="193"/>
      <c r="I7" s="193"/>
      <c r="J7" s="193"/>
      <c r="K7" s="193"/>
      <c r="L7" s="193"/>
      <c r="M7" s="193"/>
      <c r="N7" s="193"/>
      <c r="O7" s="203"/>
      <c r="P7" s="193"/>
      <c r="Q7" s="193"/>
      <c r="R7" s="193"/>
      <c r="S7" s="193">
        <v>3690963</v>
      </c>
      <c r="T7" s="193"/>
      <c r="U7" s="193"/>
      <c r="V7" s="193"/>
      <c r="W7" s="193"/>
      <c r="X7" s="193"/>
      <c r="Y7" s="201"/>
      <c r="Z7" s="201"/>
      <c r="AA7" s="201"/>
      <c r="AB7" s="198"/>
      <c r="AC7" s="201"/>
      <c r="AD7" s="203"/>
      <c r="AE7" s="199"/>
      <c r="AF7" s="201"/>
      <c r="AG7" s="204"/>
      <c r="AH7" s="201"/>
      <c r="AI7" s="42"/>
    </row>
    <row r="8" spans="1:35" ht="15.75" customHeight="1">
      <c r="A8" s="46" t="s">
        <v>10</v>
      </c>
      <c r="B8" s="47"/>
      <c r="C8" s="47">
        <f>+D8+E8+F8+G8+H8+I8+J8+K8+L8+M8+N8+O8++P8+Q8+R8+S8+T8+U8+V8+W8+X8+Y8+Z8+AA8+AB8+AC8+AD8+AE8+AF8+AG8+AH8</f>
        <v>114284079.99999997</v>
      </c>
      <c r="D8" s="47">
        <f>SUM(D4:D7) /1.1</f>
        <v>4017019.9999999995</v>
      </c>
      <c r="E8" s="47">
        <f>SUM(E4:E7) /1.1</f>
        <v>5358234.5454545449</v>
      </c>
      <c r="F8" s="47">
        <f>SUM(F4:F7) /1.1</f>
        <v>2898100.9090909087</v>
      </c>
      <c r="G8" s="47">
        <f>SUM(G4:G7) /1.1</f>
        <v>5850835.4545454541</v>
      </c>
      <c r="H8" s="47">
        <f>SUM(H4:H7) /1.1</f>
        <v>1486199.9999999998</v>
      </c>
      <c r="I8" s="47">
        <f>SUM(I5:I7) /1.1</f>
        <v>0</v>
      </c>
      <c r="J8" s="47">
        <f t="shared" ref="J8:AD8" si="0">SUM(J4:J7) /1.1</f>
        <v>9042576.3636363633</v>
      </c>
      <c r="K8" s="47">
        <f t="shared" si="0"/>
        <v>0</v>
      </c>
      <c r="L8" s="47">
        <f t="shared" si="0"/>
        <v>4908392.7272727266</v>
      </c>
      <c r="M8" s="47">
        <f t="shared" si="0"/>
        <v>0</v>
      </c>
      <c r="N8" s="47">
        <f t="shared" si="0"/>
        <v>6658022.7272727266</v>
      </c>
      <c r="O8" s="47">
        <f t="shared" si="0"/>
        <v>7039786.3636363633</v>
      </c>
      <c r="P8" s="47">
        <f t="shared" si="0"/>
        <v>0</v>
      </c>
      <c r="Q8" s="47">
        <f t="shared" si="0"/>
        <v>0</v>
      </c>
      <c r="R8" s="47">
        <f t="shared" si="0"/>
        <v>6512141.8181818174</v>
      </c>
      <c r="S8" s="47">
        <f t="shared" si="0"/>
        <v>6435188.1818181816</v>
      </c>
      <c r="T8" s="47">
        <f t="shared" si="0"/>
        <v>3345972.7272727271</v>
      </c>
      <c r="U8" s="47">
        <f t="shared" si="0"/>
        <v>0</v>
      </c>
      <c r="V8" s="47">
        <f t="shared" si="0"/>
        <v>0</v>
      </c>
      <c r="W8" s="47">
        <f t="shared" si="0"/>
        <v>0</v>
      </c>
      <c r="X8" s="47">
        <f t="shared" si="0"/>
        <v>10613111.818181816</v>
      </c>
      <c r="Y8" s="47">
        <f t="shared" si="0"/>
        <v>4338070</v>
      </c>
      <c r="Z8" s="47">
        <f t="shared" si="0"/>
        <v>9760771.8181818165</v>
      </c>
      <c r="AA8" s="47">
        <f t="shared" si="0"/>
        <v>9122817.2727272715</v>
      </c>
      <c r="AB8" s="47">
        <f t="shared" si="0"/>
        <v>1272301.8181818181</v>
      </c>
      <c r="AC8" s="47">
        <f t="shared" si="0"/>
        <v>4933832.7272727266</v>
      </c>
      <c r="AD8" s="47">
        <f t="shared" si="0"/>
        <v>3783100.9090909087</v>
      </c>
      <c r="AE8" s="47">
        <f>SUM(AE5:AE7) /1.1</f>
        <v>0</v>
      </c>
      <c r="AF8" s="47">
        <f>SUM(AF4:AF7) /1.1</f>
        <v>0</v>
      </c>
      <c r="AG8" s="47">
        <f>SUM(AG4:AG7) /1.1</f>
        <v>0</v>
      </c>
      <c r="AH8" s="47">
        <f>SUM(AH4:AH7) /1.1</f>
        <v>6907601.8181818174</v>
      </c>
      <c r="AI8" s="42"/>
    </row>
    <row r="9" spans="1:35" ht="15.75" customHeight="1">
      <c r="A9" s="279" t="s">
        <v>11</v>
      </c>
      <c r="B9" s="279"/>
      <c r="C9" s="279"/>
      <c r="D9" s="6"/>
      <c r="E9" s="279"/>
      <c r="F9" s="279"/>
      <c r="G9" s="279"/>
      <c r="H9" s="279"/>
      <c r="I9" s="279"/>
      <c r="J9" s="279"/>
      <c r="K9" s="279"/>
      <c r="L9" s="279"/>
      <c r="M9" s="279"/>
      <c r="N9" s="279"/>
      <c r="O9" s="279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spans="1:35" ht="15.75" customHeight="1">
      <c r="A10" s="67" t="s">
        <v>12</v>
      </c>
      <c r="B10" s="279"/>
      <c r="C10" s="279"/>
      <c r="D10" s="70">
        <f t="shared" ref="D10:AH10" si="1">D8-D9</f>
        <v>4017019.9999999995</v>
      </c>
      <c r="E10" s="70">
        <f t="shared" si="1"/>
        <v>5358234.5454545449</v>
      </c>
      <c r="F10" s="70">
        <f t="shared" si="1"/>
        <v>2898100.9090909087</v>
      </c>
      <c r="G10" s="70">
        <f t="shared" si="1"/>
        <v>5850835.4545454541</v>
      </c>
      <c r="H10" s="70">
        <f t="shared" si="1"/>
        <v>1486199.9999999998</v>
      </c>
      <c r="I10" s="70">
        <f t="shared" si="1"/>
        <v>0</v>
      </c>
      <c r="J10" s="70">
        <f t="shared" si="1"/>
        <v>9042576.3636363633</v>
      </c>
      <c r="K10" s="70">
        <f t="shared" si="1"/>
        <v>0</v>
      </c>
      <c r="L10" s="70">
        <f t="shared" si="1"/>
        <v>4908392.7272727266</v>
      </c>
      <c r="M10" s="70">
        <f t="shared" si="1"/>
        <v>0</v>
      </c>
      <c r="N10" s="70">
        <f t="shared" si="1"/>
        <v>6658022.7272727266</v>
      </c>
      <c r="O10" s="70">
        <f t="shared" si="1"/>
        <v>7039786.3636363633</v>
      </c>
      <c r="P10" s="70">
        <f t="shared" si="1"/>
        <v>0</v>
      </c>
      <c r="Q10" s="70">
        <f t="shared" si="1"/>
        <v>0</v>
      </c>
      <c r="R10" s="70">
        <f t="shared" si="1"/>
        <v>6512141.8181818174</v>
      </c>
      <c r="S10" s="70">
        <f t="shared" si="1"/>
        <v>6435188.1818181816</v>
      </c>
      <c r="T10" s="70">
        <f t="shared" si="1"/>
        <v>3345972.7272727271</v>
      </c>
      <c r="U10" s="70">
        <f t="shared" si="1"/>
        <v>0</v>
      </c>
      <c r="V10" s="70">
        <f t="shared" si="1"/>
        <v>0</v>
      </c>
      <c r="W10" s="70">
        <f t="shared" si="1"/>
        <v>0</v>
      </c>
      <c r="X10" s="70">
        <f t="shared" si="1"/>
        <v>10613111.818181816</v>
      </c>
      <c r="Y10" s="70">
        <f t="shared" si="1"/>
        <v>4338070</v>
      </c>
      <c r="Z10" s="70">
        <f t="shared" si="1"/>
        <v>9760771.8181818165</v>
      </c>
      <c r="AA10" s="70">
        <f t="shared" si="1"/>
        <v>9122817.2727272715</v>
      </c>
      <c r="AB10" s="70">
        <f t="shared" si="1"/>
        <v>1272301.8181818181</v>
      </c>
      <c r="AC10" s="70">
        <f t="shared" si="1"/>
        <v>4933832.7272727266</v>
      </c>
      <c r="AD10" s="70">
        <f t="shared" si="1"/>
        <v>3783100.9090909087</v>
      </c>
      <c r="AE10" s="70">
        <f t="shared" si="1"/>
        <v>0</v>
      </c>
      <c r="AF10" s="70">
        <f t="shared" si="1"/>
        <v>0</v>
      </c>
      <c r="AG10" s="70">
        <f t="shared" si="1"/>
        <v>0</v>
      </c>
      <c r="AH10" s="70">
        <f t="shared" si="1"/>
        <v>6907601.8181818174</v>
      </c>
      <c r="AI10" s="7"/>
    </row>
    <row r="13" spans="1:35" ht="13.8">
      <c r="B13" s="74" t="s">
        <v>13</v>
      </c>
      <c r="D13" s="74"/>
    </row>
    <row r="14" spans="1:35" ht="15.75" customHeight="1">
      <c r="B14" s="75" t="s">
        <v>14</v>
      </c>
      <c r="C14" s="75" t="s">
        <v>15</v>
      </c>
      <c r="D14" s="75" t="s">
        <v>16</v>
      </c>
      <c r="E14" s="76" t="s">
        <v>17</v>
      </c>
      <c r="G14" s="325" t="s">
        <v>18</v>
      </c>
    </row>
    <row r="15" spans="1:35" ht="13.2">
      <c r="B15" s="54"/>
      <c r="C15" s="54"/>
      <c r="D15" s="54"/>
      <c r="E15" s="54"/>
    </row>
    <row r="16" spans="1:35" ht="13.2" customHeight="1">
      <c r="B16" s="54"/>
      <c r="C16" s="54"/>
      <c r="D16" s="54"/>
      <c r="E16" s="54"/>
    </row>
    <row r="17" spans="2:5" ht="13.2" customHeight="1">
      <c r="B17" s="54"/>
      <c r="C17" s="54"/>
      <c r="D17" s="54"/>
      <c r="E17" s="54"/>
    </row>
    <row r="18" spans="2:5" ht="13.2" customHeight="1">
      <c r="B18" s="54"/>
      <c r="C18" s="54"/>
      <c r="D18" s="54"/>
      <c r="E18" s="54"/>
    </row>
    <row r="19" spans="2:5" ht="13.2" customHeight="1">
      <c r="B19" s="54"/>
      <c r="C19" s="54"/>
      <c r="D19" s="54"/>
      <c r="E19" s="54"/>
    </row>
    <row r="20" spans="2:5" ht="13.2" customHeight="1">
      <c r="B20" s="54"/>
      <c r="C20" s="54"/>
      <c r="D20" s="54"/>
      <c r="E20" s="54"/>
    </row>
    <row r="21" spans="2:5" ht="13.2" customHeight="1">
      <c r="B21" s="54"/>
      <c r="C21" s="54"/>
      <c r="D21" s="54"/>
      <c r="E21" s="54"/>
    </row>
    <row r="22" spans="2:5" ht="13.2" customHeight="1">
      <c r="B22" s="54"/>
      <c r="C22" s="54"/>
      <c r="D22" s="54"/>
      <c r="E22" s="54"/>
    </row>
    <row r="23" spans="2:5" ht="13.2" customHeight="1">
      <c r="B23" s="54"/>
      <c r="C23" s="54"/>
      <c r="D23" s="54"/>
      <c r="E23" s="54"/>
    </row>
    <row r="24" spans="2:5" ht="13.2" customHeight="1">
      <c r="B24" s="54"/>
      <c r="C24" s="54"/>
      <c r="D24" s="54"/>
      <c r="E24" s="54"/>
    </row>
    <row r="25" spans="2:5" ht="13.2" customHeight="1">
      <c r="B25" s="54"/>
      <c r="C25" s="54"/>
      <c r="D25" s="54"/>
      <c r="E25" s="54"/>
    </row>
    <row r="26" spans="2:5" ht="13.2" customHeight="1">
      <c r="B26" s="54"/>
      <c r="C26" s="54"/>
      <c r="D26" s="54"/>
      <c r="E26" s="54"/>
    </row>
    <row r="27" spans="2:5" ht="13.2" customHeight="1">
      <c r="B27" s="54"/>
      <c r="C27" s="54"/>
      <c r="D27" s="54"/>
      <c r="E27" s="54"/>
    </row>
    <row r="28" spans="2:5" ht="13.2" customHeight="1">
      <c r="B28" s="54"/>
      <c r="C28" s="54"/>
      <c r="D28" s="54"/>
      <c r="E28" s="54"/>
    </row>
    <row r="29" spans="2:5" ht="13.2" customHeight="1">
      <c r="B29" s="54"/>
      <c r="C29" s="54"/>
      <c r="D29" s="54"/>
      <c r="E29" s="54"/>
    </row>
    <row r="30" spans="2:5" ht="13.2" customHeight="1">
      <c r="B30" s="54"/>
      <c r="C30" s="54"/>
      <c r="D30" s="54"/>
      <c r="E30" s="54"/>
    </row>
    <row r="31" spans="2:5" ht="13.2" customHeight="1">
      <c r="B31" s="54"/>
      <c r="C31" s="54"/>
      <c r="D31" s="54"/>
      <c r="E31" s="54"/>
    </row>
    <row r="32" spans="2:5" ht="13.2" customHeight="1">
      <c r="B32" s="54"/>
      <c r="C32" s="54"/>
      <c r="D32" s="54"/>
      <c r="E32" s="54"/>
    </row>
  </sheetData>
  <mergeCells count="3">
    <mergeCell ref="C2:C3"/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Mẫu T</vt:lpstr>
      <vt:lpstr>Mẫu CT</vt:lpstr>
      <vt:lpstr>Thông tin ADS </vt:lpstr>
      <vt:lpstr>Kế hoạch tiêu $</vt:lpstr>
      <vt:lpstr>Tổng tuần</vt:lpstr>
      <vt:lpstr>BC hàng ngày</vt:lpstr>
      <vt:lpstr>NH Anh T</vt:lpstr>
      <vt:lpstr>NH Anh CT</vt:lpstr>
      <vt:lpstr>BQ Anh T</vt:lpstr>
      <vt:lpstr>BQ Anh CT</vt:lpstr>
      <vt:lpstr>TQ Huy T</vt:lpstr>
      <vt:lpstr>TQ Huy  CT</vt:lpstr>
      <vt:lpstr>PT Hải T</vt:lpstr>
      <vt:lpstr>PT Hải CT</vt:lpstr>
      <vt:lpstr>NV Lý T</vt:lpstr>
      <vt:lpstr>NV Lý CT</vt:lpstr>
      <vt:lpstr>ĐQ Anh T</vt:lpstr>
      <vt:lpstr>ĐQ Anh CT</vt:lpstr>
      <vt:lpstr>NT Thưởng T</vt:lpstr>
      <vt:lpstr>NT Thưởng 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2026-08-09T17:44:06Z</dcterms:created>
  <dcterms:modified xsi:type="dcterms:W3CDTF">2026-08-10T10:54:50Z</dcterms:modified>
</cp:coreProperties>
</file>