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7256" windowHeight="5736" tabRatio="600" firstSheet="0" activeTab="7" autoFilterDateGrouping="1"/>
  </bookViews>
  <sheets>
    <sheet xmlns:r="http://schemas.openxmlformats.org/officeDocument/2006/relationships" name="Mẫu T" sheetId="1" state="visible" r:id="rId1"/>
    <sheet xmlns:r="http://schemas.openxmlformats.org/officeDocument/2006/relationships" name="Mẫu CT" sheetId="2" state="visible" r:id="rId2"/>
    <sheet xmlns:r="http://schemas.openxmlformats.org/officeDocument/2006/relationships" name="Thông tin ADS " sheetId="3" state="visible" r:id="rId3"/>
    <sheet xmlns:r="http://schemas.openxmlformats.org/officeDocument/2006/relationships" name="Kế hoạch tiêu $" sheetId="4" state="visible" r:id="rId4"/>
    <sheet xmlns:r="http://schemas.openxmlformats.org/officeDocument/2006/relationships" name="Tổng tuần" sheetId="5" state="visible" r:id="rId5"/>
    <sheet xmlns:r="http://schemas.openxmlformats.org/officeDocument/2006/relationships" name="BC hàng ngày" sheetId="6" state="visible" r:id="rId6"/>
    <sheet xmlns:r="http://schemas.openxmlformats.org/officeDocument/2006/relationships" name="NH Anh T" sheetId="7" state="visible" r:id="rId7"/>
    <sheet xmlns:r="http://schemas.openxmlformats.org/officeDocument/2006/relationships" name="NH Anh CT" sheetId="8" state="visible" r:id="rId8"/>
    <sheet xmlns:r="http://schemas.openxmlformats.org/officeDocument/2006/relationships" name="BQ Anh T" sheetId="9" state="visible" r:id="rId9"/>
    <sheet xmlns:r="http://schemas.openxmlformats.org/officeDocument/2006/relationships" name="BQ Anh CT" sheetId="10" state="visible" r:id="rId10"/>
    <sheet xmlns:r="http://schemas.openxmlformats.org/officeDocument/2006/relationships" name="TQ Huy T" sheetId="11" state="visible" r:id="rId11"/>
    <sheet xmlns:r="http://schemas.openxmlformats.org/officeDocument/2006/relationships" name="TQ Huy  CT" sheetId="12" state="visible" r:id="rId12"/>
    <sheet xmlns:r="http://schemas.openxmlformats.org/officeDocument/2006/relationships" name="PT Hải T" sheetId="13" state="visible" r:id="rId13"/>
    <sheet xmlns:r="http://schemas.openxmlformats.org/officeDocument/2006/relationships" name="PT Hải CT" sheetId="14" state="visible" r:id="rId14"/>
    <sheet xmlns:r="http://schemas.openxmlformats.org/officeDocument/2006/relationships" name="NV Lý T" sheetId="15" state="visible" r:id="rId15"/>
    <sheet xmlns:r="http://schemas.openxmlformats.org/officeDocument/2006/relationships" name="NV Lý CT" sheetId="16" state="visible" r:id="rId16"/>
    <sheet xmlns:r="http://schemas.openxmlformats.org/officeDocument/2006/relationships" name="ĐQ Anh T" sheetId="17" state="visible" r:id="rId17"/>
    <sheet xmlns:r="http://schemas.openxmlformats.org/officeDocument/2006/relationships" name="ĐQ Anh CT" sheetId="18" state="visible" r:id="rId18"/>
    <sheet xmlns:r="http://schemas.openxmlformats.org/officeDocument/2006/relationships" name="NT Thưởng T" sheetId="19" state="visible" r:id="rId19"/>
    <sheet xmlns:r="http://schemas.openxmlformats.org/officeDocument/2006/relationships" name="NT Thưởng CT" sheetId="20" state="visible" r:id="rId20"/>
  </sheets>
  <definedNames/>
  <calcPr calcId="162913" fullCalcOnLoad="1"/>
</workbook>
</file>

<file path=xl/styles.xml><?xml version="1.0" encoding="utf-8"?>
<styleSheet xmlns="http://schemas.openxmlformats.org/spreadsheetml/2006/main">
  <numFmts count="6">
    <numFmt numFmtId="164" formatCode="_(* #,##0_);_(* \(#,##0\);_(* &quot;-&quot;??_);_(@_)"/>
    <numFmt numFmtId="165" formatCode="#,##0\ [$đ-42A]"/>
    <numFmt numFmtId="166" formatCode="0.0%"/>
    <numFmt numFmtId="167" formatCode="#,##0[$ ₫]"/>
    <numFmt numFmtId="168" formatCode="d\ &quot;Tháng &quot;m\,\ yyyy"/>
    <numFmt numFmtId="169" formatCode="#,##0&quot;₫&quot;"/>
  </numFmts>
  <fonts count="74">
    <font>
      <name val="Arial"/>
      <color rgb="FF000000"/>
      <sz val="10"/>
      <scheme val="minor"/>
    </font>
    <font>
      <name val="Arial"/>
      <b val="1"/>
      <color theme="1"/>
      <sz val="13"/>
      <scheme val="minor"/>
    </font>
    <font>
      <name val="Times New Roman"/>
      <b val="1"/>
      <color rgb="FFFF0000"/>
      <sz val="10"/>
    </font>
    <font>
      <name val="Arial"/>
      <color theme="1"/>
      <sz val="10"/>
      <scheme val="minor"/>
    </font>
    <font>
      <name val="Arial"/>
      <sz val="10"/>
    </font>
    <font>
      <name val="Calibri"/>
      <color theme="1"/>
      <sz val="11"/>
    </font>
    <font>
      <name val="Calibri"/>
      <color rgb="FFFF0000"/>
      <sz val="11"/>
    </font>
    <font>
      <name val="Arial"/>
      <b val="1"/>
      <color theme="1"/>
      <sz val="12"/>
      <scheme val="minor"/>
    </font>
    <font>
      <name val="Arial"/>
      <b val="1"/>
      <color rgb="FFFF0000"/>
      <sz val="10"/>
      <scheme val="minor"/>
    </font>
    <font>
      <name val="Arial"/>
      <color theme="1"/>
      <sz val="10"/>
      <scheme val="minor"/>
    </font>
    <font>
      <name val="Times New Roman"/>
      <b val="1"/>
      <color theme="1"/>
      <sz val="11"/>
    </font>
    <font>
      <name val="Times New Roman"/>
      <b val="1"/>
      <color rgb="FFFF0000"/>
      <sz val="16"/>
    </font>
    <font>
      <name val="Times New Roman"/>
      <b val="1"/>
      <color theme="1"/>
      <sz val="14"/>
    </font>
    <font>
      <name val="Arial"/>
      <color rgb="FF0000FF"/>
      <sz val="10"/>
      <u val="single"/>
    </font>
    <font>
      <name val="Arial"/>
      <b val="1"/>
      <color theme="1"/>
      <sz val="11"/>
      <scheme val="minor"/>
    </font>
    <font>
      <name val="Times New Roman"/>
      <color theme="1"/>
      <sz val="10"/>
    </font>
    <font>
      <name val="Arial"/>
      <color rgb="FF0000FF"/>
      <sz val="10"/>
      <u val="single"/>
    </font>
    <font>
      <name val="Merriweather"/>
      <b val="1"/>
      <color rgb="FFFF0000"/>
      <sz val="10"/>
    </font>
    <font>
      <name val="Arial"/>
      <color rgb="FF101828"/>
      <sz val="11"/>
    </font>
    <font>
      <name val="Times New Roman"/>
      <b val="1"/>
      <color theme="1"/>
      <sz val="12"/>
    </font>
    <font>
      <name val="Arial"/>
      <color rgb="FF0000FF"/>
      <sz val="10"/>
      <u val="single"/>
    </font>
    <font>
      <name val="Times New Roman"/>
      <color theme="1"/>
      <sz val="11"/>
    </font>
    <font>
      <name val="Arial"/>
      <color rgb="FF1C2B33"/>
      <sz val="11"/>
    </font>
    <font>
      <name val="Roboto"/>
      <color theme="1"/>
      <sz val="11"/>
    </font>
    <font>
      <name val="Arial"/>
      <color rgb="FF0000FF"/>
      <sz val="10"/>
      <u val="single"/>
    </font>
    <font>
      <name val="Arial"/>
      <color theme="1"/>
      <sz val="11"/>
      <scheme val="minor"/>
    </font>
    <font>
      <name val="Arial"/>
      <b val="1"/>
      <color rgb="FFFF0000"/>
      <sz val="11"/>
      <scheme val="minor"/>
    </font>
    <font>
      <name val="Arial"/>
      <color rgb="FFFF0000"/>
      <sz val="11"/>
      <scheme val="minor"/>
    </font>
    <font>
      <name val="Arial"/>
      <color rgb="FF1155CC"/>
      <sz val="10"/>
      <u val="single"/>
    </font>
    <font>
      <name val="Arial"/>
      <b val="1"/>
      <color rgb="FF1C2B33"/>
      <sz val="11"/>
      <scheme val="minor"/>
    </font>
    <font>
      <name val="Arial"/>
      <color rgb="FF0000FF"/>
      <sz val="10"/>
      <u val="single"/>
    </font>
    <font>
      <name val="&quot;Google Sans&quot;"/>
      <b val="1"/>
      <color rgb="FF1F1F1F"/>
      <sz val="11"/>
    </font>
    <font>
      <name val="Arial"/>
      <b val="1"/>
      <color rgb="FFFF00FF"/>
      <sz val="13"/>
      <scheme val="minor"/>
    </font>
    <font>
      <name val="Arial"/>
      <color rgb="FFFF00FF"/>
      <sz val="13"/>
      <scheme val="minor"/>
    </font>
    <font>
      <name val="Arial"/>
      <color rgb="FF0000FF"/>
      <sz val="10"/>
      <u val="single"/>
    </font>
    <font>
      <name val="Arial"/>
      <color rgb="FF0000FF"/>
      <sz val="10"/>
      <u val="single"/>
    </font>
    <font>
      <name val="Arial"/>
      <b val="1"/>
      <color theme="1"/>
      <sz val="10"/>
      <scheme val="minor"/>
    </font>
    <font>
      <name val="Arial"/>
      <color rgb="FF0000FF"/>
      <sz val="10"/>
      <u val="single"/>
    </font>
    <font>
      <name val="Arial"/>
      <color rgb="FF0000FF"/>
      <sz val="10"/>
      <u val="single"/>
    </font>
    <font>
      <name val="Arial"/>
      <color rgb="FF0000FF"/>
      <sz val="10"/>
      <u val="single"/>
    </font>
    <font>
      <name val="Arial"/>
      <color rgb="FF0000FF"/>
      <sz val="10"/>
      <u val="single"/>
    </font>
    <font>
      <name val="Arial"/>
      <color rgb="FF0000FF"/>
      <sz val="10"/>
      <u val="single"/>
    </font>
    <font>
      <name val="Arial"/>
      <color rgb="FF0000FF"/>
      <sz val="10"/>
      <u val="single"/>
    </font>
    <font>
      <name val="Arial"/>
      <color rgb="FF0000FF"/>
      <sz val="10"/>
      <u val="single"/>
    </font>
    <font>
      <name val="Arial"/>
      <color rgb="FFFF0000"/>
      <sz val="10"/>
      <scheme val="minor"/>
    </font>
    <font>
      <name val="Arial"/>
      <b val="1"/>
      <color rgb="FFFF00FF"/>
      <sz val="10"/>
      <scheme val="minor"/>
    </font>
    <font>
      <name val="Arial"/>
      <color rgb="FFFF00FF"/>
      <sz val="10"/>
      <scheme val="minor"/>
    </font>
    <font>
      <name val="Times New Roman"/>
      <b val="1"/>
      <color rgb="FFFF0000"/>
      <sz val="11"/>
    </font>
    <font>
      <name val="Times New Roman"/>
      <color rgb="FFFF0000"/>
      <sz val="11"/>
    </font>
    <font>
      <name val="Times New Roman"/>
      <color rgb="FF101828"/>
      <sz val="11"/>
    </font>
    <font>
      <name val="Calibri"/>
      <b val="1"/>
      <color theme="1"/>
      <sz val="11"/>
    </font>
    <font>
      <name val="Calibri"/>
      <b val="1"/>
      <color theme="1"/>
      <sz val="12"/>
    </font>
    <font>
      <name val="Calibri"/>
      <b val="1"/>
      <color rgb="FFFF0000"/>
      <sz val="12"/>
    </font>
    <font>
      <name val="Arial"/>
      <b val="1"/>
      <color rgb="FFFF0000"/>
      <sz val="11"/>
      <u val="single"/>
    </font>
    <font>
      <name val="Arial"/>
      <color rgb="FF0000FF"/>
      <sz val="10"/>
      <u val="single"/>
    </font>
    <font>
      <name val="Arial"/>
      <b val="1"/>
      <i val="1"/>
      <color theme="1"/>
      <sz val="10"/>
      <scheme val="minor"/>
    </font>
    <font>
      <name val="Arial"/>
      <color rgb="FF000000"/>
      <sz val="11"/>
    </font>
    <font>
      <name val="Arial"/>
      <i val="1"/>
      <color theme="1"/>
      <sz val="10"/>
      <scheme val="minor"/>
    </font>
    <font>
      <name val="Arial"/>
      <i val="1"/>
      <color theme="1"/>
      <sz val="10"/>
      <scheme val="minor"/>
    </font>
    <font>
      <name val="Times New Roman"/>
      <b val="1"/>
      <i val="1"/>
      <color theme="1"/>
      <sz val="11"/>
    </font>
    <font>
      <name val="Arial"/>
      <i val="1"/>
      <color rgb="FF101828"/>
      <sz val="11"/>
    </font>
    <font>
      <name val="Arial"/>
      <color rgb="FF0000FF"/>
      <sz val="10"/>
      <u val="single"/>
    </font>
    <font>
      <name val="Arial"/>
      <color rgb="FF000000"/>
      <sz val="10"/>
    </font>
    <font>
      <name val="Arial"/>
      <i val="1"/>
      <color rgb="FF000000"/>
      <sz val="10"/>
    </font>
    <font>
      <name val="Arial"/>
      <i val="1"/>
      <color rgb="FF1C2B33"/>
      <sz val="10"/>
    </font>
    <font>
      <name val="&quot;Optimistic 95&quot;"/>
      <color rgb="FF1C2B33"/>
      <sz val="11"/>
    </font>
    <font>
      <name val="-apple-system-body"/>
      <color rgb="FF000000"/>
      <sz val="10"/>
    </font>
    <font>
      <name val="Arial"/>
      <b val="1"/>
      <color rgb="FF101828"/>
      <sz val="11"/>
    </font>
    <font>
      <name val="Arial"/>
      <b val="1"/>
      <color rgb="FF000000"/>
      <sz val="11"/>
    </font>
    <font>
      <name val="Arial"/>
      <color rgb="FFFFFFFF"/>
      <sz val="11"/>
    </font>
    <font>
      <name val="Arial"/>
      <color theme="1"/>
      <sz val="10"/>
      <u val="single"/>
      <scheme val="minor"/>
    </font>
    <font>
      <name val="Arial"/>
      <color rgb="FF465A69"/>
      <sz val="10"/>
      <scheme val="minor"/>
    </font>
    <font>
      <name val="&quot;Optimistic 95&quot;"/>
      <color rgb="FF465A69"/>
      <sz val="9"/>
    </font>
    <font>
      <name val="Times New Roman"/>
      <b val="1"/>
      <color rgb="FFFF0000"/>
      <sz val="14"/>
    </font>
  </fonts>
  <fills count="29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  <fill>
      <patternFill patternType="solid">
        <fgColor rgb="FF6AA84F"/>
        <bgColor rgb="FF6AA84F"/>
      </patternFill>
    </fill>
    <fill>
      <patternFill patternType="solid">
        <fgColor rgb="FFFFFF00"/>
        <bgColor rgb="FFFFFF00"/>
      </patternFill>
    </fill>
    <fill>
      <patternFill patternType="solid">
        <fgColor rgb="FFFFE599"/>
        <bgColor rgb="FFFFE599"/>
      </patternFill>
    </fill>
    <fill>
      <patternFill patternType="solid">
        <fgColor rgb="FF00B0F0"/>
        <bgColor rgb="FF00B0F0"/>
      </patternFill>
    </fill>
    <fill>
      <patternFill patternType="solid">
        <fgColor rgb="FFED7D31"/>
        <bgColor rgb="FFED7D31"/>
      </patternFill>
    </fill>
    <fill>
      <patternFill patternType="solid">
        <fgColor rgb="FFFEF2CB"/>
        <bgColor rgb="FFFEF2CB"/>
      </patternFill>
    </fill>
    <fill>
      <patternFill patternType="solid">
        <fgColor rgb="FFF3F3F3"/>
        <bgColor rgb="FFF3F3F3"/>
      </patternFill>
    </fill>
    <fill>
      <patternFill patternType="solid">
        <fgColor rgb="FFDEEAF6"/>
        <bgColor rgb="FFDEEAF6"/>
      </patternFill>
    </fill>
    <fill>
      <patternFill patternType="solid">
        <fgColor rgb="FFFF0000"/>
        <bgColor rgb="FFFF0000"/>
      </patternFill>
    </fill>
    <fill>
      <patternFill patternType="solid">
        <fgColor rgb="FFEAECF0"/>
        <bgColor rgb="FFEAECF0"/>
      </patternFill>
    </fill>
    <fill>
      <patternFill patternType="solid">
        <fgColor rgb="FFD9D9D9"/>
        <bgColor rgb="FFD9D9D9"/>
      </patternFill>
    </fill>
    <fill>
      <patternFill patternType="solid">
        <fgColor rgb="FFE6B8AF"/>
        <bgColor rgb="FFE6B8AF"/>
      </patternFill>
    </fill>
    <fill>
      <patternFill patternType="solid">
        <fgColor rgb="FFFCE5CD"/>
        <bgColor rgb="FFFCE5CD"/>
      </patternFill>
    </fill>
    <fill>
      <patternFill patternType="solid">
        <fgColor rgb="FFDDE3EA"/>
        <bgColor rgb="FFDDE3EA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D0E0E3"/>
        <bgColor rgb="FFD0E0E3"/>
      </patternFill>
    </fill>
    <fill>
      <patternFill patternType="solid">
        <fgColor rgb="FFEA9999"/>
        <bgColor rgb="FFEA9999"/>
      </patternFill>
    </fill>
    <fill>
      <patternFill patternType="solid">
        <fgColor rgb="FFFFD966"/>
        <bgColor rgb="FFFFD966"/>
      </patternFill>
    </fill>
    <fill>
      <patternFill patternType="solid">
        <fgColor rgb="FFD5A6BD"/>
        <bgColor rgb="FFD5A6BD"/>
      </patternFill>
    </fill>
    <fill>
      <patternFill patternType="solid">
        <fgColor rgb="FFCFE2F3"/>
        <bgColor rgb="FFCFE2F3"/>
      </patternFill>
    </fill>
    <fill>
      <patternFill patternType="solid">
        <fgColor rgb="FFB4A7D6"/>
        <bgColor rgb="FFB4A7D6"/>
      </patternFill>
    </fill>
    <fill>
      <patternFill patternType="solid">
        <fgColor rgb="FFD9D2E9"/>
        <bgColor rgb="FFD9D2E9"/>
      </patternFill>
    </fill>
    <fill>
      <patternFill patternType="solid">
        <fgColor rgb="FF00FF00"/>
        <bgColor rgb="FF00FF00"/>
      </patternFill>
    </fill>
    <fill>
      <patternFill patternType="solid">
        <fgColor rgb="FF00FFFF"/>
        <bgColor rgb="FF00FFFF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FEB139"/>
      </left>
      <right/>
      <top style="thin">
        <color rgb="FFFEB139"/>
      </top>
      <bottom/>
      <diagonal/>
    </border>
    <border>
      <left/>
      <right/>
      <top style="thin">
        <color rgb="FFFEB139"/>
      </top>
      <bottom/>
      <diagonal/>
    </border>
    <border>
      <left/>
      <right style="thin">
        <color rgb="FFFEB139"/>
      </right>
      <top style="thin">
        <color rgb="FFFEB13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FEB139"/>
      </left>
      <right style="thin">
        <color rgb="FFFEB139"/>
      </right>
      <top style="thin">
        <color rgb="FFFEB139"/>
      </top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13"/>
  </cellStyleXfs>
  <cellXfs count="481">
    <xf numFmtId="0" fontId="0" fillId="0" borderId="0" pivotButton="0" quotePrefix="0" xfId="0"/>
    <xf numFmtId="0" fontId="1" fillId="0" borderId="1" pivotButton="0" quotePrefix="0" xfId="0"/>
    <xf numFmtId="0" fontId="3" fillId="0" borderId="1" applyAlignment="1" pivotButton="0" quotePrefix="0" xfId="0">
      <alignment wrapText="1"/>
    </xf>
    <xf numFmtId="0" fontId="5" fillId="0" borderId="0" pivotButton="0" quotePrefix="0" xfId="0"/>
    <xf numFmtId="0" fontId="1" fillId="0" borderId="1" applyAlignment="1" pivotButton="0" quotePrefix="0" xfId="0">
      <alignment horizontal="left"/>
    </xf>
    <xf numFmtId="0" fontId="6" fillId="2" borderId="0" pivotButton="0" quotePrefix="0" xfId="0"/>
    <xf numFmtId="0" fontId="5" fillId="0" borderId="0" pivotButton="0" quotePrefix="0" xfId="0"/>
    <xf numFmtId="0" fontId="7" fillId="0" borderId="1" pivotButton="0" quotePrefix="0" xfId="0"/>
    <xf numFmtId="164" fontId="5" fillId="0" borderId="0" pivotButton="0" quotePrefix="0" xfId="0"/>
    <xf numFmtId="14" fontId="5" fillId="0" borderId="0" pivotButton="0" quotePrefix="0" xfId="0"/>
    <xf numFmtId="3" fontId="2" fillId="2" borderId="1" applyAlignment="1" pivotButton="0" quotePrefix="0" xfId="0">
      <alignment wrapText="1"/>
    </xf>
    <xf numFmtId="3" fontId="2" fillId="2" borderId="1" applyAlignment="1" pivotButton="0" quotePrefix="0" xfId="0">
      <alignment horizontal="center"/>
    </xf>
    <xf numFmtId="0" fontId="9" fillId="3" borderId="1" pivotButton="0" quotePrefix="0" xfId="0"/>
    <xf numFmtId="3" fontId="2" fillId="2" borderId="1" applyAlignment="1" pivotButton="0" quotePrefix="0" xfId="0">
      <alignment horizontal="center" wrapText="1"/>
    </xf>
    <xf numFmtId="0" fontId="9" fillId="3" borderId="1" pivotButton="0" quotePrefix="0" xfId="0"/>
    <xf numFmtId="0" fontId="9" fillId="3" borderId="1" applyAlignment="1" pivotButton="0" quotePrefix="0" xfId="0">
      <alignment horizontal="left"/>
    </xf>
    <xf numFmtId="0" fontId="11" fillId="0" borderId="0" applyAlignment="1" pivotButton="0" quotePrefix="0" xfId="0">
      <alignment horizontal="center"/>
    </xf>
    <xf numFmtId="165" fontId="2" fillId="2" borderId="1" applyAlignment="1" pivotButton="0" quotePrefix="0" xfId="0">
      <alignment horizontal="right" wrapText="1"/>
    </xf>
    <xf numFmtId="3" fontId="12" fillId="4" borderId="1" applyAlignment="1" pivotButton="0" quotePrefix="0" xfId="0">
      <alignment horizontal="center"/>
    </xf>
    <xf numFmtId="0" fontId="10" fillId="5" borderId="7" pivotButton="0" quotePrefix="0" xfId="0"/>
    <xf numFmtId="0" fontId="13" fillId="3" borderId="1" applyAlignment="1" pivotButton="0" quotePrefix="0" xfId="0">
      <alignment horizontal="left"/>
    </xf>
    <xf numFmtId="165" fontId="2" fillId="2" borderId="1" applyAlignment="1" pivotButton="0" quotePrefix="0" xfId="0">
      <alignment horizontal="center"/>
    </xf>
    <xf numFmtId="49" fontId="12" fillId="4" borderId="1" applyAlignment="1" pivotButton="0" quotePrefix="0" xfId="0">
      <alignment horizontal="center" wrapText="1"/>
    </xf>
    <xf numFmtId="0" fontId="5" fillId="5" borderId="8" pivotButton="0" quotePrefix="0" xfId="0"/>
    <xf numFmtId="0" fontId="14" fillId="3" borderId="1" applyAlignment="1" pivotButton="0" quotePrefix="0" xfId="0">
      <alignment vertical="center"/>
    </xf>
    <xf numFmtId="0" fontId="12" fillId="4" borderId="1" applyAlignment="1" pivotButton="0" quotePrefix="0" xfId="0">
      <alignment horizontal="center" wrapText="1"/>
    </xf>
    <xf numFmtId="3" fontId="2" fillId="2" borderId="1" applyAlignment="1" pivotButton="0" quotePrefix="0" xfId="0">
      <alignment horizontal="center"/>
    </xf>
    <xf numFmtId="3" fontId="12" fillId="4" borderId="1" applyAlignment="1" pivotButton="0" quotePrefix="0" xfId="0">
      <alignment horizontal="center" wrapText="1"/>
    </xf>
    <xf numFmtId="3" fontId="12" fillId="6" borderId="1" applyAlignment="1" pivotButton="0" quotePrefix="0" xfId="0">
      <alignment horizontal="center" wrapText="1"/>
    </xf>
    <xf numFmtId="3" fontId="12" fillId="7" borderId="1" applyAlignment="1" pivotButton="0" quotePrefix="0" xfId="0">
      <alignment horizontal="center" wrapText="1"/>
    </xf>
    <xf numFmtId="3" fontId="12" fillId="8" borderId="1" applyAlignment="1" pivotButton="0" quotePrefix="0" xfId="0">
      <alignment horizontal="center" wrapText="1"/>
    </xf>
    <xf numFmtId="166" fontId="2" fillId="2" borderId="1" applyAlignment="1" pivotButton="0" quotePrefix="0" xfId="0">
      <alignment horizontal="center"/>
    </xf>
    <xf numFmtId="3" fontId="12" fillId="9" borderId="1" applyAlignment="1" pivotButton="0" quotePrefix="0" xfId="0">
      <alignment horizontal="center" wrapText="1"/>
    </xf>
    <xf numFmtId="0" fontId="15" fillId="10" borderId="1" applyAlignment="1" pivotButton="0" quotePrefix="0" xfId="0">
      <alignment horizontal="right"/>
    </xf>
    <xf numFmtId="2" fontId="12" fillId="11" borderId="1" applyAlignment="1" pivotButton="0" quotePrefix="0" xfId="0">
      <alignment horizontal="center" wrapText="1"/>
    </xf>
    <xf numFmtId="14" fontId="15" fillId="10" borderId="1" applyAlignment="1" pivotButton="0" quotePrefix="0" xfId="0">
      <alignment horizontal="right"/>
    </xf>
    <xf numFmtId="0" fontId="16" fillId="3" borderId="1" applyAlignment="1" pivotButton="0" quotePrefix="0" xfId="0">
      <alignment horizontal="left" vertical="center"/>
    </xf>
    <xf numFmtId="0" fontId="5" fillId="5" borderId="9" pivotButton="0" quotePrefix="0" xfId="0"/>
    <xf numFmtId="0" fontId="12" fillId="12" borderId="1" applyAlignment="1" pivotButton="0" quotePrefix="0" xfId="0">
      <alignment horizontal="center" wrapText="1"/>
    </xf>
    <xf numFmtId="0" fontId="9" fillId="2" borderId="0" pivotButton="0" quotePrefix="0" xfId="0"/>
    <xf numFmtId="0" fontId="12" fillId="4" borderId="1" applyAlignment="1" pivotButton="0" quotePrefix="0" xfId="0">
      <alignment horizontal="center" wrapText="1"/>
    </xf>
    <xf numFmtId="14" fontId="10" fillId="0" borderId="1" applyAlignment="1" pivotButton="0" quotePrefix="0" xfId="0">
      <alignment horizontal="center"/>
    </xf>
    <xf numFmtId="165" fontId="5" fillId="10" borderId="1" pivotButton="0" quotePrefix="0" xfId="0"/>
    <xf numFmtId="0" fontId="17" fillId="5" borderId="1" pivotButton="0" quotePrefix="0" xfId="0"/>
    <xf numFmtId="165" fontId="15" fillId="10" borderId="1" applyAlignment="1" pivotButton="0" quotePrefix="0" xfId="0">
      <alignment horizontal="center"/>
    </xf>
    <xf numFmtId="0" fontId="17" fillId="5" borderId="1" applyAlignment="1" pivotButton="0" quotePrefix="0" xfId="0">
      <alignment wrapText="1"/>
    </xf>
    <xf numFmtId="164" fontId="5" fillId="10" borderId="1" pivotButton="0" quotePrefix="0" xfId="0"/>
    <xf numFmtId="165" fontId="18" fillId="13" borderId="1" applyAlignment="1" pivotButton="0" quotePrefix="0" xfId="0">
      <alignment horizontal="right"/>
    </xf>
    <xf numFmtId="0" fontId="3" fillId="0" borderId="1" pivotButton="0" quotePrefix="0" xfId="0"/>
    <xf numFmtId="3" fontId="19" fillId="2" borderId="1" pivotButton="0" quotePrefix="0" xfId="0"/>
    <xf numFmtId="10" fontId="15" fillId="10" borderId="1" applyAlignment="1" pivotButton="0" quotePrefix="0" xfId="0">
      <alignment horizontal="center"/>
    </xf>
    <xf numFmtId="49" fontId="19" fillId="0" borderId="1" applyAlignment="1" pivotButton="0" quotePrefix="0" xfId="0">
      <alignment horizontal="center"/>
    </xf>
    <xf numFmtId="0" fontId="15" fillId="14" borderId="1" applyAlignment="1" pivotButton="0" quotePrefix="0" xfId="0">
      <alignment horizontal="right"/>
    </xf>
    <xf numFmtId="0" fontId="19" fillId="0" borderId="1" applyAlignment="1" pivotButton="0" quotePrefix="0" xfId="0">
      <alignment horizontal="center"/>
    </xf>
    <xf numFmtId="14" fontId="15" fillId="14" borderId="1" applyAlignment="1" pivotButton="0" quotePrefix="0" xfId="0">
      <alignment horizontal="right"/>
    </xf>
    <xf numFmtId="165" fontId="5" fillId="14" borderId="1" pivotButton="0" quotePrefix="0" xfId="0"/>
    <xf numFmtId="165" fontId="15" fillId="14" borderId="1" applyAlignment="1" pivotButton="0" quotePrefix="0" xfId="0">
      <alignment horizontal="center"/>
    </xf>
    <xf numFmtId="0" fontId="20" fillId="3" borderId="1" applyAlignment="1" pivotButton="0" quotePrefix="0" xfId="0">
      <alignment horizontal="left"/>
    </xf>
    <xf numFmtId="164" fontId="5" fillId="14" borderId="1" pivotButton="0" quotePrefix="0" xfId="0"/>
    <xf numFmtId="165" fontId="18" fillId="14" borderId="1" applyAlignment="1" pivotButton="0" quotePrefix="0" xfId="0">
      <alignment horizontal="right"/>
    </xf>
    <xf numFmtId="0" fontId="21" fillId="0" borderId="1" applyAlignment="1" pivotButton="0" quotePrefix="0" xfId="0">
      <alignment horizontal="right"/>
    </xf>
    <xf numFmtId="165" fontId="3" fillId="0" borderId="1" pivotButton="0" quotePrefix="0" xfId="0"/>
    <xf numFmtId="10" fontId="15" fillId="14" borderId="1" applyAlignment="1" pivotButton="0" quotePrefix="0" xfId="0">
      <alignment horizontal="center"/>
    </xf>
    <xf numFmtId="0" fontId="5" fillId="0" borderId="1" pivotButton="0" quotePrefix="0" xfId="0"/>
    <xf numFmtId="164" fontId="21" fillId="2" borderId="1" applyAlignment="1" pivotButton="0" quotePrefix="0" xfId="0">
      <alignment horizontal="right"/>
    </xf>
    <xf numFmtId="164" fontId="5" fillId="2" borderId="1" pivotButton="0" quotePrefix="0" xfId="0"/>
    <xf numFmtId="3" fontId="21" fillId="2" borderId="1" applyAlignment="1" pivotButton="0" quotePrefix="0" xfId="0">
      <alignment horizontal="right"/>
    </xf>
    <xf numFmtId="3" fontId="5" fillId="2" borderId="1" applyAlignment="1" pivotButton="0" quotePrefix="0" xfId="0">
      <alignment horizontal="right"/>
    </xf>
    <xf numFmtId="10" fontId="3" fillId="0" borderId="1" pivotButton="0" quotePrefix="0" xfId="0"/>
    <xf numFmtId="164" fontId="22" fillId="2" borderId="1" applyAlignment="1" pivotButton="0" quotePrefix="0" xfId="0">
      <alignment horizontal="right"/>
    </xf>
    <xf numFmtId="165" fontId="8" fillId="0" borderId="1" pivotButton="0" quotePrefix="0" xfId="0"/>
    <xf numFmtId="164" fontId="23" fillId="2" borderId="1" applyAlignment="1" pivotButton="0" quotePrefix="0" xfId="0">
      <alignment horizontal="right"/>
    </xf>
    <xf numFmtId="164" fontId="5" fillId="0" borderId="1" pivotButton="0" quotePrefix="0" xfId="0"/>
    <xf numFmtId="164" fontId="21" fillId="0" borderId="1" applyAlignment="1" pivotButton="0" quotePrefix="0" xfId="0">
      <alignment horizontal="right"/>
    </xf>
    <xf numFmtId="10" fontId="8" fillId="0" borderId="1" pivotButton="0" quotePrefix="0" xfId="0"/>
    <xf numFmtId="3" fontId="5" fillId="0" borderId="1" pivotButton="0" quotePrefix="0" xfId="0"/>
    <xf numFmtId="14" fontId="5" fillId="0" borderId="1" pivotButton="0" quotePrefix="0" xfId="0"/>
    <xf numFmtId="165" fontId="8" fillId="0" borderId="1" pivotButton="0" quotePrefix="0" xfId="0"/>
    <xf numFmtId="3" fontId="5" fillId="2" borderId="1" pivotButton="0" quotePrefix="0" xfId="0"/>
    <xf numFmtId="0" fontId="9" fillId="3" borderId="1" applyAlignment="1" pivotButton="0" quotePrefix="0" xfId="0">
      <alignment horizontal="left"/>
    </xf>
    <xf numFmtId="165" fontId="15" fillId="2" borderId="1" applyAlignment="1" pivotButton="0" quotePrefix="0" xfId="0">
      <alignment horizontal="center"/>
    </xf>
    <xf numFmtId="3" fontId="21" fillId="0" borderId="1" applyAlignment="1" pivotButton="0" quotePrefix="0" xfId="0">
      <alignment horizontal="right"/>
    </xf>
    <xf numFmtId="0" fontId="10" fillId="0" borderId="1" pivotButton="0" quotePrefix="0" xfId="0"/>
    <xf numFmtId="164" fontId="10" fillId="0" borderId="1" applyAlignment="1" pivotButton="0" quotePrefix="0" xfId="0">
      <alignment horizontal="right"/>
    </xf>
    <xf numFmtId="3" fontId="12" fillId="2" borderId="1" pivotButton="0" quotePrefix="0" xfId="0"/>
    <xf numFmtId="49" fontId="19" fillId="0" borderId="1" applyAlignment="1" pivotButton="0" quotePrefix="0" xfId="0">
      <alignment horizontal="center"/>
    </xf>
    <xf numFmtId="0" fontId="19" fillId="0" borderId="1" applyAlignment="1" pivotButton="0" quotePrefix="0" xfId="0">
      <alignment horizontal="center"/>
    </xf>
    <xf numFmtId="0" fontId="9" fillId="15" borderId="1" pivotButton="0" quotePrefix="0" xfId="0"/>
    <xf numFmtId="0" fontId="9" fillId="15" borderId="1" pivotButton="0" quotePrefix="0" xfId="0"/>
    <xf numFmtId="0" fontId="9" fillId="15" borderId="1" applyAlignment="1" pivotButton="0" quotePrefix="0" xfId="0">
      <alignment horizontal="left"/>
    </xf>
    <xf numFmtId="0" fontId="5" fillId="10" borderId="1" pivotButton="0" quotePrefix="0" xfId="0"/>
    <xf numFmtId="0" fontId="24" fillId="15" borderId="1" applyAlignment="1" pivotButton="0" quotePrefix="0" xfId="0">
      <alignment horizontal="left"/>
    </xf>
    <xf numFmtId="0" fontId="25" fillId="15" borderId="1" applyAlignment="1" pivotButton="0" quotePrefix="0" xfId="0">
      <alignment vertical="center"/>
    </xf>
    <xf numFmtId="0" fontId="9" fillId="15" borderId="1" applyAlignment="1" pivotButton="0" quotePrefix="0" xfId="0">
      <alignment horizontal="left" vertical="center"/>
    </xf>
    <xf numFmtId="0" fontId="3" fillId="0" borderId="1" pivotButton="0" quotePrefix="0" xfId="0"/>
    <xf numFmtId="49" fontId="27" fillId="0" borderId="1" applyAlignment="1" pivotButton="0" quotePrefix="0" xfId="0">
      <alignment horizontal="center"/>
    </xf>
    <xf numFmtId="0" fontId="26" fillId="0" borderId="1" applyAlignment="1" pivotButton="0" quotePrefix="0" xfId="0">
      <alignment horizontal="center"/>
    </xf>
    <xf numFmtId="165" fontId="27" fillId="0" borderId="1" pivotButton="0" quotePrefix="0" xfId="0"/>
    <xf numFmtId="0" fontId="9" fillId="15" borderId="1" applyAlignment="1" pivotButton="0" quotePrefix="0" xfId="0">
      <alignment horizontal="left"/>
    </xf>
    <xf numFmtId="0" fontId="9" fillId="15" borderId="1" applyAlignment="1" pivotButton="0" quotePrefix="0" xfId="0">
      <alignment horizontal="left" vertical="center"/>
    </xf>
    <xf numFmtId="10" fontId="27" fillId="0" borderId="1" pivotButton="0" quotePrefix="0" xfId="0"/>
    <xf numFmtId="10" fontId="26" fillId="0" borderId="1" pivotButton="0" quotePrefix="0" xfId="0"/>
    <xf numFmtId="0" fontId="27" fillId="0" borderId="0" pivotButton="0" quotePrefix="0" xfId="0"/>
    <xf numFmtId="0" fontId="9" fillId="16" borderId="1" pivotButton="0" quotePrefix="0" xfId="0"/>
    <xf numFmtId="0" fontId="9" fillId="16" borderId="1" pivotButton="0" quotePrefix="0" xfId="0"/>
    <xf numFmtId="0" fontId="9" fillId="16" borderId="1" applyAlignment="1" pivotButton="0" quotePrefix="0" xfId="0">
      <alignment horizontal="left"/>
    </xf>
    <xf numFmtId="165" fontId="3" fillId="0" borderId="0" pivotButton="0" quotePrefix="0" xfId="0"/>
    <xf numFmtId="10" fontId="3" fillId="0" borderId="0" pivotButton="0" quotePrefix="0" xfId="0"/>
    <xf numFmtId="165" fontId="8" fillId="0" borderId="0" pivotButton="0" quotePrefix="0" xfId="0"/>
    <xf numFmtId="10" fontId="8" fillId="0" borderId="0" pivotButton="0" quotePrefix="0" xfId="0"/>
    <xf numFmtId="0" fontId="6" fillId="0" borderId="0" pivotButton="0" quotePrefix="0" xfId="0"/>
    <xf numFmtId="0" fontId="28" fillId="16" borderId="1" applyAlignment="1" pivotButton="0" quotePrefix="0" xfId="0">
      <alignment horizontal="left" wrapText="1"/>
    </xf>
    <xf numFmtId="0" fontId="19" fillId="0" borderId="1" pivotButton="0" quotePrefix="0" xfId="0"/>
    <xf numFmtId="164" fontId="21" fillId="0" borderId="0" applyAlignment="1" pivotButton="0" quotePrefix="0" xfId="0">
      <alignment horizontal="right"/>
    </xf>
    <xf numFmtId="0" fontId="30" fillId="16" borderId="1" applyAlignment="1" pivotButton="0" quotePrefix="0" xfId="0">
      <alignment horizontal="left" vertical="center"/>
    </xf>
    <xf numFmtId="0" fontId="9" fillId="16" borderId="1" applyAlignment="1" pivotButton="0" quotePrefix="0" xfId="0">
      <alignment horizontal="left"/>
    </xf>
    <xf numFmtId="165" fontId="5" fillId="0" borderId="1" pivotButton="0" quotePrefix="0" xfId="0"/>
    <xf numFmtId="14" fontId="3" fillId="0" borderId="0" pivotButton="0" quotePrefix="0" xfId="0"/>
    <xf numFmtId="0" fontId="31" fillId="17" borderId="0" pivotButton="0" quotePrefix="0" xfId="0"/>
    <xf numFmtId="0" fontId="19" fillId="6" borderId="1" applyAlignment="1" pivotButton="0" quotePrefix="0" xfId="0">
      <alignment horizontal="center" wrapText="1"/>
    </xf>
    <xf numFmtId="49" fontId="19" fillId="6" borderId="1" applyAlignment="1" pivotButton="0" quotePrefix="0" xfId="0">
      <alignment horizontal="center" wrapText="1"/>
    </xf>
    <xf numFmtId="0" fontId="8" fillId="0" borderId="0" pivotButton="0" quotePrefix="0" xfId="0"/>
    <xf numFmtId="0" fontId="9" fillId="16" borderId="1" applyAlignment="1" pivotButton="0" quotePrefix="0" xfId="0">
      <alignment horizontal="left" wrapText="1"/>
    </xf>
    <xf numFmtId="0" fontId="9" fillId="16" borderId="1" applyAlignment="1" pivotButton="0" quotePrefix="0" xfId="0">
      <alignment horizontal="left"/>
    </xf>
    <xf numFmtId="0" fontId="29" fillId="16" borderId="1" applyAlignment="1" pivotButton="0" quotePrefix="0" xfId="0">
      <alignment vertical="center"/>
    </xf>
    <xf numFmtId="0" fontId="27" fillId="0" borderId="1" pivotButton="0" quotePrefix="0" xfId="0"/>
    <xf numFmtId="0" fontId="9" fillId="18" borderId="1" pivotButton="0" quotePrefix="0" xfId="0"/>
    <xf numFmtId="0" fontId="9" fillId="18" borderId="1" pivotButton="0" quotePrefix="0" xfId="0"/>
    <xf numFmtId="0" fontId="9" fillId="18" borderId="1" applyAlignment="1" pivotButton="0" quotePrefix="0" xfId="0">
      <alignment horizontal="left"/>
    </xf>
    <xf numFmtId="0" fontId="33" fillId="0" borderId="1" pivotButton="0" quotePrefix="0" xfId="0"/>
    <xf numFmtId="0" fontId="34" fillId="18" borderId="1" applyAlignment="1" pivotButton="0" quotePrefix="0" xfId="0">
      <alignment horizontal="left"/>
    </xf>
    <xf numFmtId="165" fontId="33" fillId="0" borderId="1" pivotButton="0" quotePrefix="0" xfId="0"/>
    <xf numFmtId="0" fontId="25" fillId="18" borderId="1" applyAlignment="1" pivotButton="0" quotePrefix="0" xfId="0">
      <alignment vertical="center"/>
    </xf>
    <xf numFmtId="0" fontId="35" fillId="18" borderId="1" applyAlignment="1" pivotButton="0" quotePrefix="0" xfId="0">
      <alignment horizontal="left" vertical="center"/>
    </xf>
    <xf numFmtId="10" fontId="33" fillId="0" borderId="1" pivotButton="0" quotePrefix="0" xfId="0"/>
    <xf numFmtId="10" fontId="32" fillId="0" borderId="1" pivotButton="0" quotePrefix="0" xfId="0"/>
    <xf numFmtId="0" fontId="33" fillId="0" borderId="0" pivotButton="0" quotePrefix="0" xfId="0"/>
    <xf numFmtId="0" fontId="12" fillId="4" borderId="1" applyAlignment="1" pivotButton="0" quotePrefix="0" xfId="0">
      <alignment horizontal="center"/>
    </xf>
    <xf numFmtId="3" fontId="12" fillId="4" borderId="1" applyAlignment="1" pivotButton="0" quotePrefix="0" xfId="0">
      <alignment horizontal="center"/>
    </xf>
    <xf numFmtId="3" fontId="12" fillId="4" borderId="1" applyAlignment="1" pivotButton="0" quotePrefix="0" xfId="0">
      <alignment horizontal="center" wrapText="1"/>
    </xf>
    <xf numFmtId="3" fontId="12" fillId="15" borderId="1" applyAlignment="1" pivotButton="0" quotePrefix="0" xfId="0">
      <alignment horizontal="center" wrapText="1"/>
    </xf>
    <xf numFmtId="3" fontId="12" fillId="16" borderId="1" applyAlignment="1" pivotButton="0" quotePrefix="0" xfId="0">
      <alignment horizontal="center" wrapText="1"/>
    </xf>
    <xf numFmtId="3" fontId="12" fillId="19" borderId="1" applyAlignment="1" pivotButton="0" quotePrefix="0" xfId="0">
      <alignment horizontal="center" wrapText="1"/>
    </xf>
    <xf numFmtId="3" fontId="12" fillId="18" borderId="1" applyAlignment="1" pivotButton="0" quotePrefix="0" xfId="0">
      <alignment horizontal="center" wrapText="1"/>
    </xf>
    <xf numFmtId="2" fontId="12" fillId="20" borderId="1" applyAlignment="1" pivotButton="0" quotePrefix="0" xfId="0">
      <alignment horizontal="center" wrapText="1"/>
    </xf>
    <xf numFmtId="2" fontId="12" fillId="3" borderId="1" applyAlignment="1" pivotButton="0" quotePrefix="0" xfId="0">
      <alignment horizontal="center" wrapText="1"/>
    </xf>
    <xf numFmtId="2" fontId="12" fillId="21" borderId="1" applyAlignment="1" pivotButton="0" quotePrefix="0" xfId="0">
      <alignment horizontal="center" wrapText="1"/>
    </xf>
    <xf numFmtId="0" fontId="12" fillId="22" borderId="1" applyAlignment="1" pivotButton="0" quotePrefix="0" xfId="0">
      <alignment horizontal="center" wrapText="1"/>
    </xf>
    <xf numFmtId="0" fontId="12" fillId="4" borderId="1" applyAlignment="1" pivotButton="0" quotePrefix="0" xfId="0">
      <alignment horizontal="center" vertical="center" wrapText="1"/>
    </xf>
    <xf numFmtId="0" fontId="17" fillId="5" borderId="1" applyAlignment="1" pivotButton="0" quotePrefix="0" xfId="0">
      <alignment horizontal="center" vertical="center"/>
    </xf>
    <xf numFmtId="0" fontId="17" fillId="5" borderId="1" applyAlignment="1" pivotButton="0" quotePrefix="0" xfId="0">
      <alignment horizontal="center" vertical="center" wrapText="1"/>
    </xf>
    <xf numFmtId="0" fontId="7" fillId="23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wrapText="1"/>
    </xf>
    <xf numFmtId="167" fontId="3" fillId="0" borderId="1" pivotButton="0" quotePrefix="0" xfId="0"/>
    <xf numFmtId="167" fontId="3" fillId="0" borderId="1" applyAlignment="1" pivotButton="0" quotePrefix="0" xfId="0">
      <alignment horizontal="center" vertical="center"/>
    </xf>
    <xf numFmtId="0" fontId="9" fillId="18" borderId="1" applyAlignment="1" pivotButton="0" quotePrefix="0" xfId="0">
      <alignment horizontal="left"/>
    </xf>
    <xf numFmtId="167" fontId="3" fillId="0" borderId="1" applyAlignment="1" pivotButton="0" quotePrefix="0" xfId="0">
      <alignment horizontal="center" vertical="center"/>
    </xf>
    <xf numFmtId="9" fontId="3" fillId="0" borderId="1" applyAlignment="1" pivotButton="0" quotePrefix="0" xfId="0">
      <alignment horizontal="center" vertical="center"/>
    </xf>
    <xf numFmtId="165" fontId="8" fillId="0" borderId="1" applyAlignment="1" pivotButton="0" quotePrefix="0" xfId="0">
      <alignment horizontal="center" vertical="center"/>
    </xf>
    <xf numFmtId="0" fontId="9" fillId="20" borderId="1" pivotButton="0" quotePrefix="0" xfId="0"/>
    <xf numFmtId="0" fontId="9" fillId="20" borderId="1" pivotButton="0" quotePrefix="0" xfId="0"/>
    <xf numFmtId="0" fontId="9" fillId="20" borderId="1" applyAlignment="1" pivotButton="0" quotePrefix="0" xfId="0">
      <alignment horizontal="left"/>
    </xf>
    <xf numFmtId="167" fontId="36" fillId="0" borderId="1" applyAlignment="1" pivotButton="0" quotePrefix="0" xfId="0">
      <alignment horizontal="center" vertical="center"/>
    </xf>
    <xf numFmtId="0" fontId="37" fillId="20" borderId="1" applyAlignment="1" pivotButton="0" quotePrefix="0" xfId="0">
      <alignment horizontal="left"/>
    </xf>
    <xf numFmtId="0" fontId="38" fillId="20" borderId="1" applyAlignment="1" pivotButton="0" quotePrefix="0" xfId="0">
      <alignment horizontal="left" vertical="center"/>
    </xf>
    <xf numFmtId="3" fontId="12" fillId="2" borderId="0" applyAlignment="1" pivotButton="0" quotePrefix="0" xfId="0">
      <alignment horizontal="center"/>
    </xf>
    <xf numFmtId="0" fontId="9" fillId="24" borderId="1" pivotButton="0" quotePrefix="0" xfId="0"/>
    <xf numFmtId="0" fontId="9" fillId="24" borderId="1" pivotButton="0" quotePrefix="0" xfId="0"/>
    <xf numFmtId="49" fontId="12" fillId="2" borderId="0" applyAlignment="1" pivotButton="0" quotePrefix="0" xfId="0">
      <alignment horizontal="center" wrapText="1"/>
    </xf>
    <xf numFmtId="0" fontId="9" fillId="24" borderId="1" applyAlignment="1" pivotButton="0" quotePrefix="0" xfId="0">
      <alignment horizontal="left"/>
    </xf>
    <xf numFmtId="0" fontId="12" fillId="2" borderId="0" applyAlignment="1" pivotButton="0" quotePrefix="0" xfId="0">
      <alignment horizontal="center" wrapText="1"/>
    </xf>
    <xf numFmtId="0" fontId="3" fillId="25" borderId="0" pivotButton="0" quotePrefix="0" xfId="0"/>
    <xf numFmtId="0" fontId="39" fillId="24" borderId="1" applyAlignment="1" pivotButton="0" quotePrefix="0" xfId="0">
      <alignment horizontal="left"/>
    </xf>
    <xf numFmtId="0" fontId="14" fillId="24" borderId="1" applyAlignment="1" pivotButton="0" quotePrefix="0" xfId="0">
      <alignment vertical="center"/>
    </xf>
    <xf numFmtId="0" fontId="8" fillId="0" borderId="1" applyAlignment="1" pivotButton="0" quotePrefix="0" xfId="0">
      <alignment horizontal="center" vertical="center"/>
    </xf>
    <xf numFmtId="0" fontId="40" fillId="24" borderId="1" applyAlignment="1" pivotButton="0" quotePrefix="0" xfId="0">
      <alignment horizontal="left" vertical="center"/>
    </xf>
    <xf numFmtId="0" fontId="9" fillId="24" borderId="1" applyAlignment="1" pivotButton="0" quotePrefix="0" xfId="0">
      <alignment horizontal="left"/>
    </xf>
    <xf numFmtId="0" fontId="41" fillId="24" borderId="1" applyAlignment="1" pivotButton="0" quotePrefix="0" xfId="0">
      <alignment horizontal="left"/>
    </xf>
    <xf numFmtId="0" fontId="8" fillId="0" borderId="1" pivotButton="0" quotePrefix="0" xfId="0"/>
    <xf numFmtId="3" fontId="2" fillId="2" borderId="0" applyAlignment="1" pivotButton="0" quotePrefix="0" xfId="0">
      <alignment horizontal="center" wrapText="1"/>
    </xf>
    <xf numFmtId="167" fontId="8" fillId="0" borderId="1" pivotButton="0" quotePrefix="0" xfId="0"/>
    <xf numFmtId="167" fontId="8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/>
    </xf>
    <xf numFmtId="9" fontId="8" fillId="0" borderId="1" applyAlignment="1" pivotButton="0" quotePrefix="0" xfId="0">
      <alignment horizontal="center" vertical="center"/>
    </xf>
    <xf numFmtId="167" fontId="8" fillId="0" borderId="1" applyAlignment="1" pivotButton="0" quotePrefix="0" xfId="0">
      <alignment horizontal="center" vertical="center"/>
    </xf>
    <xf numFmtId="0" fontId="8" fillId="0" borderId="0" pivotButton="0" quotePrefix="0" xfId="0"/>
    <xf numFmtId="0" fontId="3" fillId="0" borderId="1" applyAlignment="1" pivotButton="0" quotePrefix="0" xfId="0">
      <alignment horizontal="center" vertical="center"/>
    </xf>
    <xf numFmtId="0" fontId="9" fillId="26" borderId="1" pivotButton="0" quotePrefix="0" xfId="0"/>
    <xf numFmtId="0" fontId="9" fillId="26" borderId="1" pivotButton="0" quotePrefix="0" xfId="0"/>
    <xf numFmtId="0" fontId="9" fillId="26" borderId="1" applyAlignment="1" pivotButton="0" quotePrefix="0" xfId="0">
      <alignment horizontal="left"/>
    </xf>
    <xf numFmtId="10" fontId="8" fillId="0" borderId="1" applyAlignment="1" pivotButton="0" quotePrefix="0" xfId="0">
      <alignment horizontal="center" vertical="center"/>
    </xf>
    <xf numFmtId="0" fontId="42" fillId="26" borderId="0" applyAlignment="1" pivotButton="0" quotePrefix="0" xfId="0">
      <alignment horizontal="left"/>
    </xf>
    <xf numFmtId="0" fontId="29" fillId="26" borderId="1" applyAlignment="1" pivotButton="0" quotePrefix="0" xfId="0">
      <alignment horizontal="left" vertical="center"/>
    </xf>
    <xf numFmtId="0" fontId="43" fillId="26" borderId="1" applyAlignment="1" pivotButton="0" quotePrefix="0" xfId="0">
      <alignment horizontal="left" vertical="center"/>
    </xf>
    <xf numFmtId="0" fontId="9" fillId="26" borderId="1" applyAlignment="1" pivotButton="0" quotePrefix="0" xfId="0">
      <alignment horizontal="left"/>
    </xf>
    <xf numFmtId="0" fontId="9" fillId="26" borderId="1" applyAlignment="1" pivotButton="0" quotePrefix="0" xfId="0">
      <alignment horizontal="left"/>
    </xf>
    <xf numFmtId="0" fontId="44" fillId="0" borderId="1" pivotButton="0" quotePrefix="0" xfId="0"/>
    <xf numFmtId="0" fontId="9" fillId="0" borderId="1" pivotButton="0" quotePrefix="0" xfId="0"/>
    <xf numFmtId="0" fontId="9" fillId="0" borderId="1" applyAlignment="1" pivotButton="0" quotePrefix="0" xfId="0">
      <alignment horizontal="left"/>
    </xf>
    <xf numFmtId="0" fontId="45" fillId="0" borderId="1" pivotButton="0" quotePrefix="0" xfId="0"/>
    <xf numFmtId="0" fontId="25" fillId="0" borderId="1" applyAlignment="1" pivotButton="0" quotePrefix="0" xfId="0">
      <alignment vertical="center"/>
    </xf>
    <xf numFmtId="0" fontId="9" fillId="0" borderId="1" applyAlignment="1" pivotButton="0" quotePrefix="0" xfId="0">
      <alignment horizontal="left" vertical="center"/>
    </xf>
    <xf numFmtId="0" fontId="9" fillId="0" borderId="0" pivotButton="0" quotePrefix="0" xfId="0"/>
    <xf numFmtId="0" fontId="46" fillId="0" borderId="1" pivotButton="0" quotePrefix="0" xfId="0"/>
    <xf numFmtId="10" fontId="45" fillId="0" borderId="1" pivotButton="0" quotePrefix="0" xfId="0"/>
    <xf numFmtId="0" fontId="45" fillId="0" borderId="0" pivotButton="0" quotePrefix="0" xfId="0"/>
    <xf numFmtId="2" fontId="12" fillId="26" borderId="1" applyAlignment="1" pivotButton="0" quotePrefix="0" xfId="0">
      <alignment horizontal="center" wrapText="1"/>
    </xf>
    <xf numFmtId="0" fontId="25" fillId="0" borderId="1" pivotButton="0" quotePrefix="0" xfId="0"/>
    <xf numFmtId="3" fontId="2" fillId="2" borderId="1" applyAlignment="1" pivotButton="0" quotePrefix="0" xfId="0">
      <alignment horizontal="center" wrapText="1"/>
    </xf>
    <xf numFmtId="0" fontId="26" fillId="0" borderId="1" pivotButton="0" quotePrefix="0" xfId="0"/>
    <xf numFmtId="165" fontId="3" fillId="0" borderId="1" applyAlignment="1" pivotButton="0" quotePrefix="0" xfId="0">
      <alignment horizontal="center"/>
    </xf>
    <xf numFmtId="3" fontId="8" fillId="0" borderId="1" applyAlignment="1" pivotButton="0" quotePrefix="0" xfId="0">
      <alignment horizontal="center"/>
    </xf>
    <xf numFmtId="0" fontId="12" fillId="4" borderId="1" applyAlignment="1" pivotButton="0" quotePrefix="0" xfId="0">
      <alignment horizontal="center" wrapText="1"/>
    </xf>
    <xf numFmtId="165" fontId="8" fillId="0" borderId="1" applyAlignment="1" pivotButton="0" quotePrefix="0" xfId="0">
      <alignment horizontal="center"/>
    </xf>
    <xf numFmtId="165" fontId="3" fillId="0" borderId="0" applyAlignment="1" pivotButton="0" quotePrefix="0" xfId="0">
      <alignment horizontal="center"/>
    </xf>
    <xf numFmtId="0" fontId="32" fillId="0" borderId="1" pivotButton="0" quotePrefix="0" xfId="0"/>
    <xf numFmtId="165" fontId="45" fillId="0" borderId="1" pivotButton="0" quotePrefix="0" xfId="0"/>
    <xf numFmtId="165" fontId="45" fillId="0" borderId="1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10" fontId="45" fillId="0" borderId="0" pivotButton="0" quotePrefix="0" xfId="0"/>
    <xf numFmtId="0" fontId="3" fillId="0" borderId="1" applyAlignment="1" pivotButton="0" quotePrefix="0" xfId="0">
      <alignment horizontal="left"/>
    </xf>
    <xf numFmtId="0" fontId="7" fillId="23" borderId="1" applyAlignment="1" pivotButton="0" quotePrefix="0" xfId="0">
      <alignment wrapText="1"/>
    </xf>
    <xf numFmtId="3" fontId="47" fillId="2" borderId="2" applyAlignment="1" pivotButton="0" quotePrefix="0" xfId="0">
      <alignment horizontal="right" vertical="center"/>
    </xf>
    <xf numFmtId="3" fontId="47" fillId="2" borderId="3" applyAlignment="1" pivotButton="0" quotePrefix="0" xfId="0">
      <alignment horizontal="right" vertical="center"/>
    </xf>
    <xf numFmtId="3" fontId="47" fillId="2" borderId="3" applyAlignment="1" pivotButton="0" quotePrefix="0" xfId="0">
      <alignment horizontal="center" vertical="center"/>
    </xf>
    <xf numFmtId="3" fontId="47" fillId="2" borderId="4" applyAlignment="1" pivotButton="0" quotePrefix="0" xfId="0">
      <alignment horizontal="center" vertical="center"/>
    </xf>
    <xf numFmtId="0" fontId="48" fillId="2" borderId="0" applyAlignment="1" pivotButton="0" quotePrefix="0" xfId="0">
      <alignment horizontal="center" vertical="center"/>
    </xf>
    <xf numFmtId="3" fontId="47" fillId="2" borderId="1" applyAlignment="1" pivotButton="0" quotePrefix="0" xfId="0">
      <alignment horizontal="center" vertical="center" wrapText="1"/>
    </xf>
    <xf numFmtId="3" fontId="47" fillId="2" borderId="1" applyAlignment="1" pivotButton="0" quotePrefix="0" xfId="0">
      <alignment horizontal="center" vertical="center"/>
    </xf>
    <xf numFmtId="3" fontId="47" fillId="2" borderId="1" applyAlignment="1" pivotButton="0" quotePrefix="0" xfId="0">
      <alignment horizontal="center" vertical="center" wrapText="1"/>
    </xf>
    <xf numFmtId="3" fontId="47" fillId="2" borderId="0" applyAlignment="1" pivotButton="0" quotePrefix="0" xfId="0">
      <alignment horizontal="center" vertical="center" wrapText="1"/>
    </xf>
    <xf numFmtId="165" fontId="47" fillId="2" borderId="1" applyAlignment="1" pivotButton="0" quotePrefix="0" xfId="0">
      <alignment horizontal="center" vertical="center" wrapText="1"/>
    </xf>
    <xf numFmtId="165" fontId="47" fillId="2" borderId="1" applyAlignment="1" pivotButton="0" quotePrefix="0" xfId="0">
      <alignment horizontal="center" vertical="center"/>
    </xf>
    <xf numFmtId="3" fontId="47" fillId="2" borderId="1" applyAlignment="1" pivotButton="0" quotePrefix="0" xfId="0">
      <alignment horizontal="center" vertical="center"/>
    </xf>
    <xf numFmtId="166" fontId="47" fillId="2" borderId="1" applyAlignment="1" pivotButton="0" quotePrefix="0" xfId="0">
      <alignment horizontal="center" vertical="center"/>
    </xf>
    <xf numFmtId="3" fontId="8" fillId="0" borderId="0" applyAlignment="1" pivotButton="0" quotePrefix="0" xfId="0">
      <alignment horizontal="center"/>
    </xf>
    <xf numFmtId="0" fontId="21" fillId="10" borderId="1" applyAlignment="1" pivotButton="0" quotePrefix="0" xfId="0">
      <alignment horizontal="right" vertical="center"/>
    </xf>
    <xf numFmtId="14" fontId="21" fillId="10" borderId="1" applyAlignment="1" pivotButton="0" quotePrefix="0" xfId="0">
      <alignment horizontal="right" vertical="center"/>
    </xf>
    <xf numFmtId="165" fontId="21" fillId="10" borderId="1" applyAlignment="1" pivotButton="0" quotePrefix="0" xfId="0">
      <alignment horizontal="center" vertical="center"/>
    </xf>
    <xf numFmtId="165" fontId="21" fillId="10" borderId="1" applyAlignment="1" pivotButton="0" quotePrefix="0" xfId="0">
      <alignment horizontal="center" vertical="center"/>
    </xf>
    <xf numFmtId="0" fontId="21" fillId="10" borderId="1" applyAlignment="1" pivotButton="0" quotePrefix="0" xfId="0">
      <alignment horizontal="center" vertical="center"/>
    </xf>
    <xf numFmtId="165" fontId="49" fillId="13" borderId="1" applyAlignment="1" pivotButton="0" quotePrefix="0" xfId="0">
      <alignment horizontal="center" vertical="center"/>
    </xf>
    <xf numFmtId="10" fontId="21" fillId="10" borderId="1" applyAlignment="1" pivotButton="0" quotePrefix="0" xfId="0">
      <alignment horizontal="center" vertical="center"/>
    </xf>
    <xf numFmtId="3" fontId="3" fillId="0" borderId="0" applyAlignment="1" pivotButton="0" quotePrefix="0" xfId="0">
      <alignment horizontal="center"/>
    </xf>
    <xf numFmtId="165" fontId="3" fillId="27" borderId="0" pivotButton="0" quotePrefix="0" xfId="0"/>
    <xf numFmtId="0" fontId="21" fillId="14" borderId="1" applyAlignment="1" pivotButton="0" quotePrefix="0" xfId="0">
      <alignment horizontal="right" vertical="center"/>
    </xf>
    <xf numFmtId="14" fontId="21" fillId="14" borderId="1" applyAlignment="1" pivotButton="0" quotePrefix="0" xfId="0">
      <alignment horizontal="right" vertical="center"/>
    </xf>
    <xf numFmtId="165" fontId="21" fillId="14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/>
    </xf>
    <xf numFmtId="165" fontId="21" fillId="14" borderId="1" applyAlignment="1" pivotButton="0" quotePrefix="0" xfId="0">
      <alignment horizontal="center" vertical="center"/>
    </xf>
    <xf numFmtId="0" fontId="21" fillId="14" borderId="1" applyAlignment="1" pivotButton="0" quotePrefix="0" xfId="0">
      <alignment horizontal="center" vertical="center"/>
    </xf>
    <xf numFmtId="165" fontId="49" fillId="14" borderId="1" applyAlignment="1" pivotButton="0" quotePrefix="0" xfId="0">
      <alignment horizontal="center" vertical="center"/>
    </xf>
    <xf numFmtId="10" fontId="21" fillId="14" borderId="1" applyAlignment="1" pivotButton="0" quotePrefix="0" xfId="0">
      <alignment horizontal="center" vertical="center"/>
    </xf>
    <xf numFmtId="0" fontId="5" fillId="5" borderId="8" applyAlignment="1" pivotButton="0" quotePrefix="0" xfId="0">
      <alignment horizontal="center"/>
    </xf>
    <xf numFmtId="0" fontId="50" fillId="0" borderId="1" applyAlignment="1" pivotButton="0" quotePrefix="0" xfId="0">
      <alignment horizontal="center" vertical="center"/>
    </xf>
    <xf numFmtId="164" fontId="21" fillId="2" borderId="1" applyAlignment="1" pivotButton="0" quotePrefix="0" xfId="0">
      <alignment horizontal="right"/>
    </xf>
    <xf numFmtId="164" fontId="5" fillId="2" borderId="1" applyAlignment="1" pivotButton="0" quotePrefix="0" xfId="0">
      <alignment horizontal="center"/>
    </xf>
    <xf numFmtId="164" fontId="5" fillId="2" borderId="1" pivotButton="0" quotePrefix="0" xfId="0"/>
    <xf numFmtId="3" fontId="21" fillId="2" borderId="1" applyAlignment="1" pivotButton="0" quotePrefix="0" xfId="0">
      <alignment horizontal="right"/>
    </xf>
    <xf numFmtId="3" fontId="5" fillId="2" borderId="1" applyAlignment="1" pivotButton="0" quotePrefix="0" xfId="0">
      <alignment horizontal="right"/>
    </xf>
    <xf numFmtId="164" fontId="22" fillId="2" borderId="1" applyAlignment="1" pivotButton="0" quotePrefix="0" xfId="0">
      <alignment horizontal="right"/>
    </xf>
    <xf numFmtId="164" fontId="23" fillId="2" borderId="1" applyAlignment="1" pivotButton="0" quotePrefix="0" xfId="0">
      <alignment horizontal="right"/>
    </xf>
    <xf numFmtId="164" fontId="5" fillId="0" borderId="1" pivotButton="0" quotePrefix="0" xfId="0"/>
    <xf numFmtId="164" fontId="21" fillId="0" borderId="1" applyAlignment="1" pivotButton="0" quotePrefix="0" xfId="0">
      <alignment horizontal="right"/>
    </xf>
    <xf numFmtId="0" fontId="5" fillId="0" borderId="1" applyAlignment="1" pivotButton="0" quotePrefix="0" xfId="0">
      <alignment horizontal="center"/>
    </xf>
    <xf numFmtId="3" fontId="5" fillId="0" borderId="1" pivotButton="0" quotePrefix="0" xfId="0"/>
    <xf numFmtId="167" fontId="3" fillId="0" borderId="1" pivotButton="0" quotePrefix="0" xfId="0"/>
    <xf numFmtId="3" fontId="5" fillId="2" borderId="1" pivotButton="0" quotePrefix="0" xfId="0"/>
    <xf numFmtId="3" fontId="21" fillId="0" borderId="1" applyAlignment="1" pivotButton="0" quotePrefix="0" xfId="0">
      <alignment horizontal="right"/>
    </xf>
    <xf numFmtId="165" fontId="21" fillId="2" borderId="1" applyAlignment="1" pivotButton="0" quotePrefix="0" xfId="0">
      <alignment horizontal="center" vertical="center"/>
    </xf>
    <xf numFmtId="164" fontId="5" fillId="2" borderId="1" applyAlignment="1" pivotButton="0" quotePrefix="0" xfId="0">
      <alignment horizontal="center"/>
    </xf>
    <xf numFmtId="0" fontId="5" fillId="2" borderId="1" applyAlignment="1" pivotButton="0" quotePrefix="0" xfId="0">
      <alignment horizontal="right" vertical="center"/>
    </xf>
    <xf numFmtId="14" fontId="21" fillId="2" borderId="1" applyAlignment="1" pivotButton="0" quotePrefix="0" xfId="0">
      <alignment horizontal="right" vertical="center"/>
    </xf>
    <xf numFmtId="0" fontId="21" fillId="2" borderId="1" applyAlignment="1" pivotButton="0" quotePrefix="0" xfId="0">
      <alignment horizontal="center" vertical="center"/>
    </xf>
    <xf numFmtId="164" fontId="21" fillId="2" borderId="1" applyAlignment="1" pivotButton="0" quotePrefix="0" xfId="0">
      <alignment horizontal="center" vertical="center"/>
    </xf>
    <xf numFmtId="0" fontId="21" fillId="2" borderId="1" applyAlignment="1" pivotButton="0" quotePrefix="0" xfId="0">
      <alignment horizontal="center" vertical="center"/>
    </xf>
    <xf numFmtId="165" fontId="49" fillId="2" borderId="1" applyAlignment="1" pivotButton="0" quotePrefix="0" xfId="0">
      <alignment horizontal="center" vertical="center"/>
    </xf>
    <xf numFmtId="3" fontId="21" fillId="2" borderId="1" applyAlignment="1" pivotButton="0" quotePrefix="0" xfId="0">
      <alignment horizontal="center" vertical="center"/>
    </xf>
    <xf numFmtId="0" fontId="25" fillId="0" borderId="0" applyAlignment="1" pivotButton="0" quotePrefix="0" xfId="0">
      <alignment horizontal="right" vertical="center"/>
    </xf>
    <xf numFmtId="14" fontId="25" fillId="0" borderId="0" applyAlignment="1" pivotButton="0" quotePrefix="0" xfId="0">
      <alignment horizontal="right" vertical="center"/>
    </xf>
    <xf numFmtId="0" fontId="21" fillId="0" borderId="0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164" fontId="10" fillId="0" borderId="1" applyAlignment="1" pivotButton="0" quotePrefix="0" xfId="0">
      <alignment horizontal="center"/>
    </xf>
    <xf numFmtId="0" fontId="51" fillId="0" borderId="0" pivotButton="0" quotePrefix="0" xfId="0"/>
    <xf numFmtId="0" fontId="52" fillId="0" borderId="0" pivotButton="0" quotePrefix="0" xfId="0"/>
    <xf numFmtId="164" fontId="21" fillId="0" borderId="0" applyAlignment="1" pivotButton="0" quotePrefix="0" xfId="0">
      <alignment horizontal="center"/>
    </xf>
    <xf numFmtId="0" fontId="31" fillId="17" borderId="0" applyAlignment="1" pivotButton="0" quotePrefix="0" xfId="0">
      <alignment horizontal="center"/>
    </xf>
    <xf numFmtId="0" fontId="53" fillId="0" borderId="0" pivotButton="0" quotePrefix="0" xfId="0"/>
    <xf numFmtId="0" fontId="54" fillId="0" borderId="0" pivotButton="0" quotePrefix="0" xfId="0"/>
    <xf numFmtId="168" fontId="3" fillId="26" borderId="1" applyAlignment="1" pivotButton="0" quotePrefix="0" xfId="0">
      <alignment horizontal="center"/>
    </xf>
    <xf numFmtId="0" fontId="3" fillId="26" borderId="1" pivotButton="0" quotePrefix="0" xfId="0"/>
    <xf numFmtId="3" fontId="3" fillId="26" borderId="1" applyAlignment="1" pivotButton="0" quotePrefix="0" xfId="0">
      <alignment horizontal="center"/>
    </xf>
    <xf numFmtId="168" fontId="3" fillId="18" borderId="1" applyAlignment="1" pivotButton="0" quotePrefix="0" xfId="0">
      <alignment horizontal="center"/>
    </xf>
    <xf numFmtId="0" fontId="3" fillId="18" borderId="1" pivotButton="0" quotePrefix="0" xfId="0"/>
    <xf numFmtId="3" fontId="3" fillId="18" borderId="1" applyAlignment="1" pivotButton="0" quotePrefix="0" xfId="0">
      <alignment horizontal="center"/>
    </xf>
    <xf numFmtId="168" fontId="3" fillId="19" borderId="1" applyAlignment="1" pivotButton="0" quotePrefix="0" xfId="0">
      <alignment horizontal="center"/>
    </xf>
    <xf numFmtId="0" fontId="3" fillId="19" borderId="1" pivotButton="0" quotePrefix="0" xfId="0"/>
    <xf numFmtId="3" fontId="3" fillId="19" borderId="1" applyAlignment="1" pivotButton="0" quotePrefix="0" xfId="0">
      <alignment horizontal="center"/>
    </xf>
    <xf numFmtId="0" fontId="55" fillId="0" borderId="0" applyAlignment="1" pivotButton="0" quotePrefix="0" xfId="0">
      <alignment horizontal="center"/>
    </xf>
    <xf numFmtId="0" fontId="55" fillId="0" borderId="0" pivotButton="0" quotePrefix="0" xfId="0"/>
    <xf numFmtId="165" fontId="5" fillId="10" borderId="1" pivotButton="0" quotePrefix="0" xfId="0"/>
    <xf numFmtId="164" fontId="5" fillId="10" borderId="1" applyAlignment="1" pivotButton="0" quotePrefix="0" xfId="0">
      <alignment horizontal="center" vertical="center"/>
    </xf>
    <xf numFmtId="165" fontId="56" fillId="27" borderId="1" applyAlignment="1" pivotButton="0" quotePrefix="0" xfId="0">
      <alignment horizontal="center"/>
    </xf>
    <xf numFmtId="164" fontId="5" fillId="14" borderId="1" applyAlignment="1" pivotButton="0" quotePrefix="0" xfId="0">
      <alignment horizontal="center"/>
    </xf>
    <xf numFmtId="165" fontId="56" fillId="14" borderId="1" applyAlignment="1" pivotButton="0" quotePrefix="0" xfId="0">
      <alignment horizontal="right"/>
    </xf>
    <xf numFmtId="165" fontId="57" fillId="0" borderId="0" pivotButton="0" quotePrefix="0" xfId="0"/>
    <xf numFmtId="164" fontId="5" fillId="10" borderId="1" applyAlignment="1" pivotButton="0" quotePrefix="0" xfId="0">
      <alignment horizontal="center"/>
    </xf>
    <xf numFmtId="165" fontId="5" fillId="14" borderId="1" pivotButton="0" quotePrefix="0" xfId="0"/>
    <xf numFmtId="168" fontId="3" fillId="15" borderId="1" applyAlignment="1" pivotButton="0" quotePrefix="0" xfId="0">
      <alignment horizontal="center"/>
    </xf>
    <xf numFmtId="0" fontId="3" fillId="15" borderId="1" pivotButton="0" quotePrefix="0" xfId="0"/>
    <xf numFmtId="3" fontId="3" fillId="15" borderId="1" applyAlignment="1" pivotButton="0" quotePrefix="0" xfId="0">
      <alignment horizontal="center"/>
    </xf>
    <xf numFmtId="165" fontId="18" fillId="14" borderId="1" applyAlignment="1" pivotButton="0" quotePrefix="0" xfId="0">
      <alignment horizontal="right"/>
    </xf>
    <xf numFmtId="165" fontId="58" fillId="0" borderId="0" pivotButton="0" quotePrefix="0" xfId="0"/>
    <xf numFmtId="165" fontId="18" fillId="13" borderId="1" applyAlignment="1" pivotButton="0" quotePrefix="0" xfId="0">
      <alignment horizontal="right"/>
    </xf>
    <xf numFmtId="168" fontId="3" fillId="3" borderId="1" applyAlignment="1" pivotButton="0" quotePrefix="0" xfId="0">
      <alignment horizontal="center"/>
    </xf>
    <xf numFmtId="0" fontId="3" fillId="3" borderId="1" pivotButton="0" quotePrefix="0" xfId="0"/>
    <xf numFmtId="3" fontId="3" fillId="3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26" fillId="0" borderId="1" applyAlignment="1" pivotButton="0" quotePrefix="0" xfId="0">
      <alignment horizontal="center"/>
    </xf>
    <xf numFmtId="164" fontId="47" fillId="0" borderId="1" applyAlignment="1" pivotButton="0" quotePrefix="0" xfId="0">
      <alignment horizontal="right"/>
    </xf>
    <xf numFmtId="164" fontId="5" fillId="14" borderId="1" applyAlignment="1" pivotButton="0" quotePrefix="0" xfId="0">
      <alignment horizontal="left"/>
    </xf>
    <xf numFmtId="164" fontId="5" fillId="10" borderId="1" applyAlignment="1" pivotButton="0" quotePrefix="0" xfId="0">
      <alignment horizontal="left"/>
    </xf>
    <xf numFmtId="0" fontId="59" fillId="14" borderId="1" applyAlignment="1" pivotButton="0" quotePrefix="0" xfId="0">
      <alignment horizontal="right"/>
    </xf>
    <xf numFmtId="165" fontId="60" fillId="27" borderId="1" applyAlignment="1" pivotButton="0" quotePrefix="0" xfId="0">
      <alignment horizontal="right"/>
    </xf>
    <xf numFmtId="0" fontId="51" fillId="0" borderId="1" applyAlignment="1" pivotButton="0" quotePrefix="0" xfId="0">
      <alignment horizontal="center"/>
    </xf>
    <xf numFmtId="0" fontId="5" fillId="0" borderId="1" pivotButton="0" quotePrefix="0" xfId="0"/>
    <xf numFmtId="0" fontId="61" fillId="0" borderId="0" pivotButton="0" quotePrefix="0" xfId="0"/>
    <xf numFmtId="168" fontId="62" fillId="2" borderId="1" applyAlignment="1" pivotButton="0" quotePrefix="0" xfId="0">
      <alignment horizontal="center"/>
    </xf>
    <xf numFmtId="0" fontId="62" fillId="2" borderId="1" applyAlignment="1" pivotButton="0" quotePrefix="0" xfId="0">
      <alignment horizontal="center"/>
    </xf>
    <xf numFmtId="165" fontId="63" fillId="2" borderId="1" pivotButton="0" quotePrefix="0" xfId="0"/>
    <xf numFmtId="164" fontId="5" fillId="10" borderId="1" pivotButton="0" quotePrefix="0" xfId="0"/>
    <xf numFmtId="165" fontId="64" fillId="2" borderId="0" pivotButton="0" quotePrefix="0" xfId="0"/>
    <xf numFmtId="164" fontId="5" fillId="14" borderId="1" pivotButton="0" quotePrefix="0" xfId="0"/>
    <xf numFmtId="168" fontId="62" fillId="2" borderId="1" applyAlignment="1" pivotButton="0" quotePrefix="0" xfId="0">
      <alignment horizontal="center" wrapText="1"/>
    </xf>
    <xf numFmtId="168" fontId="62" fillId="0" borderId="1" applyAlignment="1" pivotButton="0" quotePrefix="0" xfId="0">
      <alignment horizontal="center"/>
    </xf>
    <xf numFmtId="0" fontId="62" fillId="0" borderId="1" applyAlignment="1" pivotButton="0" quotePrefix="0" xfId="0">
      <alignment horizontal="center"/>
    </xf>
    <xf numFmtId="165" fontId="63" fillId="2" borderId="1" applyAlignment="1" pivotButton="0" quotePrefix="0" xfId="0">
      <alignment wrapText="1"/>
    </xf>
    <xf numFmtId="0" fontId="5" fillId="10" borderId="1" pivotButton="0" quotePrefix="0" xfId="0"/>
    <xf numFmtId="165" fontId="36" fillId="0" borderId="1" applyAlignment="1" pivotButton="0" quotePrefix="0" xfId="0">
      <alignment horizontal="center"/>
    </xf>
    <xf numFmtId="3" fontId="5" fillId="2" borderId="0" applyAlignment="1" pivotButton="0" quotePrefix="0" xfId="0">
      <alignment horizontal="right"/>
    </xf>
    <xf numFmtId="164" fontId="22" fillId="2" borderId="0" applyAlignment="1" pivotButton="0" quotePrefix="0" xfId="0">
      <alignment horizontal="right"/>
    </xf>
    <xf numFmtId="164" fontId="5" fillId="2" borderId="0" pivotButton="0" quotePrefix="0" xfId="0"/>
    <xf numFmtId="164" fontId="65" fillId="2" borderId="0" pivotButton="0" quotePrefix="0" xfId="0"/>
    <xf numFmtId="3" fontId="5" fillId="0" borderId="0" pivotButton="0" quotePrefix="0" xfId="0"/>
    <xf numFmtId="164" fontId="22" fillId="2" borderId="0" pivotButton="0" quotePrefix="0" xfId="0"/>
    <xf numFmtId="0" fontId="5" fillId="0" borderId="0" pivotButton="0" quotePrefix="0" xfId="0"/>
    <xf numFmtId="3" fontId="5" fillId="2" borderId="13" pivotButton="0" quotePrefix="0" xfId="0"/>
    <xf numFmtId="0" fontId="21" fillId="0" borderId="1" applyAlignment="1" pivotButton="0" quotePrefix="0" xfId="0">
      <alignment horizontal="right"/>
    </xf>
    <xf numFmtId="164" fontId="5" fillId="2" borderId="5" pivotButton="0" quotePrefix="0" xfId="0"/>
    <xf numFmtId="3" fontId="22" fillId="2" borderId="0" pivotButton="0" quotePrefix="0" xfId="0"/>
    <xf numFmtId="14" fontId="66" fillId="27" borderId="1" pivotButton="0" quotePrefix="0" xfId="0"/>
    <xf numFmtId="0" fontId="66" fillId="27" borderId="1" pivotButton="0" quotePrefix="0" xfId="0"/>
    <xf numFmtId="169" fontId="66" fillId="27" borderId="1" applyAlignment="1" pivotButton="0" quotePrefix="0" xfId="0">
      <alignment horizontal="right"/>
    </xf>
    <xf numFmtId="49" fontId="5" fillId="0" borderId="1" applyAlignment="1" pivotButton="0" quotePrefix="0" xfId="0">
      <alignment horizontal="right"/>
    </xf>
    <xf numFmtId="0" fontId="5" fillId="0" borderId="1" applyAlignment="1" pivotButton="0" quotePrefix="0" xfId="0">
      <alignment horizontal="right"/>
    </xf>
    <xf numFmtId="14" fontId="3" fillId="28" borderId="1" pivotButton="0" quotePrefix="0" xfId="0"/>
    <xf numFmtId="0" fontId="3" fillId="28" borderId="1" pivotButton="0" quotePrefix="0" xfId="0"/>
    <xf numFmtId="169" fontId="3" fillId="28" borderId="1" pivotButton="0" quotePrefix="0" xfId="0"/>
    <xf numFmtId="14" fontId="3" fillId="27" borderId="1" pivotButton="0" quotePrefix="0" xfId="0"/>
    <xf numFmtId="0" fontId="3" fillId="27" borderId="1" pivotButton="0" quotePrefix="0" xfId="0"/>
    <xf numFmtId="169" fontId="3" fillId="27" borderId="1" pivotButton="0" quotePrefix="0" xfId="0"/>
    <xf numFmtId="14" fontId="3" fillId="5" borderId="1" pivotButton="0" quotePrefix="0" xfId="0"/>
    <xf numFmtId="0" fontId="3" fillId="5" borderId="1" pivotButton="0" quotePrefix="0" xfId="0"/>
    <xf numFmtId="169" fontId="3" fillId="5" borderId="1" pivotButton="0" quotePrefix="0" xfId="0"/>
    <xf numFmtId="14" fontId="3" fillId="2" borderId="1" pivotButton="0" quotePrefix="0" xfId="0"/>
    <xf numFmtId="0" fontId="3" fillId="2" borderId="1" pivotButton="0" quotePrefix="0" xfId="0"/>
    <xf numFmtId="169" fontId="3" fillId="2" borderId="1" pivotButton="0" quotePrefix="0" xfId="0"/>
    <xf numFmtId="0" fontId="3" fillId="0" borderId="1" applyAlignment="1" pivotButton="0" quotePrefix="0" xfId="0">
      <alignment horizontal="left"/>
    </xf>
    <xf numFmtId="0" fontId="3" fillId="0" borderId="0" pivotButton="0" quotePrefix="0" xfId="0"/>
    <xf numFmtId="0" fontId="3" fillId="0" borderId="0" applyAlignment="1" pivotButton="0" quotePrefix="0" xfId="0">
      <alignment horizontal="left"/>
    </xf>
    <xf numFmtId="165" fontId="15" fillId="10" borderId="1" applyAlignment="1" pivotButton="0" quotePrefix="0" xfId="0">
      <alignment horizontal="center"/>
    </xf>
    <xf numFmtId="165" fontId="15" fillId="14" borderId="1" applyAlignment="1" pivotButton="0" quotePrefix="0" xfId="0">
      <alignment horizontal="center"/>
    </xf>
    <xf numFmtId="165" fontId="67" fillId="12" borderId="1" applyAlignment="1" pivotButton="0" quotePrefix="0" xfId="0">
      <alignment horizontal="right"/>
    </xf>
    <xf numFmtId="165" fontId="68" fillId="27" borderId="1" applyAlignment="1" pivotButton="0" quotePrefix="0" xfId="0">
      <alignment horizontal="right"/>
    </xf>
    <xf numFmtId="0" fontId="50" fillId="0" borderId="1" applyAlignment="1" pivotButton="0" quotePrefix="0" xfId="0">
      <alignment horizontal="center"/>
    </xf>
    <xf numFmtId="3" fontId="5" fillId="2" borderId="1" applyAlignment="1" pivotButton="0" quotePrefix="0" xfId="0">
      <alignment horizontal="center"/>
    </xf>
    <xf numFmtId="165" fontId="69" fillId="27" borderId="1" applyAlignment="1" pivotButton="0" quotePrefix="0" xfId="0">
      <alignment horizontal="right"/>
    </xf>
    <xf numFmtId="168" fontId="3" fillId="0" borderId="1" pivotButton="0" quotePrefix="0" xfId="0"/>
    <xf numFmtId="3" fontId="3" fillId="0" borderId="1" pivotButton="0" quotePrefix="0" xfId="0"/>
    <xf numFmtId="164" fontId="65" fillId="2" borderId="1" pivotButton="0" quotePrefix="0" xfId="0"/>
    <xf numFmtId="3" fontId="22" fillId="2" borderId="1" pivotButton="0" quotePrefix="0" xfId="0"/>
    <xf numFmtId="0" fontId="70" fillId="0" borderId="0" pivotButton="0" quotePrefix="0" xfId="0"/>
    <xf numFmtId="0" fontId="65" fillId="2" borderId="0" pivotButton="0" quotePrefix="0" xfId="0"/>
    <xf numFmtId="3" fontId="65" fillId="2" borderId="0" pivotButton="0" quotePrefix="0" xfId="0"/>
    <xf numFmtId="0" fontId="71" fillId="2" borderId="0" pivotButton="0" quotePrefix="0" xfId="0"/>
    <xf numFmtId="0" fontId="72" fillId="2" borderId="0" pivotButton="0" quotePrefix="0" xfId="0"/>
    <xf numFmtId="3" fontId="65" fillId="2" borderId="1" pivotButton="0" quotePrefix="0" xfId="0"/>
    <xf numFmtId="3" fontId="3" fillId="0" borderId="0" pivotButton="0" quotePrefix="0" xfId="0"/>
    <xf numFmtId="168" fontId="3" fillId="0" borderId="0" pivotButton="0" quotePrefix="0" xfId="0"/>
    <xf numFmtId="3" fontId="2" fillId="2" borderId="2" applyAlignment="1" pivotButton="0" quotePrefix="0" xfId="0">
      <alignment horizontal="center"/>
    </xf>
    <xf numFmtId="0" fontId="4" fillId="0" borderId="3" pivotButton="0" quotePrefix="0" xfId="0"/>
    <xf numFmtId="0" fontId="4" fillId="0" borderId="4" pivotButton="0" quotePrefix="0" xfId="0"/>
    <xf numFmtId="3" fontId="2" fillId="2" borderId="5" applyAlignment="1" pivotButton="0" quotePrefix="0" xfId="0">
      <alignment horizontal="center" wrapText="1"/>
    </xf>
    <xf numFmtId="0" fontId="4" fillId="0" borderId="6" pivotButton="0" quotePrefix="0" xfId="0"/>
    <xf numFmtId="0" fontId="2" fillId="2" borderId="5" applyAlignment="1" pivotButton="0" quotePrefix="0" xfId="0">
      <alignment horizontal="center" wrapText="1"/>
    </xf>
    <xf numFmtId="0" fontId="10" fillId="0" borderId="5" applyAlignment="1" pivotButton="0" quotePrefix="0" xfId="0">
      <alignment horizontal="center"/>
    </xf>
    <xf numFmtId="49" fontId="12" fillId="4" borderId="5" applyAlignment="1" pivotButton="0" quotePrefix="0" xfId="0">
      <alignment horizontal="center" wrapText="1"/>
    </xf>
    <xf numFmtId="0" fontId="12" fillId="4" borderId="5" applyAlignment="1" pivotButton="0" quotePrefix="0" xfId="0">
      <alignment horizontal="center" wrapText="1"/>
    </xf>
    <xf numFmtId="0" fontId="14" fillId="3" borderId="5" applyAlignment="1" pivotButton="0" quotePrefix="0" xfId="0">
      <alignment vertical="center"/>
    </xf>
    <xf numFmtId="0" fontId="4" fillId="0" borderId="10" pivotButton="0" quotePrefix="0" xfId="0"/>
    <xf numFmtId="0" fontId="29" fillId="16" borderId="5" applyAlignment="1" pivotButton="0" quotePrefix="0" xfId="0">
      <alignment vertical="center"/>
    </xf>
    <xf numFmtId="0" fontId="14" fillId="20" borderId="5" applyAlignment="1" pivotButton="0" quotePrefix="0" xfId="0">
      <alignment vertical="center"/>
    </xf>
    <xf numFmtId="0" fontId="14" fillId="24" borderId="5" applyAlignment="1" pivotButton="0" quotePrefix="0" xfId="0">
      <alignment vertical="center"/>
    </xf>
    <xf numFmtId="0" fontId="29" fillId="26" borderId="5" applyAlignment="1" pivotButton="0" quotePrefix="0" xfId="0">
      <alignment horizontal="left" vertical="center"/>
    </xf>
    <xf numFmtId="0" fontId="8" fillId="0" borderId="0" applyAlignment="1" pivotButton="0" quotePrefix="0" xfId="0">
      <alignment wrapText="1"/>
    </xf>
    <xf numFmtId="0" fontId="0" fillId="0" borderId="0" pivotButton="0" quotePrefix="0" xfId="0"/>
    <xf numFmtId="0" fontId="9" fillId="3" borderId="5" pivotButton="0" quotePrefix="0" xfId="0"/>
    <xf numFmtId="0" fontId="9" fillId="15" borderId="5" pivotButton="0" quotePrefix="0" xfId="0"/>
    <xf numFmtId="0" fontId="9" fillId="16" borderId="5" pivotButton="0" quotePrefix="0" xfId="0"/>
    <xf numFmtId="0" fontId="9" fillId="26" borderId="5" pivotButton="0" quotePrefix="0" xfId="0"/>
    <xf numFmtId="0" fontId="9" fillId="0" borderId="5" pivotButton="0" quotePrefix="0" xfId="0"/>
    <xf numFmtId="0" fontId="9" fillId="0" borderId="5" pivotButton="0" quotePrefix="0" xfId="0"/>
    <xf numFmtId="0" fontId="9" fillId="18" borderId="5" pivotButton="0" quotePrefix="0" xfId="0"/>
    <xf numFmtId="0" fontId="9" fillId="20" borderId="5" pivotButton="0" quotePrefix="0" xfId="0"/>
    <xf numFmtId="0" fontId="9" fillId="24" borderId="5" pivotButton="0" quotePrefix="0" xfId="0"/>
    <xf numFmtId="0" fontId="11" fillId="0" borderId="0" applyAlignment="1" pivotButton="0" quotePrefix="0" xfId="0">
      <alignment horizontal="center"/>
    </xf>
    <xf numFmtId="0" fontId="26" fillId="0" borderId="11" pivotButton="0" quotePrefix="0" xfId="0"/>
    <xf numFmtId="0" fontId="4" fillId="0" borderId="12" pivotButton="0" quotePrefix="0" xfId="0"/>
    <xf numFmtId="0" fontId="32" fillId="0" borderId="11" pivotButton="0" quotePrefix="0" xfId="0"/>
    <xf numFmtId="0" fontId="8" fillId="0" borderId="0" pivotButton="0" quotePrefix="0" xfId="0"/>
    <xf numFmtId="0" fontId="3" fillId="16" borderId="0" pivotButton="0" quotePrefix="0" xfId="0"/>
    <xf numFmtId="0" fontId="3" fillId="18" borderId="0" pivotButton="0" quotePrefix="0" xfId="0"/>
    <xf numFmtId="0" fontId="3" fillId="3" borderId="0" pivotButton="0" quotePrefix="0" xfId="0"/>
    <xf numFmtId="0" fontId="3" fillId="21" borderId="0" pivotButton="0" quotePrefix="0" xfId="0"/>
    <xf numFmtId="0" fontId="3" fillId="25" borderId="0" pivotButton="0" quotePrefix="0" xfId="0"/>
    <xf numFmtId="0" fontId="36" fillId="16" borderId="0" applyAlignment="1" pivotButton="0" quotePrefix="0" xfId="0">
      <alignment horizontal="center"/>
    </xf>
    <xf numFmtId="3" fontId="47" fillId="2" borderId="5" applyAlignment="1" pivotButton="0" quotePrefix="0" xfId="0">
      <alignment horizontal="right" vertical="center" wrapText="1"/>
    </xf>
    <xf numFmtId="0" fontId="47" fillId="2" borderId="5" applyAlignment="1" pivotButton="0" quotePrefix="0" xfId="0">
      <alignment horizontal="right" vertical="center" wrapText="1"/>
    </xf>
    <xf numFmtId="0" fontId="36" fillId="0" borderId="11" applyAlignment="1" pivotButton="0" quotePrefix="0" xfId="0">
      <alignment horizontal="center"/>
    </xf>
    <xf numFmtId="3" fontId="2" fillId="2" borderId="14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  <xf numFmtId="0" fontId="2" fillId="2" borderId="1" applyAlignment="1" pivotButton="0" quotePrefix="0" xfId="0">
      <alignment horizontal="center" wrapText="1"/>
    </xf>
    <xf numFmtId="0" fontId="0" fillId="0" borderId="6" pivotButton="0" quotePrefix="0" xfId="0"/>
    <xf numFmtId="0" fontId="10" fillId="0" borderId="1" applyAlignment="1" pivotButton="0" quotePrefix="0" xfId="0">
      <alignment horizontal="center"/>
    </xf>
    <xf numFmtId="0" fontId="8" fillId="0" borderId="13" applyAlignment="1" pivotButton="0" quotePrefix="0" xfId="0">
      <alignment wrapText="1"/>
    </xf>
    <xf numFmtId="0" fontId="0" fillId="0" borderId="10" pivotButton="0" quotePrefix="0" xfId="0"/>
    <xf numFmtId="0" fontId="14" fillId="20" borderId="1" applyAlignment="1" pivotButton="0" quotePrefix="0" xfId="0">
      <alignment vertical="center"/>
    </xf>
    <xf numFmtId="0" fontId="11" fillId="0" borderId="13" applyAlignment="1" pivotButton="0" quotePrefix="0" xfId="0">
      <alignment horizontal="center"/>
    </xf>
    <xf numFmtId="0" fontId="0" fillId="0" borderId="12" pivotButton="0" quotePrefix="0" xfId="0"/>
    <xf numFmtId="0" fontId="8" fillId="0" borderId="13" pivotButton="0" quotePrefix="0" xfId="0"/>
    <xf numFmtId="0" fontId="3" fillId="16" borderId="13" pivotButton="0" quotePrefix="0" xfId="0"/>
    <xf numFmtId="0" fontId="3" fillId="18" borderId="13" pivotButton="0" quotePrefix="0" xfId="0"/>
    <xf numFmtId="0" fontId="3" fillId="3" borderId="13" pivotButton="0" quotePrefix="0" xfId="0"/>
    <xf numFmtId="0" fontId="3" fillId="21" borderId="13" pivotButton="0" quotePrefix="0" xfId="0"/>
    <xf numFmtId="0" fontId="3" fillId="25" borderId="13" pivotButton="0" quotePrefix="0" xfId="0"/>
    <xf numFmtId="0" fontId="36" fillId="16" borderId="13" applyAlignment="1" pivotButton="0" quotePrefix="0" xfId="0">
      <alignment horizontal="center"/>
    </xf>
    <xf numFmtId="3" fontId="47" fillId="2" borderId="1" applyAlignment="1" pivotButton="0" quotePrefix="0" xfId="0">
      <alignment horizontal="right" vertical="center" wrapText="1"/>
    </xf>
    <xf numFmtId="0" fontId="47" fillId="2" borderId="1" applyAlignment="1" pivotButton="0" quotePrefix="0" xfId="0">
      <alignment horizontal="right" vertical="center" wrapText="1"/>
    </xf>
    <xf numFmtId="168" fontId="9" fillId="26" borderId="1" applyAlignment="1" pivotButton="0" quotePrefix="0" xfId="0">
      <alignment horizontal="center"/>
    </xf>
    <xf numFmtId="3" fontId="9" fillId="26" borderId="1" applyAlignment="1" pivotButton="0" quotePrefix="0" xfId="0">
      <alignment horizontal="center"/>
    </xf>
    <xf numFmtId="168" fontId="9" fillId="18" borderId="1" applyAlignment="1" pivotButton="0" quotePrefix="0" xfId="0">
      <alignment horizontal="center"/>
    </xf>
    <xf numFmtId="3" fontId="9" fillId="18" borderId="1" applyAlignment="1" pivotButton="0" quotePrefix="0" xfId="0">
      <alignment horizontal="center"/>
    </xf>
    <xf numFmtId="168" fontId="9" fillId="19" borderId="1" applyAlignment="1" pivotButton="0" quotePrefix="0" xfId="0">
      <alignment horizontal="center"/>
    </xf>
    <xf numFmtId="3" fontId="9" fillId="19" borderId="1" applyAlignment="1" pivotButton="0" quotePrefix="0" xfId="0">
      <alignment horizontal="center"/>
    </xf>
    <xf numFmtId="0" fontId="9" fillId="19" borderId="1" pivotButton="0" quotePrefix="0" xfId="0"/>
    <xf numFmtId="168" fontId="9" fillId="15" borderId="1" applyAlignment="1" pivotButton="0" quotePrefix="0" xfId="0">
      <alignment horizontal="center"/>
    </xf>
    <xf numFmtId="3" fontId="9" fillId="15" borderId="1" applyAlignment="1" pivotButton="0" quotePrefix="0" xfId="0">
      <alignment horizontal="center"/>
    </xf>
    <xf numFmtId="168" fontId="9" fillId="3" borderId="1" applyAlignment="1" pivotButton="0" quotePrefix="0" xfId="0">
      <alignment horizontal="center"/>
    </xf>
    <xf numFmtId="3" fontId="9" fillId="3" borderId="1" applyAlignment="1" pivotButton="0" quotePrefix="0" xfId="0">
      <alignment horizontal="center"/>
    </xf>
    <xf numFmtId="165" fontId="64" fillId="2" borderId="13" pivotButton="0" quotePrefix="0" xfId="0"/>
    <xf numFmtId="0" fontId="36" fillId="0" borderId="1" applyAlignment="1" pivotButton="0" quotePrefix="0" xfId="0">
      <alignment horizontal="center"/>
    </xf>
    <xf numFmtId="14" fontId="9" fillId="28" borderId="1" pivotButton="0" quotePrefix="0" xfId="0"/>
    <xf numFmtId="169" fontId="9" fillId="28" borderId="1" pivotButton="0" quotePrefix="0" xfId="0"/>
    <xf numFmtId="0" fontId="9" fillId="28" borderId="1" pivotButton="0" quotePrefix="0" xfId="0"/>
    <xf numFmtId="14" fontId="9" fillId="27" borderId="1" pivotButton="0" quotePrefix="0" xfId="0"/>
    <xf numFmtId="169" fontId="9" fillId="27" borderId="1" pivotButton="0" quotePrefix="0" xfId="0"/>
    <xf numFmtId="0" fontId="9" fillId="27" borderId="1" pivotButton="0" quotePrefix="0" xfId="0"/>
    <xf numFmtId="14" fontId="9" fillId="5" borderId="1" pivotButton="0" quotePrefix="0" xfId="0"/>
    <xf numFmtId="169" fontId="9" fillId="5" borderId="1" pivotButton="0" quotePrefix="0" xfId="0"/>
    <xf numFmtId="0" fontId="9" fillId="5" borderId="1" pivotButton="0" quotePrefix="0" xfId="0"/>
    <xf numFmtId="0" fontId="9" fillId="0" borderId="13" pivotButton="0" quotePrefix="0" xfId="0"/>
    <xf numFmtId="0" fontId="9" fillId="0" borderId="13" applyAlignment="1" pivotButton="0" quotePrefix="0" xfId="0">
      <alignment horizontal="left"/>
    </xf>
    <xf numFmtId="168" fontId="9" fillId="0" borderId="1" pivotButton="0" quotePrefix="0" xfId="0"/>
    <xf numFmtId="3" fontId="9" fillId="0" borderId="1" pivotButton="0" quotePrefix="0" xfId="0"/>
    <xf numFmtId="0" fontId="65" fillId="2" borderId="13" pivotButton="0" quotePrefix="0" xfId="0"/>
    <xf numFmtId="3" fontId="65" fillId="2" borderId="13" pivotButton="0" quotePrefix="0" xfId="0"/>
    <xf numFmtId="0" fontId="71" fillId="2" borderId="13" pivotButton="0" quotePrefix="0" xfId="0"/>
    <xf numFmtId="0" fontId="72" fillId="2" borderId="13" pivotButton="0" quotePrefix="0" xfId="0"/>
    <xf numFmtId="3" fontId="9" fillId="0" borderId="13" pivotButton="0" quotePrefix="0" xfId="0"/>
    <xf numFmtId="168" fontId="9" fillId="0" borderId="1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www.facebook.com/profile.php?id=61584406597552" TargetMode="External" Id="rId1"/><Relationship Type="http://schemas.openxmlformats.org/officeDocument/2006/relationships/hyperlink" Target="https://adsmanager.facebook.com/adsmanager/manage/campaigns?global_scope_id=2365221567226425&amp;business_id=2365221567226425&amp;act=3339934536170988&amp;redirect_session_id=c05e1c6c-e852-4aff-9a1f-98fd313868c9" TargetMode="External" Id="rId2"/><Relationship Type="http://schemas.openxmlformats.org/officeDocument/2006/relationships/hyperlink" Target="https://www.facebook.com/profile.php?id=61580994806050" TargetMode="External" Id="rId3"/><Relationship Type="http://schemas.openxmlformats.org/officeDocument/2006/relationships/hyperlink" Target="https://adsmanager.facebook.com/adsmanager/manage/campaigns?global_scope_id=2365221567226425&amp;business_id=2365221567226425&amp;act=680331697699387&amp;redirect_session_id=71d1755e-d2b4-4f85-9826-f1cdb87bac02" TargetMode="External" Id="rId4"/><Relationship Type="http://schemas.openxmlformats.org/officeDocument/2006/relationships/hyperlink" Target="https://www.facebook.com/bacsibachhoi/" TargetMode="External" Id="rId5"/><Relationship Type="http://schemas.openxmlformats.org/officeDocument/2006/relationships/hyperlink" Target="https://adsmanager.facebook.com/adsmanager/manage/campaigns?global_scope_id=2365221567226425&amp;business_id=2365221567226425&amp;act=1282995733019095&amp;redirect_session_id=346ebb8d-50f7-4404-bf19-d2a0203189dd" TargetMode="External" Id="rId6"/><Relationship Type="http://schemas.openxmlformats.org/officeDocument/2006/relationships/hyperlink" Target="https://www.facebook.com/profile.php?id=61585093756453" TargetMode="External" Id="rId7"/><Relationship Type="http://schemas.openxmlformats.org/officeDocument/2006/relationships/hyperlink" Target="https://adsmanager.facebook.com/adsmanager/manage/campaigns?global_scope_id=2365221567226425&amp;business_id=2365221567226425&amp;act=1793244831309551&amp;redirect_session_id=94835b32-e00a-4e65-b007-eadb87bcd169" TargetMode="External" Id="rId8"/><Relationship Type="http://schemas.openxmlformats.org/officeDocument/2006/relationships/hyperlink" Target="https://adsmanager.facebook.com/adsmanager/manage/campaigns?global_scope_id=2365221567226425&amp;business_id=2365221567226425&amp;act=1288486492565179&amp;redirect_session_id=a30292c4-0953-49ea-b7cc-526a1d113ea3" TargetMode="External" Id="rId9"/><Relationship Type="http://schemas.openxmlformats.org/officeDocument/2006/relationships/hyperlink" Target="https://adsmanager.facebook.com/adsmanager/manage/campaigns?global_scope_id=2365221567226425&amp;business_id=2365221567226425&amp;act=866094236097506&amp;redirect_session_id=27ce2344-5e7f-4103-b3b1-8debe3d2d40c" TargetMode="External" Id="rId10"/><Relationship Type="http://schemas.openxmlformats.org/officeDocument/2006/relationships/hyperlink" Target="https://www.facebook.com/bacsibachhoiphoidadaytugoc" TargetMode="External" Id="rId11"/><Relationship Type="http://schemas.openxmlformats.org/officeDocument/2006/relationships/hyperlink" Target="https://www.facebook.com/profile.php?id=61588430593952" TargetMode="External" Id="rId12"/><Relationship Type="http://schemas.openxmlformats.org/officeDocument/2006/relationships/hyperlink" Target="https://www.facebook.com/profile.php?id=61587788227415" TargetMode="External" Id="rId13"/><Relationship Type="http://schemas.openxmlformats.org/officeDocument/2006/relationships/hyperlink" Target="https://adsmanager.facebook.com/adsmanager/manage/campaigns?act=2201498383943535&amp;business_id=874930108075813&amp;nav_entry_point=ads_ecosystem_navigation_menu&amp;nav_source=ads_manager&amp;treenav=true" TargetMode="External" Id="rId14"/><Relationship Type="http://schemas.openxmlformats.org/officeDocument/2006/relationships/hyperlink" Target="https://www.facebook.com/profile.php?id=61580862672623" TargetMode="External" Id="rId15"/><Relationship Type="http://schemas.openxmlformats.org/officeDocument/2006/relationships/hyperlink" Target="https://adsmanager.facebook.com/adsmanager/manage/campaigns?global_scope_id=874930108075813&amp;business_id=874930108075813&amp;act=831253603038561&amp;redirect_session_id=4ff91bbe-6889-486e-88a3-494def205c92" TargetMode="External" Id="rId16"/><Relationship Type="http://schemas.openxmlformats.org/officeDocument/2006/relationships/hyperlink" Target="https://www.facebook.com/profile.php?id=61575705099170" TargetMode="External" Id="rId17"/><Relationship Type="http://schemas.openxmlformats.org/officeDocument/2006/relationships/hyperlink" Target="https://adsmanager.facebook.com/adsmanager/manage/campaigns?act=1019830297063950&amp;ads_manager_write_regions=true&amp;business_id=874930108075813&amp;global_scope_id=874930108075813&amp;column_preset=2804121349923810&amp;date=2026-06-03_2026-06-04%2Cyesterday&amp;insights_date=2026-06-03_2026-06-04%2Cyesterday&amp;selected_campaign_ids=120245535863370420&amp;selected_adset_ids=120245535864830420&amp;nav_source=no_referrer" TargetMode="External" Id="rId18"/><Relationship Type="http://schemas.openxmlformats.org/officeDocument/2006/relationships/hyperlink" Target="https://adsmanager.facebook.com/adsmanager/manage/campaigns?act=861578506991731&amp;business_id=1275852134350458&amp;global_scope_id=1275852134350458&amp;column_preset=2813356225666989&amp;date=2026-06-12_2026-06-13%2Ctoday&amp;insights_date=2026-06-12_2026-06-13%2Ctoday&amp;selected_campaign_ids=120245694365150094" TargetMode="External" Id="rId19"/><Relationship Type="http://schemas.openxmlformats.org/officeDocument/2006/relationships/hyperlink" Target="https://www.facebook.com/bachhoidadaytieuhoa" TargetMode="External" Id="rId20"/><Relationship Type="http://schemas.openxmlformats.org/officeDocument/2006/relationships/hyperlink" Target="https://adsmanager.facebook.com/adsmanager/?nav_entry_point=fbs_ad_account_open_in_ads_manager_button&amp;nav_source=facebook_business_suite&amp;tool=MANAGE_ADS&amp;act=923957780675075&amp;business_id=1274247713762131" TargetMode="External" Id="rId21"/><Relationship Type="http://schemas.openxmlformats.org/officeDocument/2006/relationships/hyperlink" Target="https://www.facebook.com/profile.php?id=61586412321740" TargetMode="External" Id="rId22"/><Relationship Type="http://schemas.openxmlformats.org/officeDocument/2006/relationships/hyperlink" Target="https://adsmanager.facebook.com/adsmanager/?act=953915810853443&amp;business_id=1274247713762131&amp;nav_entry_point=fbs_ad_account_open_in_ads_manager_button&amp;nav_source=facebook_business_suite" TargetMode="External" Id="rId23"/><Relationship Type="http://schemas.openxmlformats.org/officeDocument/2006/relationships/hyperlink" Target="https://www.facebook.com/bacsihoi.chamsocsuckhoedaitrangchuyensau" TargetMode="External" Id="rId24"/><Relationship Type="http://schemas.openxmlformats.org/officeDocument/2006/relationships/hyperlink" Target="https://adsmanager.facebook.com/adsmanager/?act=1713830299796631&amp;business_id=1274247713762131&amp;nav_entry_point=fbs_ad_account_open_in_ads_manager_button&amp;nav_source=facebook_business_suite" TargetMode="External" Id="rId25"/><Relationship Type="http://schemas.openxmlformats.org/officeDocument/2006/relationships/hyperlink" Target="https://adsmanager.facebook.com/adsmanager/?act=632315609796394&amp;business_id=1274247713762131&amp;nav_entry_point=fbs_ad_account_open_in_ads_manager_button&amp;nav_source=facebook_business_suite" TargetMode="External" Id="rId26"/><Relationship Type="http://schemas.openxmlformats.org/officeDocument/2006/relationships/hyperlink" Target="https://www.facebook.com/bacsihoidaday/" TargetMode="External" Id="rId27"/><Relationship Type="http://schemas.openxmlformats.org/officeDocument/2006/relationships/hyperlink" Target="https://adsmanager.facebook.com/adsmanager/manage/campaigns?act=1014401967676930&amp;business_id=2365221567226425&amp;nav_entry_point=ads_ecosystem_navigation_menu&amp;date=2026-07-03_2026-07-04%2Ctoday&amp;comparison_date=&amp;insights_date=2026-07-03_2026-07-04%2Ctoday&amp;insights_comparison_date=&amp;nav_source=ads_manager" TargetMode="External" Id="rId28"/><Relationship Type="http://schemas.openxmlformats.org/officeDocument/2006/relationships/hyperlink" Target="https://www.facebook.com/bacsihoichuyendaday/" TargetMode="External" Id="rId29"/><Relationship Type="http://schemas.openxmlformats.org/officeDocument/2006/relationships/hyperlink" Target="https://adsmanager.facebook.com/adsmanager/manage/campaigns?act=950190234511487&amp;business_id=2365221567226425&amp;nav_entry_point=ads_ecosystem_navigation_menu&amp;date=2026-07-03_2026-07-04%2Ctoday&amp;insights_date=2026-07-03_2026-07-04%2Ctoday&amp;selected_campaign_ids=120245377848570489&amp;nav_source=ads_manager" TargetMode="External" Id="rId30"/><Relationship Type="http://schemas.openxmlformats.org/officeDocument/2006/relationships/hyperlink" Target="https://www.facebook.com/profile.php?id=61562973388499&amp;locale=vi_VN" TargetMode="External" Id="rId31"/><Relationship Type="http://schemas.openxmlformats.org/officeDocument/2006/relationships/hyperlink" Target="https://adsmanager.facebook.com/adsmanager/manage/campaigns?act=3131403127219633&amp;business_id=2365221567226425&amp;nav_entry_point=ads_ecosystem_navigation_menu&amp;nav_source=ads_manager" TargetMode="External" Id="rId32"/><Relationship Type="http://schemas.openxmlformats.org/officeDocument/2006/relationships/hyperlink" Target="https://www.facebook.com/profile.php?id=61578593195386" TargetMode="External" Id="rId33"/><Relationship Type="http://schemas.openxmlformats.org/officeDocument/2006/relationships/hyperlink" Target="https://adsmanager.facebook.com/adsmanager/manage/campaigns?act=1022199260349139&amp;business_id=2365221567226425&amp;nav_entry_point=ads_ecosystem_navigation_menu&amp;nav_source=ads_manager" TargetMode="External" Id="rId34"/><Relationship Type="http://schemas.openxmlformats.org/officeDocument/2006/relationships/hyperlink" Target="https://www.facebook.com/KhoaTieuHoa.BacSiHoi?locale=vi_VN" TargetMode="External" Id="rId35"/><Relationship Type="http://schemas.openxmlformats.org/officeDocument/2006/relationships/hyperlink" Target="https://adsmanager.facebook.com/adsmanager/manage/campaigns?act=1706002283866924&amp;business_id=2365221567226425&amp;nav_entry_point=ads_ecosystem_navigation_menu&amp;nav_source=ads_manager" TargetMode="External" Id="rId36"/><Relationship Type="http://schemas.openxmlformats.org/officeDocument/2006/relationships/hyperlink" Target="https://www.facebook.com/profile.php?id=61560743115486" TargetMode="External" Id="rId37"/><Relationship Type="http://schemas.openxmlformats.org/officeDocument/2006/relationships/hyperlink" Target="https://adsmanager.facebook.com/adsmanager/manage/campaigns?act=1556167802881944&amp;business_id=2365221567226425&amp;nav_entry_point=ads_ecosystem_navigation_menu&amp;nav_source=ads_manager" TargetMode="External" Id="rId38"/><Relationship Type="http://schemas.openxmlformats.org/officeDocument/2006/relationships/hyperlink" Target="https://adsmanager.facebook.com/adsmanager/manage/campaigns?global_scope_id=2365221567226425&amp;business_id=2365221567226425&amp;act=930439003353145&amp;redirect_session_id=7d4f1178-5d95-4194-a368-243e4cf406f9" TargetMode="External" Id="rId39"/><Relationship Type="http://schemas.openxmlformats.org/officeDocument/2006/relationships/hyperlink" Target="https://adsmanager.facebook.com/adsmanager/manage/campaigns?act=2475416436267715&amp;business_id=2365221567226425&amp;global_scope_id=2365221567226425&amp;columns=name%2Cdelivery%2Crecommendations_guidance%2Cresults%2Ccost_per_result%2Cbudget%2Cspend%2Cimpressions%2Creach%2Cactions%3Aonsite_conversion.total_messaging_connection%2Cactions%3Aonsite_conversion.messaging_first_reply%2Cactions%3Aomni_purchase%2Cschedule%2Cend_time%2Cattribution_setting%2Cbid%2Clast_significant_edit%2Cquality_score_organic%2Cquality_score_ectr%2Cquality_score_ecvr%2Ccampaign_name%2Ccost_per_action_type%3Aomni_purchase&amp;attribution_windows=default" TargetMode="External" Id="rId40"/><Relationship Type="http://schemas.openxmlformats.org/officeDocument/2006/relationships/hyperlink" Target="https://www.facebook.com/profile.php?id=61589456031276" TargetMode="External" Id="rId41"/><Relationship Type="http://schemas.openxmlformats.org/officeDocument/2006/relationships/hyperlink" Target="https://adsmanager.facebook.com/adsmanager/manage/campaigns?act=989196900514989&amp;business_id=1526597995029860&amp;global_scope_id=1526597995029860&amp;date=2026-06-25_2026-06-26%2Ctoday&amp;comparison_date=&amp;insights_date=2026-06-25_2026-06-26%2Ctoday&amp;insights_comparison_date=" TargetMode="External" Id="rId42"/><Relationship Type="http://schemas.openxmlformats.org/officeDocument/2006/relationships/hyperlink" Target="https://adsmanager.facebook.com/adsmanager/manage/campaigns?global_scope_id=1526597995029860&amp;business_id=1526597995029860&amp;act=1507622920504610&amp;redirect_session_id=7fa8b70d-c882-4e80-9ac3-ef66b1f01e35" TargetMode="External" Id="rId43"/><Relationship Type="http://schemas.openxmlformats.org/officeDocument/2006/relationships/hyperlink" Target="https://adsmanager.facebook.com/adsmanager/manage/campaigns?global_scope_id=1526597995029860&amp;business_id=1526597995029860&amp;act=1008337972158706&amp;redirect_session_id=b5af539d-4291-4bb4-96fc-d1ae6d6671c9" TargetMode="External" Id="rId44"/><Relationship Type="http://schemas.openxmlformats.org/officeDocument/2006/relationships/hyperlink" Target="https://adsmanager.facebook.com/adsmanager/manage/campaigns?global_scope_id=1526597995029860&amp;business_id=1526597995029860&amp;act=1431120878778776&amp;redirect_session_id=e86271c6-aa74-4706-b33e-58ba82336f6f" TargetMode="External" Id="rId45"/></Relationships>
</file>

<file path=xl/worksheets/_rels/sheet8.xml.rels><Relationships xmlns="http://schemas.openxmlformats.org/package/2006/relationships"><Relationship Type="http://schemas.openxmlformats.org/officeDocument/2006/relationships/hyperlink" Target="https://drive.google.com/drive/folders/1KxKUAAoEgDO60LcR79CJ55uehYCleDOu?usp=sharing" TargetMode="External" Id="rId1"/><Relationship Type="http://schemas.openxmlformats.org/officeDocument/2006/relationships/hyperlink" Target="https://drive.google.com/drive/folders/1KxKUAAoEgDO60LcR79CJ55uehYCleDOu?usp=sharing" TargetMode="External" Id="rId2"/></Relationships>
</file>

<file path=xl/worksheets/_rels/sheet10.xml.rels><Relationships xmlns="http://schemas.openxmlformats.org/package/2006/relationships"><Relationship Type="http://schemas.openxmlformats.org/officeDocument/2006/relationships/hyperlink" Target="https://drive.google.com/drive/folders/1fOOT_xN-fGcnWkjIpeJlma_5qcu8zl-N?usp=drive_link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drive.google.com/drive/folders/1Xp6NNZPq9e6eGM7NcwoA76x2O9bsEaM3?usp=sharing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drive.google.com/drive/folders/1xP_Nyj6cgr9GhQ-nyyWJhYS7xMKwUqxk?usp=sharing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drive.google.com/drive/folders/1cZ-xfRAyaSI19FSui6L6gLJJmEqaLkRD?usp=sharing" TargetMode="External" Id="rId1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G999"/>
  <sheetViews>
    <sheetView workbookViewId="0">
      <selection activeCell="A1" sqref="A1:D1"/>
    </sheetView>
  </sheetViews>
  <sheetFormatPr baseColWidth="8" defaultColWidth="12.6640625" defaultRowHeight="15.75" customHeight="1"/>
  <cols>
    <col width="4.33203125" customWidth="1" style="405" min="1" max="1"/>
  </cols>
  <sheetData>
    <row r="1" ht="15.75" customHeight="1" s="405">
      <c r="A1" s="429" t="n"/>
      <c r="B1" s="430" t="n"/>
      <c r="C1" s="430" t="n"/>
      <c r="D1" s="431" t="n"/>
      <c r="E1" s="5" t="n"/>
      <c r="F1" s="5" t="n"/>
      <c r="G1" s="5" t="n"/>
    </row>
    <row r="2">
      <c r="A2" s="208" t="inlineStr">
        <is>
          <t>STT</t>
        </is>
      </c>
      <c r="B2" s="432" t="inlineStr">
        <is>
          <t>Ngày/tháng</t>
        </is>
      </c>
      <c r="C2" s="10" t="inlineStr">
        <is>
          <t xml:space="preserve">Ngân sách cấp 
</t>
        </is>
      </c>
      <c r="D2" s="26" t="inlineStr">
        <is>
          <t>Tổng đã tiêu</t>
        </is>
      </c>
      <c r="E2" s="208" t="inlineStr">
        <is>
          <t>Số đơn</t>
        </is>
      </c>
      <c r="F2" s="208" t="inlineStr">
        <is>
          <t>Doanh số</t>
        </is>
      </c>
      <c r="G2" s="208" t="inlineStr">
        <is>
          <t>Tỷ lệ CP</t>
        </is>
      </c>
    </row>
    <row r="3">
      <c r="A3" s="433" t="n"/>
      <c r="B3" s="433" t="n"/>
      <c r="C3" s="17">
        <f>+SUM(C4:C34)</f>
        <v/>
      </c>
      <c r="D3" s="21">
        <f>SUM(D4:D34)</f>
        <v/>
      </c>
      <c r="E3" s="26">
        <f>SUM(E4:E34)</f>
        <v/>
      </c>
      <c r="F3" s="21">
        <f>SUM(F4:F36)</f>
        <v/>
      </c>
      <c r="G3" s="31">
        <f>IFERROR(D3/F3,0)</f>
        <v/>
      </c>
    </row>
    <row r="4" ht="15.75" customHeight="1" s="405">
      <c r="A4" s="33" t="n">
        <v>1</v>
      </c>
      <c r="B4" s="35" t="n">
        <v>46204</v>
      </c>
      <c r="C4" s="300" t="n"/>
      <c r="D4" s="370" t="n"/>
      <c r="E4" s="330" t="n"/>
      <c r="F4" s="313" t="n"/>
      <c r="G4" s="50">
        <f>IFERROR(D4/F4,0)</f>
        <v/>
      </c>
    </row>
    <row r="5" ht="15.75" customHeight="1" s="405">
      <c r="A5" s="52" t="n">
        <v>2</v>
      </c>
      <c r="B5" s="54" t="n">
        <v>46205</v>
      </c>
      <c r="C5" s="307" t="n"/>
      <c r="D5" s="371" t="n"/>
      <c r="E5" s="332" t="n"/>
      <c r="F5" s="311" t="n"/>
      <c r="G5" s="62">
        <f>IFERROR(D5/F5,0)</f>
        <v/>
      </c>
    </row>
    <row r="6" ht="15.75" customHeight="1" s="405">
      <c r="A6" s="33" t="n">
        <v>3</v>
      </c>
      <c r="B6" s="35" t="n">
        <v>46206</v>
      </c>
      <c r="C6" s="300" t="n"/>
      <c r="D6" s="370" t="n"/>
      <c r="E6" s="330" t="n"/>
      <c r="F6" s="313" t="n"/>
      <c r="G6" s="50">
        <f>IFERROR(D6/F6,0)</f>
        <v/>
      </c>
    </row>
    <row r="7" ht="15.75" customHeight="1" s="405">
      <c r="A7" s="52" t="n">
        <v>4</v>
      </c>
      <c r="B7" s="54" t="n">
        <v>46207</v>
      </c>
      <c r="C7" s="307" t="n"/>
      <c r="D7" s="371" t="n"/>
      <c r="E7" s="332" t="n"/>
      <c r="F7" s="311" t="n"/>
      <c r="G7" s="62">
        <f>IFERROR(D7/F7,0)</f>
        <v/>
      </c>
    </row>
    <row r="8" ht="15.75" customHeight="1" s="405">
      <c r="A8" s="33" t="n">
        <v>5</v>
      </c>
      <c r="B8" s="35" t="n">
        <v>46208</v>
      </c>
      <c r="C8" s="300" t="n"/>
      <c r="D8" s="370" t="n"/>
      <c r="E8" s="330" t="n"/>
      <c r="F8" s="313" t="n"/>
      <c r="G8" s="50">
        <f>IFERROR(D8/F8,0)</f>
        <v/>
      </c>
    </row>
    <row r="9" ht="15.75" customHeight="1" s="405">
      <c r="A9" s="52" t="n">
        <v>6</v>
      </c>
      <c r="B9" s="54" t="n">
        <v>46209</v>
      </c>
      <c r="C9" s="307" t="n"/>
      <c r="D9" s="371" t="n"/>
      <c r="E9" s="332" t="n"/>
      <c r="F9" s="311" t="n"/>
      <c r="G9" s="62">
        <f>IFERROR(D9/F9,0)</f>
        <v/>
      </c>
    </row>
    <row r="10" ht="15.75" customHeight="1" s="405">
      <c r="A10" s="33" t="n">
        <v>7</v>
      </c>
      <c r="B10" s="35" t="n">
        <v>46210</v>
      </c>
      <c r="C10" s="300" t="n"/>
      <c r="D10" s="370" t="n"/>
      <c r="E10" s="330" t="n"/>
      <c r="F10" s="313" t="n"/>
      <c r="G10" s="50">
        <f>IFERROR(D10/F10,0)</f>
        <v/>
      </c>
    </row>
    <row r="11" ht="15.75" customHeight="1" s="405">
      <c r="A11" s="52" t="n">
        <v>8</v>
      </c>
      <c r="B11" s="54" t="n">
        <v>46211</v>
      </c>
      <c r="C11" s="307" t="n"/>
      <c r="D11" s="371" t="n"/>
      <c r="E11" s="332" t="n"/>
      <c r="F11" s="311" t="n"/>
      <c r="G11" s="62">
        <f>IFERROR(D11/F11,0)</f>
        <v/>
      </c>
    </row>
    <row r="12" ht="15.75" customHeight="1" s="405">
      <c r="A12" s="33" t="n">
        <v>9</v>
      </c>
      <c r="B12" s="35" t="n">
        <v>46212</v>
      </c>
      <c r="C12" s="300" t="n"/>
      <c r="D12" s="370" t="n"/>
      <c r="E12" s="330" t="n"/>
      <c r="F12" s="313" t="n"/>
      <c r="G12" s="50">
        <f>IFERROR(D12/F12,0)</f>
        <v/>
      </c>
    </row>
    <row r="13" ht="15.75" customHeight="1" s="405">
      <c r="A13" s="52" t="n">
        <v>10</v>
      </c>
      <c r="B13" s="54" t="n">
        <v>46213</v>
      </c>
      <c r="C13" s="307" t="n"/>
      <c r="D13" s="371" t="n"/>
      <c r="E13" s="332" t="n"/>
      <c r="F13" s="311" t="n"/>
      <c r="G13" s="62">
        <f>IFERROR(D13/F13,0)</f>
        <v/>
      </c>
    </row>
    <row r="14" ht="15.75" customHeight="1" s="405">
      <c r="A14" s="33" t="n">
        <v>11</v>
      </c>
      <c r="B14" s="35" t="n">
        <v>46214</v>
      </c>
      <c r="C14" s="300" t="n"/>
      <c r="D14" s="370" t="n"/>
      <c r="E14" s="330" t="n"/>
      <c r="F14" s="313" t="n"/>
      <c r="G14" s="50">
        <f>IFERROR(D14/F14,0)</f>
        <v/>
      </c>
    </row>
    <row r="15" ht="15.75" customHeight="1" s="405">
      <c r="A15" s="52" t="n">
        <v>12</v>
      </c>
      <c r="B15" s="54" t="n">
        <v>46215</v>
      </c>
      <c r="C15" s="307" t="n"/>
      <c r="D15" s="371" t="n"/>
      <c r="E15" s="332" t="n"/>
      <c r="F15" s="311" t="n"/>
      <c r="G15" s="62">
        <f>IFERROR(D15/F15,0)</f>
        <v/>
      </c>
    </row>
    <row r="16" ht="14.4" customHeight="1" s="405">
      <c r="A16" s="33" t="n">
        <v>13</v>
      </c>
      <c r="B16" s="35" t="n">
        <v>46216</v>
      </c>
      <c r="C16" s="300" t="n"/>
      <c r="D16" s="370" t="n"/>
      <c r="E16" s="330" t="n"/>
      <c r="F16" s="313" t="n"/>
      <c r="G16" s="50">
        <f>IFERROR(D16/F16,0)</f>
        <v/>
      </c>
    </row>
    <row r="17" ht="14.4" customHeight="1" s="405">
      <c r="A17" s="52" t="n">
        <v>14</v>
      </c>
      <c r="B17" s="54" t="n">
        <v>46217</v>
      </c>
      <c r="C17" s="307" t="n"/>
      <c r="D17" s="371" t="n"/>
      <c r="E17" s="332" t="n"/>
      <c r="F17" s="311" t="n"/>
      <c r="G17" s="50">
        <f>IFERROR(D17/F17,0)</f>
        <v/>
      </c>
    </row>
    <row r="18" ht="14.4" customHeight="1" s="405">
      <c r="A18" s="33" t="n">
        <v>15</v>
      </c>
      <c r="B18" s="35" t="n">
        <v>46218</v>
      </c>
      <c r="C18" s="300" t="n"/>
      <c r="D18" s="370" t="n"/>
      <c r="E18" s="330" t="n"/>
      <c r="F18" s="313" t="n"/>
      <c r="G18" s="50">
        <f>IFERROR(D18/F18,0)</f>
        <v/>
      </c>
    </row>
    <row r="19" ht="14.4" customHeight="1" s="405">
      <c r="A19" s="52" t="n">
        <v>16</v>
      </c>
      <c r="B19" s="54" t="n">
        <v>46219</v>
      </c>
      <c r="C19" s="307" t="n"/>
      <c r="D19" s="371" t="n"/>
      <c r="E19" s="332" t="n"/>
      <c r="F19" s="311" t="n"/>
      <c r="G19" s="62">
        <f>IFERROR(D19/F19,0)</f>
        <v/>
      </c>
    </row>
    <row r="20" ht="14.4" customHeight="1" s="405">
      <c r="A20" s="33" t="n">
        <v>17</v>
      </c>
      <c r="B20" s="35" t="n">
        <v>46220</v>
      </c>
      <c r="C20" s="300" t="n"/>
      <c r="D20" s="80" t="n"/>
      <c r="E20" s="330" t="n"/>
      <c r="F20" s="313" t="n"/>
      <c r="G20" s="50">
        <f>IFERROR(#REF!/F20,0)</f>
        <v/>
      </c>
    </row>
    <row r="21" ht="14.4" customHeight="1" s="405">
      <c r="A21" s="52" t="n">
        <v>18</v>
      </c>
      <c r="B21" s="54" t="n">
        <v>46221</v>
      </c>
      <c r="C21" s="307" t="n"/>
      <c r="D21" s="371" t="n"/>
      <c r="E21" s="332" t="n"/>
      <c r="F21" s="311" t="n"/>
      <c r="G21" s="50">
        <f>IFERROR(D21/F21,0)</f>
        <v/>
      </c>
    </row>
    <row r="22" ht="14.4" customHeight="1" s="405">
      <c r="A22" s="33" t="n">
        <v>19</v>
      </c>
      <c r="B22" s="35" t="n">
        <v>46222</v>
      </c>
      <c r="C22" s="300" t="n"/>
      <c r="D22" s="370" t="n"/>
      <c r="E22" s="330" t="n"/>
      <c r="F22" s="313" t="n"/>
      <c r="G22" s="50">
        <f>IFERROR(D22/F22,0)</f>
        <v/>
      </c>
    </row>
    <row r="23" ht="14.4" customHeight="1" s="405">
      <c r="A23" s="52" t="n">
        <v>20</v>
      </c>
      <c r="B23" s="54" t="n">
        <v>46223</v>
      </c>
      <c r="C23" s="307" t="n"/>
      <c r="D23" s="371" t="n"/>
      <c r="E23" s="332" t="n"/>
      <c r="F23" s="311" t="n"/>
      <c r="G23" s="50">
        <f>IFERROR(D23/F23,0)</f>
        <v/>
      </c>
    </row>
    <row r="24" ht="14.4" customHeight="1" s="405">
      <c r="A24" s="33" t="n">
        <v>21</v>
      </c>
      <c r="B24" s="35" t="n">
        <v>46224</v>
      </c>
      <c r="C24" s="300" t="n"/>
      <c r="D24" s="370" t="n"/>
      <c r="E24" s="337" t="n"/>
      <c r="F24" s="313" t="n"/>
      <c r="G24" s="50">
        <f>IFERROR(D24/F24,0)</f>
        <v/>
      </c>
    </row>
    <row r="25" ht="14.4" customHeight="1" s="405">
      <c r="A25" s="52" t="n">
        <v>22</v>
      </c>
      <c r="B25" s="54" t="n">
        <v>46225</v>
      </c>
      <c r="C25" s="307" t="n"/>
      <c r="D25" s="371" t="n"/>
      <c r="E25" s="332" t="n"/>
      <c r="F25" s="311" t="n"/>
      <c r="G25" s="50">
        <f>IFERROR(D25/F25,0)</f>
        <v/>
      </c>
    </row>
    <row r="26" ht="14.4" customHeight="1" s="405">
      <c r="A26" s="33" t="n">
        <v>23</v>
      </c>
      <c r="B26" s="35" t="n">
        <v>46226</v>
      </c>
      <c r="C26" s="300" t="n"/>
      <c r="D26" s="370" t="n"/>
      <c r="E26" s="330" t="n"/>
      <c r="F26" s="313" t="n"/>
      <c r="G26" s="62">
        <f>IFERROR(D26/F26,0)</f>
        <v/>
      </c>
    </row>
    <row r="27" ht="14.4" customHeight="1" s="405">
      <c r="A27" s="52" t="n">
        <v>24</v>
      </c>
      <c r="B27" s="54" t="n">
        <v>46227</v>
      </c>
      <c r="C27" s="307" t="n"/>
      <c r="D27" s="371" t="n"/>
      <c r="E27" s="332" t="n"/>
      <c r="F27" s="311" t="n"/>
      <c r="G27" s="50">
        <f>IFERROR(D27/F27,0)</f>
        <v/>
      </c>
    </row>
    <row r="28" ht="14.4" customHeight="1" s="405">
      <c r="A28" s="33" t="n">
        <v>25</v>
      </c>
      <c r="B28" s="35" t="n">
        <v>46228</v>
      </c>
      <c r="C28" s="300" t="n"/>
      <c r="D28" s="370" t="n"/>
      <c r="E28" s="330" t="n"/>
      <c r="F28" s="313" t="n"/>
      <c r="G28" s="50">
        <f>IFERROR(D28/F28,0)</f>
        <v/>
      </c>
    </row>
    <row r="29" ht="14.4" customHeight="1" s="405">
      <c r="A29" s="52" t="n">
        <v>26</v>
      </c>
      <c r="B29" s="54" t="n">
        <v>46229</v>
      </c>
      <c r="C29" s="307" t="n"/>
      <c r="D29" s="371" t="n"/>
      <c r="E29" s="332" t="n"/>
      <c r="F29" s="311" t="n"/>
      <c r="G29" s="62">
        <f>IFERROR(D29/F29,0)</f>
        <v/>
      </c>
    </row>
    <row r="30" ht="14.4" customHeight="1" s="405">
      <c r="A30" s="33" t="n">
        <v>27</v>
      </c>
      <c r="B30" s="35" t="n">
        <v>46230</v>
      </c>
      <c r="C30" s="300" t="n"/>
      <c r="D30" s="370" t="n"/>
      <c r="E30" s="330" t="n"/>
      <c r="F30" s="313" t="n"/>
      <c r="G30" s="50">
        <f>IFERROR(D30/F30,0)</f>
        <v/>
      </c>
    </row>
    <row r="31" ht="14.4" customHeight="1" s="405">
      <c r="A31" s="52" t="n">
        <v>28</v>
      </c>
      <c r="B31" s="54" t="n">
        <v>46231</v>
      </c>
      <c r="C31" s="307" t="n"/>
      <c r="D31" s="371" t="n"/>
      <c r="E31" s="332" t="n"/>
      <c r="F31" s="311" t="n"/>
      <c r="G31" s="62">
        <f>IFERROR(D31/F31,0)</f>
        <v/>
      </c>
    </row>
    <row r="32" ht="14.4" customHeight="1" s="405">
      <c r="A32" s="33" t="n">
        <v>29</v>
      </c>
      <c r="B32" s="35" t="n">
        <v>46232</v>
      </c>
      <c r="C32" s="300" t="n"/>
      <c r="D32" s="370" t="n"/>
      <c r="E32" s="330" t="n"/>
      <c r="F32" s="313" t="n"/>
      <c r="G32" s="50">
        <f>IFERROR(D32/F32,0)</f>
        <v/>
      </c>
    </row>
    <row r="33" ht="14.4" customHeight="1" s="405">
      <c r="A33" s="52" t="n">
        <v>30</v>
      </c>
      <c r="B33" s="54" t="n">
        <v>46233</v>
      </c>
      <c r="C33" s="307" t="n"/>
      <c r="D33" s="371" t="n"/>
      <c r="E33" s="332" t="n"/>
      <c r="F33" s="311" t="n"/>
      <c r="G33" s="62">
        <f>IFERROR(D33/F33,0)</f>
        <v/>
      </c>
    </row>
    <row r="34" ht="14.4" customHeight="1" s="405">
      <c r="A34" s="33" t="n">
        <v>31</v>
      </c>
      <c r="B34" s="35" t="n">
        <v>46234</v>
      </c>
      <c r="C34" s="300" t="n"/>
      <c r="D34" s="370" t="n"/>
      <c r="E34" s="330" t="n"/>
      <c r="F34" s="313" t="n"/>
      <c r="G34" s="50">
        <f>IFERROR(D34/F34,0)</f>
        <v/>
      </c>
    </row>
    <row r="35" ht="14.4" customHeight="1" s="405">
      <c r="A35" s="325" t="n"/>
      <c r="B35" s="54" t="n"/>
      <c r="C35" s="116" t="n"/>
      <c r="D35" s="307" t="n"/>
      <c r="E35" s="325" t="n"/>
      <c r="F35" s="311" t="n"/>
      <c r="G35" s="265" t="n"/>
    </row>
    <row r="36" ht="13.2" customHeight="1" s="405">
      <c r="B36" s="117" t="n"/>
    </row>
    <row r="37" ht="13.2" customHeight="1" s="405">
      <c r="B37" s="117" t="n"/>
    </row>
    <row r="38" ht="13.2" customHeight="1" s="405">
      <c r="B38" s="117" t="n"/>
    </row>
    <row r="39" ht="13.2" customHeight="1" s="405">
      <c r="B39" s="117" t="n"/>
    </row>
    <row r="40" ht="13.2" customHeight="1" s="405">
      <c r="B40" s="117" t="n"/>
    </row>
    <row r="41" ht="13.2" customHeight="1" s="405">
      <c r="B41" s="117" t="n"/>
    </row>
    <row r="42" ht="13.2" customHeight="1" s="405">
      <c r="B42" s="117" t="n"/>
    </row>
    <row r="43" ht="13.2" customHeight="1" s="405">
      <c r="B43" s="117" t="n"/>
    </row>
    <row r="44" ht="13.2" customHeight="1" s="405">
      <c r="B44" s="117" t="n"/>
    </row>
    <row r="45" ht="13.2" customHeight="1" s="405">
      <c r="B45" s="117" t="n"/>
    </row>
    <row r="46" ht="13.2" customHeight="1" s="405">
      <c r="B46" s="117" t="n"/>
    </row>
    <row r="47" ht="13.2" customHeight="1" s="405">
      <c r="B47" s="117" t="n"/>
    </row>
    <row r="48" ht="13.2" customHeight="1" s="405">
      <c r="B48" s="117" t="n"/>
    </row>
    <row r="49" ht="13.2" customHeight="1" s="405">
      <c r="B49" s="117" t="n"/>
    </row>
    <row r="50" ht="13.2" customHeight="1" s="405">
      <c r="B50" s="117" t="n"/>
    </row>
    <row r="51" ht="13.2" customHeight="1" s="405">
      <c r="B51" s="117" t="n"/>
    </row>
    <row r="52" ht="13.2" customHeight="1" s="405">
      <c r="B52" s="117" t="n"/>
    </row>
    <row r="53" ht="13.2" customHeight="1" s="405">
      <c r="B53" s="117" t="n"/>
    </row>
    <row r="54" ht="13.2" customHeight="1" s="405">
      <c r="B54" s="117" t="n"/>
    </row>
    <row r="55" ht="13.2" customHeight="1" s="405">
      <c r="B55" s="117" t="n"/>
    </row>
    <row r="56" ht="13.2" customHeight="1" s="405">
      <c r="B56" s="117" t="n"/>
    </row>
    <row r="57" ht="13.2" customHeight="1" s="405">
      <c r="B57" s="117" t="n"/>
    </row>
    <row r="58" ht="13.2" customHeight="1" s="405">
      <c r="B58" s="117" t="n"/>
    </row>
    <row r="59" ht="13.2" customHeight="1" s="405">
      <c r="B59" s="117" t="n"/>
    </row>
    <row r="60" ht="13.2" customHeight="1" s="405">
      <c r="B60" s="117" t="n"/>
    </row>
    <row r="61" ht="13.2" customHeight="1" s="405">
      <c r="B61" s="117" t="n"/>
    </row>
    <row r="62" ht="13.2" customHeight="1" s="405">
      <c r="B62" s="117" t="n"/>
    </row>
    <row r="63" ht="13.2" customHeight="1" s="405">
      <c r="B63" s="117" t="n"/>
    </row>
    <row r="64" ht="13.2" customHeight="1" s="405">
      <c r="B64" s="117" t="n"/>
    </row>
    <row r="65" ht="13.2" customHeight="1" s="405">
      <c r="B65" s="117" t="n"/>
    </row>
    <row r="66" ht="13.2" customHeight="1" s="405">
      <c r="B66" s="117" t="n"/>
    </row>
    <row r="67" ht="13.2" customHeight="1" s="405">
      <c r="B67" s="117" t="n"/>
    </row>
    <row r="68" ht="13.2" customHeight="1" s="405">
      <c r="B68" s="117" t="n"/>
    </row>
    <row r="69" ht="13.2" customHeight="1" s="405">
      <c r="B69" s="117" t="n"/>
    </row>
    <row r="70" ht="13.2" customHeight="1" s="405">
      <c r="B70" s="117" t="n"/>
    </row>
    <row r="71" ht="13.2" customHeight="1" s="405">
      <c r="B71" s="117" t="n"/>
    </row>
    <row r="72" ht="13.2" customHeight="1" s="405">
      <c r="B72" s="117" t="n"/>
    </row>
    <row r="73" ht="13.2" customHeight="1" s="405">
      <c r="B73" s="117" t="n"/>
    </row>
    <row r="74" ht="13.2" customHeight="1" s="405">
      <c r="B74" s="117" t="n"/>
    </row>
    <row r="75" ht="13.2" customHeight="1" s="405">
      <c r="B75" s="117" t="n"/>
    </row>
    <row r="76" ht="13.2" customHeight="1" s="405">
      <c r="B76" s="117" t="n"/>
    </row>
    <row r="77" ht="13.2" customHeight="1" s="405">
      <c r="B77" s="117" t="n"/>
    </row>
    <row r="78" ht="13.2" customHeight="1" s="405">
      <c r="B78" s="117" t="n"/>
    </row>
    <row r="79" ht="13.2" customHeight="1" s="405">
      <c r="B79" s="117" t="n"/>
    </row>
    <row r="80" ht="13.2" customHeight="1" s="405">
      <c r="B80" s="117" t="n"/>
    </row>
    <row r="81" ht="13.2" customHeight="1" s="405">
      <c r="B81" s="117" t="n"/>
    </row>
    <row r="82" ht="13.2" customHeight="1" s="405">
      <c r="B82" s="117" t="n"/>
    </row>
    <row r="83" ht="13.2" customHeight="1" s="405">
      <c r="B83" s="117" t="n"/>
    </row>
    <row r="84" ht="13.2" customHeight="1" s="405">
      <c r="B84" s="117" t="n"/>
    </row>
    <row r="85" ht="13.2" customHeight="1" s="405">
      <c r="B85" s="117" t="n"/>
    </row>
    <row r="86" ht="13.2" customHeight="1" s="405">
      <c r="B86" s="117" t="n"/>
    </row>
    <row r="87" ht="13.2" customHeight="1" s="405">
      <c r="B87" s="117" t="n"/>
    </row>
    <row r="88" ht="13.2" customHeight="1" s="405">
      <c r="B88" s="117" t="n"/>
    </row>
    <row r="89" ht="13.2" customHeight="1" s="405">
      <c r="B89" s="117" t="n"/>
    </row>
    <row r="90" ht="13.2" customHeight="1" s="405">
      <c r="B90" s="117" t="n"/>
    </row>
    <row r="91" ht="13.2" customHeight="1" s="405">
      <c r="B91" s="117" t="n"/>
    </row>
    <row r="92" ht="13.2" customHeight="1" s="405">
      <c r="B92" s="117" t="n"/>
    </row>
    <row r="93" ht="13.2" customHeight="1" s="405">
      <c r="B93" s="117" t="n"/>
    </row>
    <row r="94" ht="13.2" customHeight="1" s="405">
      <c r="B94" s="117" t="n"/>
    </row>
    <row r="95" ht="13.2" customHeight="1" s="405">
      <c r="B95" s="117" t="n"/>
    </row>
    <row r="96" ht="13.2" customHeight="1" s="405">
      <c r="B96" s="117" t="n"/>
    </row>
    <row r="97" ht="13.2" customHeight="1" s="405">
      <c r="B97" s="117" t="n"/>
    </row>
    <row r="98" ht="13.2" customHeight="1" s="405">
      <c r="B98" s="117" t="n"/>
    </row>
    <row r="99" ht="13.2" customHeight="1" s="405">
      <c r="B99" s="117" t="n"/>
    </row>
    <row r="100" ht="13.2" customHeight="1" s="405">
      <c r="B100" s="117" t="n"/>
    </row>
    <row r="101" ht="13.2" customHeight="1" s="405">
      <c r="B101" s="117" t="n"/>
    </row>
    <row r="102" ht="13.2" customHeight="1" s="405">
      <c r="B102" s="117" t="n"/>
    </row>
    <row r="103" ht="13.2" customHeight="1" s="405">
      <c r="B103" s="117" t="n"/>
    </row>
    <row r="104" ht="13.2" customHeight="1" s="405">
      <c r="B104" s="117" t="n"/>
    </row>
    <row r="105" ht="13.2" customHeight="1" s="405">
      <c r="B105" s="117" t="n"/>
    </row>
    <row r="106" ht="13.2" customHeight="1" s="405">
      <c r="B106" s="117" t="n"/>
    </row>
    <row r="107" ht="13.2" customHeight="1" s="405">
      <c r="B107" s="117" t="n"/>
    </row>
    <row r="108" ht="13.2" customHeight="1" s="405">
      <c r="B108" s="117" t="n"/>
    </row>
    <row r="109" ht="13.2" customHeight="1" s="405">
      <c r="B109" s="117" t="n"/>
    </row>
    <row r="110" ht="13.2" customHeight="1" s="405">
      <c r="B110" s="117" t="n"/>
    </row>
    <row r="111" ht="13.2" customHeight="1" s="405">
      <c r="B111" s="117" t="n"/>
    </row>
    <row r="112" ht="13.2" customHeight="1" s="405">
      <c r="B112" s="117" t="n"/>
    </row>
    <row r="113" ht="13.2" customHeight="1" s="405">
      <c r="B113" s="117" t="n"/>
    </row>
    <row r="114" ht="13.2" customHeight="1" s="405">
      <c r="B114" s="117" t="n"/>
    </row>
    <row r="115" ht="13.2" customHeight="1" s="405">
      <c r="B115" s="117" t="n"/>
    </row>
    <row r="116" ht="13.2" customHeight="1" s="405">
      <c r="B116" s="117" t="n"/>
    </row>
    <row r="117" ht="13.2" customHeight="1" s="405">
      <c r="B117" s="117" t="n"/>
    </row>
    <row r="118" ht="13.2" customHeight="1" s="405">
      <c r="B118" s="117" t="n"/>
    </row>
    <row r="119" ht="13.2" customHeight="1" s="405">
      <c r="B119" s="117" t="n"/>
    </row>
    <row r="120" ht="13.2" customHeight="1" s="405">
      <c r="B120" s="117" t="n"/>
    </row>
    <row r="121" ht="13.2" customHeight="1" s="405">
      <c r="B121" s="117" t="n"/>
    </row>
    <row r="122" ht="13.2" customHeight="1" s="405">
      <c r="B122" s="117" t="n"/>
    </row>
    <row r="123" ht="13.2" customHeight="1" s="405">
      <c r="B123" s="117" t="n"/>
    </row>
    <row r="124" ht="13.2" customHeight="1" s="405">
      <c r="B124" s="117" t="n"/>
    </row>
    <row r="125" ht="13.2" customHeight="1" s="405">
      <c r="B125" s="117" t="n"/>
    </row>
    <row r="126" ht="13.2" customHeight="1" s="405">
      <c r="B126" s="117" t="n"/>
    </row>
    <row r="127" ht="13.2" customHeight="1" s="405">
      <c r="B127" s="117" t="n"/>
    </row>
    <row r="128" ht="13.2" customHeight="1" s="405">
      <c r="B128" s="117" t="n"/>
    </row>
    <row r="129" ht="13.2" customHeight="1" s="405">
      <c r="B129" s="117" t="n"/>
    </row>
    <row r="130" ht="13.2" customHeight="1" s="405">
      <c r="B130" s="117" t="n"/>
    </row>
    <row r="131" ht="13.2" customHeight="1" s="405">
      <c r="B131" s="117" t="n"/>
    </row>
    <row r="132" ht="13.2" customHeight="1" s="405">
      <c r="B132" s="117" t="n"/>
    </row>
    <row r="133" ht="13.2" customHeight="1" s="405">
      <c r="B133" s="117" t="n"/>
    </row>
    <row r="134" ht="13.2" customHeight="1" s="405">
      <c r="B134" s="117" t="n"/>
    </row>
    <row r="135" ht="13.2" customHeight="1" s="405">
      <c r="B135" s="117" t="n"/>
    </row>
    <row r="136" ht="13.2" customHeight="1" s="405">
      <c r="B136" s="117" t="n"/>
    </row>
    <row r="137" ht="13.2" customHeight="1" s="405">
      <c r="B137" s="117" t="n"/>
    </row>
    <row r="138" ht="13.2" customHeight="1" s="405">
      <c r="B138" s="117" t="n"/>
    </row>
    <row r="139" ht="13.2" customHeight="1" s="405">
      <c r="B139" s="117" t="n"/>
    </row>
    <row r="140" ht="13.2" customHeight="1" s="405">
      <c r="B140" s="117" t="n"/>
    </row>
    <row r="141" ht="13.2" customHeight="1" s="405">
      <c r="B141" s="117" t="n"/>
    </row>
    <row r="142" ht="13.2" customHeight="1" s="405">
      <c r="B142" s="117" t="n"/>
    </row>
    <row r="143" ht="13.2" customHeight="1" s="405">
      <c r="B143" s="117" t="n"/>
    </row>
    <row r="144" ht="13.2" customHeight="1" s="405">
      <c r="B144" s="117" t="n"/>
    </row>
    <row r="145" ht="13.2" customHeight="1" s="405">
      <c r="B145" s="117" t="n"/>
    </row>
    <row r="146" ht="13.2" customHeight="1" s="405">
      <c r="B146" s="117" t="n"/>
    </row>
    <row r="147" ht="13.2" customHeight="1" s="405">
      <c r="B147" s="117" t="n"/>
    </row>
    <row r="148" ht="13.2" customHeight="1" s="405">
      <c r="B148" s="117" t="n"/>
    </row>
    <row r="149" ht="13.2" customHeight="1" s="405">
      <c r="B149" s="117" t="n"/>
    </row>
    <row r="150" ht="13.2" customHeight="1" s="405">
      <c r="B150" s="117" t="n"/>
    </row>
    <row r="151" ht="13.2" customHeight="1" s="405">
      <c r="B151" s="117" t="n"/>
    </row>
    <row r="152" ht="13.2" customHeight="1" s="405">
      <c r="B152" s="117" t="n"/>
    </row>
    <row r="153" ht="13.2" customHeight="1" s="405">
      <c r="B153" s="117" t="n"/>
    </row>
    <row r="154" ht="13.2" customHeight="1" s="405">
      <c r="B154" s="117" t="n"/>
    </row>
    <row r="155" ht="13.2" customHeight="1" s="405">
      <c r="B155" s="117" t="n"/>
    </row>
    <row r="156" ht="13.2" customHeight="1" s="405">
      <c r="B156" s="117" t="n"/>
    </row>
    <row r="157" ht="13.2" customHeight="1" s="405">
      <c r="B157" s="117" t="n"/>
    </row>
    <row r="158" ht="13.2" customHeight="1" s="405">
      <c r="B158" s="117" t="n"/>
    </row>
    <row r="159" ht="13.2" customHeight="1" s="405">
      <c r="B159" s="117" t="n"/>
    </row>
    <row r="160" ht="13.2" customHeight="1" s="405">
      <c r="B160" s="117" t="n"/>
    </row>
    <row r="161" ht="13.2" customHeight="1" s="405">
      <c r="B161" s="117" t="n"/>
    </row>
    <row r="162" ht="13.2" customHeight="1" s="405">
      <c r="B162" s="117" t="n"/>
    </row>
    <row r="163" ht="13.2" customHeight="1" s="405">
      <c r="B163" s="117" t="n"/>
    </row>
    <row r="164" ht="13.2" customHeight="1" s="405">
      <c r="B164" s="117" t="n"/>
    </row>
    <row r="165" ht="13.2" customHeight="1" s="405">
      <c r="B165" s="117" t="n"/>
    </row>
    <row r="166" ht="13.2" customHeight="1" s="405">
      <c r="B166" s="117" t="n"/>
    </row>
    <row r="167" ht="13.2" customHeight="1" s="405">
      <c r="B167" s="117" t="n"/>
    </row>
    <row r="168" ht="13.2" customHeight="1" s="405">
      <c r="B168" s="117" t="n"/>
    </row>
    <row r="169" ht="13.2" customHeight="1" s="405">
      <c r="B169" s="117" t="n"/>
    </row>
    <row r="170" ht="13.2" customHeight="1" s="405">
      <c r="B170" s="117" t="n"/>
    </row>
    <row r="171" ht="13.2" customHeight="1" s="405">
      <c r="B171" s="117" t="n"/>
    </row>
    <row r="172" ht="13.2" customHeight="1" s="405">
      <c r="B172" s="117" t="n"/>
    </row>
    <row r="173" ht="13.2" customHeight="1" s="405">
      <c r="B173" s="117" t="n"/>
    </row>
    <row r="174" ht="13.2" customHeight="1" s="405">
      <c r="B174" s="117" t="n"/>
    </row>
    <row r="175" ht="13.2" customHeight="1" s="405">
      <c r="B175" s="117" t="n"/>
    </row>
    <row r="176" ht="13.2" customHeight="1" s="405">
      <c r="B176" s="117" t="n"/>
    </row>
    <row r="177" ht="13.2" customHeight="1" s="405">
      <c r="B177" s="117" t="n"/>
    </row>
    <row r="178" ht="13.2" customHeight="1" s="405">
      <c r="B178" s="117" t="n"/>
    </row>
    <row r="179" ht="13.2" customHeight="1" s="405">
      <c r="B179" s="117" t="n"/>
    </row>
    <row r="180" ht="13.2" customHeight="1" s="405">
      <c r="B180" s="117" t="n"/>
    </row>
    <row r="181" ht="13.2" customHeight="1" s="405">
      <c r="B181" s="117" t="n"/>
    </row>
    <row r="182" ht="13.2" customHeight="1" s="405">
      <c r="B182" s="117" t="n"/>
    </row>
    <row r="183" ht="13.2" customHeight="1" s="405">
      <c r="B183" s="117" t="n"/>
    </row>
    <row r="184" ht="13.2" customHeight="1" s="405">
      <c r="B184" s="117" t="n"/>
    </row>
    <row r="185" ht="13.2" customHeight="1" s="405">
      <c r="B185" s="117" t="n"/>
    </row>
    <row r="186" ht="13.2" customHeight="1" s="405">
      <c r="B186" s="117" t="n"/>
    </row>
    <row r="187" ht="13.2" customHeight="1" s="405">
      <c r="B187" s="117" t="n"/>
    </row>
    <row r="188" ht="13.2" customHeight="1" s="405">
      <c r="B188" s="117" t="n"/>
    </row>
    <row r="189" ht="13.2" customHeight="1" s="405">
      <c r="B189" s="117" t="n"/>
    </row>
    <row r="190" ht="13.2" customHeight="1" s="405">
      <c r="B190" s="117" t="n"/>
    </row>
    <row r="191" ht="13.2" customHeight="1" s="405">
      <c r="B191" s="117" t="n"/>
    </row>
    <row r="192" ht="13.2" customHeight="1" s="405">
      <c r="B192" s="117" t="n"/>
    </row>
    <row r="193" ht="13.2" customHeight="1" s="405">
      <c r="B193" s="117" t="n"/>
    </row>
    <row r="194" ht="13.2" customHeight="1" s="405">
      <c r="B194" s="117" t="n"/>
    </row>
    <row r="195" ht="13.2" customHeight="1" s="405">
      <c r="B195" s="117" t="n"/>
    </row>
    <row r="196" ht="13.2" customHeight="1" s="405">
      <c r="B196" s="117" t="n"/>
    </row>
    <row r="197" ht="13.2" customHeight="1" s="405">
      <c r="B197" s="117" t="n"/>
    </row>
    <row r="198" ht="13.2" customHeight="1" s="405">
      <c r="B198" s="117" t="n"/>
    </row>
    <row r="199" ht="13.2" customHeight="1" s="405">
      <c r="B199" s="117" t="n"/>
    </row>
    <row r="200" ht="13.2" customHeight="1" s="405">
      <c r="B200" s="117" t="n"/>
    </row>
    <row r="201" ht="13.2" customHeight="1" s="405">
      <c r="B201" s="117" t="n"/>
    </row>
    <row r="202" ht="13.2" customHeight="1" s="405">
      <c r="B202" s="117" t="n"/>
    </row>
    <row r="203" ht="13.2" customHeight="1" s="405">
      <c r="B203" s="117" t="n"/>
    </row>
    <row r="204" ht="13.2" customHeight="1" s="405">
      <c r="B204" s="117" t="n"/>
    </row>
    <row r="205" ht="13.2" customHeight="1" s="405">
      <c r="B205" s="117" t="n"/>
    </row>
    <row r="206" ht="13.2" customHeight="1" s="405">
      <c r="B206" s="117" t="n"/>
    </row>
    <row r="207" ht="13.2" customHeight="1" s="405">
      <c r="B207" s="117" t="n"/>
    </row>
    <row r="208" ht="13.2" customHeight="1" s="405">
      <c r="B208" s="117" t="n"/>
    </row>
    <row r="209" ht="13.2" customHeight="1" s="405">
      <c r="B209" s="117" t="n"/>
    </row>
    <row r="210" ht="13.2" customHeight="1" s="405">
      <c r="B210" s="117" t="n"/>
    </row>
    <row r="211" ht="13.2" customHeight="1" s="405">
      <c r="B211" s="117" t="n"/>
    </row>
    <row r="212" ht="13.2" customHeight="1" s="405">
      <c r="B212" s="117" t="n"/>
    </row>
    <row r="213" ht="13.2" customHeight="1" s="405">
      <c r="B213" s="117" t="n"/>
    </row>
    <row r="214" ht="13.2" customHeight="1" s="405">
      <c r="B214" s="117" t="n"/>
    </row>
    <row r="215" ht="13.2" customHeight="1" s="405">
      <c r="B215" s="117" t="n"/>
    </row>
    <row r="216" ht="13.2" customHeight="1" s="405">
      <c r="B216" s="117" t="n"/>
    </row>
    <row r="217" ht="13.2" customHeight="1" s="405">
      <c r="B217" s="117" t="n"/>
    </row>
    <row r="218" ht="13.2" customHeight="1" s="405">
      <c r="B218" s="117" t="n"/>
    </row>
    <row r="219" ht="13.2" customHeight="1" s="405">
      <c r="B219" s="117" t="n"/>
    </row>
    <row r="220" ht="13.2" customHeight="1" s="405">
      <c r="B220" s="117" t="n"/>
    </row>
    <row r="221" ht="13.2" customHeight="1" s="405">
      <c r="B221" s="117" t="n"/>
    </row>
    <row r="222" ht="13.2" customHeight="1" s="405">
      <c r="B222" s="117" t="n"/>
    </row>
    <row r="223" ht="13.2" customHeight="1" s="405">
      <c r="B223" s="117" t="n"/>
    </row>
    <row r="224" ht="13.2" customHeight="1" s="405">
      <c r="B224" s="117" t="n"/>
    </row>
    <row r="225" ht="13.2" customHeight="1" s="405">
      <c r="B225" s="117" t="n"/>
    </row>
    <row r="226" ht="13.2" customHeight="1" s="405">
      <c r="B226" s="117" t="n"/>
    </row>
    <row r="227" ht="13.2" customHeight="1" s="405">
      <c r="B227" s="117" t="n"/>
    </row>
    <row r="228" ht="13.2" customHeight="1" s="405">
      <c r="B228" s="117" t="n"/>
    </row>
    <row r="229" ht="13.2" customHeight="1" s="405">
      <c r="B229" s="117" t="n"/>
    </row>
    <row r="230" ht="13.2" customHeight="1" s="405">
      <c r="B230" s="117" t="n"/>
    </row>
    <row r="231" ht="13.2" customHeight="1" s="405">
      <c r="B231" s="117" t="n"/>
    </row>
    <row r="232" ht="13.2" customHeight="1" s="405">
      <c r="B232" s="117" t="n"/>
    </row>
    <row r="233" ht="13.2" customHeight="1" s="405">
      <c r="B233" s="117" t="n"/>
    </row>
    <row r="234" ht="13.2" customHeight="1" s="405">
      <c r="B234" s="117" t="n"/>
    </row>
    <row r="235" ht="13.2" customHeight="1" s="405">
      <c r="B235" s="117" t="n"/>
    </row>
    <row r="236" ht="13.2" customHeight="1" s="405">
      <c r="B236" s="117" t="n"/>
    </row>
    <row r="237" ht="13.2" customHeight="1" s="405">
      <c r="B237" s="117" t="n"/>
    </row>
    <row r="238" ht="13.2" customHeight="1" s="405">
      <c r="B238" s="117" t="n"/>
    </row>
    <row r="239" ht="13.2" customHeight="1" s="405">
      <c r="B239" s="117" t="n"/>
    </row>
    <row r="240" ht="13.2" customHeight="1" s="405">
      <c r="B240" s="117" t="n"/>
    </row>
    <row r="241" ht="13.2" customHeight="1" s="405">
      <c r="B241" s="117" t="n"/>
    </row>
    <row r="242" ht="13.2" customHeight="1" s="405">
      <c r="B242" s="117" t="n"/>
    </row>
    <row r="243" ht="13.2" customHeight="1" s="405">
      <c r="B243" s="117" t="n"/>
    </row>
    <row r="244" ht="13.2" customHeight="1" s="405">
      <c r="B244" s="117" t="n"/>
    </row>
    <row r="245" ht="13.2" customHeight="1" s="405">
      <c r="B245" s="117" t="n"/>
    </row>
    <row r="246" ht="13.2" customHeight="1" s="405">
      <c r="B246" s="117" t="n"/>
    </row>
    <row r="247" ht="13.2" customHeight="1" s="405">
      <c r="B247" s="117" t="n"/>
    </row>
    <row r="248" ht="13.2" customHeight="1" s="405">
      <c r="B248" s="117" t="n"/>
    </row>
    <row r="249" ht="13.2" customHeight="1" s="405">
      <c r="B249" s="117" t="n"/>
    </row>
    <row r="250" ht="13.2" customHeight="1" s="405">
      <c r="B250" s="117" t="n"/>
    </row>
    <row r="251" ht="13.2" customHeight="1" s="405">
      <c r="B251" s="117" t="n"/>
    </row>
    <row r="252" ht="13.2" customHeight="1" s="405">
      <c r="B252" s="117" t="n"/>
    </row>
    <row r="253" ht="13.2" customHeight="1" s="405">
      <c r="B253" s="117" t="n"/>
    </row>
    <row r="254" ht="13.2" customHeight="1" s="405">
      <c r="B254" s="117" t="n"/>
    </row>
    <row r="255" ht="13.2" customHeight="1" s="405">
      <c r="B255" s="117" t="n"/>
    </row>
    <row r="256" ht="13.2" customHeight="1" s="405">
      <c r="B256" s="117" t="n"/>
    </row>
    <row r="257" ht="13.2" customHeight="1" s="405">
      <c r="B257" s="117" t="n"/>
    </row>
    <row r="258" ht="13.2" customHeight="1" s="405">
      <c r="B258" s="117" t="n"/>
    </row>
    <row r="259" ht="13.2" customHeight="1" s="405">
      <c r="B259" s="117" t="n"/>
    </row>
    <row r="260" ht="13.2" customHeight="1" s="405">
      <c r="B260" s="117" t="n"/>
    </row>
    <row r="261" ht="13.2" customHeight="1" s="405">
      <c r="B261" s="117" t="n"/>
    </row>
    <row r="262" ht="13.2" customHeight="1" s="405">
      <c r="B262" s="117" t="n"/>
    </row>
    <row r="263" ht="13.2" customHeight="1" s="405">
      <c r="B263" s="117" t="n"/>
    </row>
    <row r="264" ht="13.2" customHeight="1" s="405">
      <c r="B264" s="117" t="n"/>
    </row>
    <row r="265" ht="13.2" customHeight="1" s="405">
      <c r="B265" s="117" t="n"/>
    </row>
    <row r="266" ht="13.2" customHeight="1" s="405">
      <c r="B266" s="117" t="n"/>
    </row>
    <row r="267" ht="13.2" customHeight="1" s="405">
      <c r="B267" s="117" t="n"/>
    </row>
    <row r="268" ht="13.2" customHeight="1" s="405">
      <c r="B268" s="117" t="n"/>
    </row>
    <row r="269" ht="13.2" customHeight="1" s="405">
      <c r="B269" s="117" t="n"/>
    </row>
    <row r="270" ht="13.2" customHeight="1" s="405">
      <c r="B270" s="117" t="n"/>
    </row>
    <row r="271" ht="13.2" customHeight="1" s="405">
      <c r="B271" s="117" t="n"/>
    </row>
    <row r="272" ht="13.2" customHeight="1" s="405">
      <c r="B272" s="117" t="n"/>
    </row>
    <row r="273" ht="13.2" customHeight="1" s="405">
      <c r="B273" s="117" t="n"/>
    </row>
    <row r="274" ht="13.2" customHeight="1" s="405">
      <c r="B274" s="117" t="n"/>
    </row>
    <row r="275" ht="13.2" customHeight="1" s="405">
      <c r="B275" s="117" t="n"/>
    </row>
    <row r="276" ht="13.2" customHeight="1" s="405">
      <c r="B276" s="117" t="n"/>
    </row>
    <row r="277" ht="13.2" customHeight="1" s="405">
      <c r="B277" s="117" t="n"/>
    </row>
    <row r="278" ht="13.2" customHeight="1" s="405">
      <c r="B278" s="117" t="n"/>
    </row>
    <row r="279" ht="13.2" customHeight="1" s="405">
      <c r="B279" s="117" t="n"/>
    </row>
    <row r="280" ht="13.2" customHeight="1" s="405">
      <c r="B280" s="117" t="n"/>
    </row>
    <row r="281" ht="13.2" customHeight="1" s="405">
      <c r="B281" s="117" t="n"/>
    </row>
    <row r="282" ht="13.2" customHeight="1" s="405">
      <c r="B282" s="117" t="n"/>
    </row>
    <row r="283" ht="13.2" customHeight="1" s="405">
      <c r="B283" s="117" t="n"/>
    </row>
    <row r="284" ht="13.2" customHeight="1" s="405">
      <c r="B284" s="117" t="n"/>
    </row>
    <row r="285" ht="13.2" customHeight="1" s="405">
      <c r="B285" s="117" t="n"/>
    </row>
    <row r="286" ht="13.2" customHeight="1" s="405">
      <c r="B286" s="117" t="n"/>
    </row>
    <row r="287" ht="13.2" customHeight="1" s="405">
      <c r="B287" s="117" t="n"/>
    </row>
    <row r="288" ht="13.2" customHeight="1" s="405">
      <c r="B288" s="117" t="n"/>
    </row>
    <row r="289" ht="13.2" customHeight="1" s="405">
      <c r="B289" s="117" t="n"/>
    </row>
    <row r="290" ht="13.2" customHeight="1" s="405">
      <c r="B290" s="117" t="n"/>
    </row>
    <row r="291" ht="13.2" customHeight="1" s="405">
      <c r="B291" s="117" t="n"/>
    </row>
    <row r="292" ht="13.2" customHeight="1" s="405">
      <c r="B292" s="117" t="n"/>
    </row>
    <row r="293" ht="13.2" customHeight="1" s="405">
      <c r="B293" s="117" t="n"/>
    </row>
    <row r="294" ht="13.2" customHeight="1" s="405">
      <c r="B294" s="117" t="n"/>
    </row>
    <row r="295" ht="13.2" customHeight="1" s="405">
      <c r="B295" s="117" t="n"/>
    </row>
    <row r="296" ht="13.2" customHeight="1" s="405">
      <c r="B296" s="117" t="n"/>
    </row>
    <row r="297" ht="13.2" customHeight="1" s="405">
      <c r="B297" s="117" t="n"/>
    </row>
    <row r="298" ht="13.2" customHeight="1" s="405">
      <c r="B298" s="117" t="n"/>
    </row>
    <row r="299" ht="13.2" customHeight="1" s="405">
      <c r="B299" s="117" t="n"/>
    </row>
    <row r="300" ht="13.2" customHeight="1" s="405">
      <c r="B300" s="117" t="n"/>
    </row>
    <row r="301" ht="13.2" customHeight="1" s="405">
      <c r="B301" s="117" t="n"/>
    </row>
    <row r="302" ht="13.2" customHeight="1" s="405">
      <c r="B302" s="117" t="n"/>
    </row>
    <row r="303" ht="13.2" customHeight="1" s="405">
      <c r="B303" s="117" t="n"/>
    </row>
    <row r="304" ht="13.2" customHeight="1" s="405">
      <c r="B304" s="117" t="n"/>
    </row>
    <row r="305" ht="13.2" customHeight="1" s="405">
      <c r="B305" s="117" t="n"/>
    </row>
    <row r="306" ht="13.2" customHeight="1" s="405">
      <c r="B306" s="117" t="n"/>
    </row>
    <row r="307" ht="13.2" customHeight="1" s="405">
      <c r="B307" s="117" t="n"/>
    </row>
    <row r="308" ht="13.2" customHeight="1" s="405">
      <c r="B308" s="117" t="n"/>
    </row>
    <row r="309" ht="13.2" customHeight="1" s="405">
      <c r="B309" s="117" t="n"/>
    </row>
    <row r="310" ht="13.2" customHeight="1" s="405">
      <c r="B310" s="117" t="n"/>
    </row>
    <row r="311" ht="13.2" customHeight="1" s="405">
      <c r="B311" s="117" t="n"/>
    </row>
    <row r="312" ht="13.2" customHeight="1" s="405">
      <c r="B312" s="117" t="n"/>
    </row>
    <row r="313" ht="13.2" customHeight="1" s="405">
      <c r="B313" s="117" t="n"/>
    </row>
    <row r="314" ht="13.2" customHeight="1" s="405">
      <c r="B314" s="117" t="n"/>
    </row>
    <row r="315" ht="13.2" customHeight="1" s="405">
      <c r="B315" s="117" t="n"/>
    </row>
    <row r="316" ht="13.2" customHeight="1" s="405">
      <c r="B316" s="117" t="n"/>
    </row>
    <row r="317" ht="13.2" customHeight="1" s="405">
      <c r="B317" s="117" t="n"/>
    </row>
    <row r="318" ht="13.2" customHeight="1" s="405">
      <c r="B318" s="117" t="n"/>
    </row>
    <row r="319" ht="13.2" customHeight="1" s="405">
      <c r="B319" s="117" t="n"/>
    </row>
    <row r="320" ht="13.2" customHeight="1" s="405">
      <c r="B320" s="117" t="n"/>
    </row>
    <row r="321" ht="13.2" customHeight="1" s="405">
      <c r="B321" s="117" t="n"/>
    </row>
    <row r="322" ht="13.2" customHeight="1" s="405">
      <c r="B322" s="117" t="n"/>
    </row>
    <row r="323" ht="13.2" customHeight="1" s="405">
      <c r="B323" s="117" t="n"/>
    </row>
    <row r="324" ht="13.2" customHeight="1" s="405">
      <c r="B324" s="117" t="n"/>
    </row>
    <row r="325" ht="13.2" customHeight="1" s="405">
      <c r="B325" s="117" t="n"/>
    </row>
    <row r="326" ht="13.2" customHeight="1" s="405">
      <c r="B326" s="117" t="n"/>
    </row>
    <row r="327" ht="13.2" customHeight="1" s="405">
      <c r="B327" s="117" t="n"/>
    </row>
    <row r="328" ht="13.2" customHeight="1" s="405">
      <c r="B328" s="117" t="n"/>
    </row>
    <row r="329" ht="13.2" customHeight="1" s="405">
      <c r="B329" s="117" t="n"/>
    </row>
    <row r="330" ht="13.2" customHeight="1" s="405">
      <c r="B330" s="117" t="n"/>
    </row>
    <row r="331" ht="13.2" customHeight="1" s="405">
      <c r="B331" s="117" t="n"/>
    </row>
    <row r="332" ht="13.2" customHeight="1" s="405">
      <c r="B332" s="117" t="n"/>
    </row>
    <row r="333" ht="13.2" customHeight="1" s="405">
      <c r="B333" s="117" t="n"/>
    </row>
    <row r="334" ht="13.2" customHeight="1" s="405">
      <c r="B334" s="117" t="n"/>
    </row>
    <row r="335" ht="13.2" customHeight="1" s="405">
      <c r="B335" s="117" t="n"/>
    </row>
    <row r="336" ht="13.2" customHeight="1" s="405">
      <c r="B336" s="117" t="n"/>
    </row>
    <row r="337" ht="13.2" customHeight="1" s="405">
      <c r="B337" s="117" t="n"/>
    </row>
    <row r="338" ht="13.2" customHeight="1" s="405">
      <c r="B338" s="117" t="n"/>
    </row>
    <row r="339" ht="13.2" customHeight="1" s="405">
      <c r="B339" s="117" t="n"/>
    </row>
    <row r="340" ht="13.2" customHeight="1" s="405">
      <c r="B340" s="117" t="n"/>
    </row>
    <row r="341" ht="13.2" customHeight="1" s="405">
      <c r="B341" s="117" t="n"/>
    </row>
    <row r="342" ht="13.2" customHeight="1" s="405">
      <c r="B342" s="117" t="n"/>
    </row>
    <row r="343" ht="13.2" customHeight="1" s="405">
      <c r="B343" s="117" t="n"/>
    </row>
    <row r="344" ht="13.2" customHeight="1" s="405">
      <c r="B344" s="117" t="n"/>
    </row>
    <row r="345" ht="13.2" customHeight="1" s="405">
      <c r="B345" s="117" t="n"/>
    </row>
    <row r="346" ht="13.2" customHeight="1" s="405">
      <c r="B346" s="117" t="n"/>
    </row>
    <row r="347" ht="13.2" customHeight="1" s="405">
      <c r="B347" s="117" t="n"/>
    </row>
    <row r="348" ht="13.2" customHeight="1" s="405">
      <c r="B348" s="117" t="n"/>
    </row>
    <row r="349" ht="13.2" customHeight="1" s="405">
      <c r="B349" s="117" t="n"/>
    </row>
    <row r="350" ht="13.2" customHeight="1" s="405">
      <c r="B350" s="117" t="n"/>
    </row>
    <row r="351" ht="13.2" customHeight="1" s="405">
      <c r="B351" s="117" t="n"/>
    </row>
    <row r="352" ht="13.2" customHeight="1" s="405">
      <c r="B352" s="117" t="n"/>
    </row>
    <row r="353" ht="13.2" customHeight="1" s="405">
      <c r="B353" s="117" t="n"/>
    </row>
    <row r="354" ht="13.2" customHeight="1" s="405">
      <c r="B354" s="117" t="n"/>
    </row>
    <row r="355" ht="13.2" customHeight="1" s="405">
      <c r="B355" s="117" t="n"/>
    </row>
    <row r="356" ht="13.2" customHeight="1" s="405">
      <c r="B356" s="117" t="n"/>
    </row>
    <row r="357" ht="13.2" customHeight="1" s="405">
      <c r="B357" s="117" t="n"/>
    </row>
    <row r="358" ht="13.2" customHeight="1" s="405">
      <c r="B358" s="117" t="n"/>
    </row>
    <row r="359" ht="13.2" customHeight="1" s="405">
      <c r="B359" s="117" t="n"/>
    </row>
    <row r="360" ht="13.2" customHeight="1" s="405">
      <c r="B360" s="117" t="n"/>
    </row>
    <row r="361" ht="13.2" customHeight="1" s="405">
      <c r="B361" s="117" t="n"/>
    </row>
    <row r="362" ht="13.2" customHeight="1" s="405">
      <c r="B362" s="117" t="n"/>
    </row>
    <row r="363" ht="13.2" customHeight="1" s="405">
      <c r="B363" s="117" t="n"/>
    </row>
    <row r="364" ht="13.2" customHeight="1" s="405">
      <c r="B364" s="117" t="n"/>
    </row>
    <row r="365" ht="13.2" customHeight="1" s="405">
      <c r="B365" s="117" t="n"/>
    </row>
    <row r="366" ht="13.2" customHeight="1" s="405">
      <c r="B366" s="117" t="n"/>
    </row>
    <row r="367" ht="13.2" customHeight="1" s="405">
      <c r="B367" s="117" t="n"/>
    </row>
    <row r="368" ht="13.2" customHeight="1" s="405">
      <c r="B368" s="117" t="n"/>
    </row>
    <row r="369" ht="13.2" customHeight="1" s="405">
      <c r="B369" s="117" t="n"/>
    </row>
    <row r="370" ht="13.2" customHeight="1" s="405">
      <c r="B370" s="117" t="n"/>
    </row>
    <row r="371" ht="13.2" customHeight="1" s="405">
      <c r="B371" s="117" t="n"/>
    </row>
    <row r="372" ht="13.2" customHeight="1" s="405">
      <c r="B372" s="117" t="n"/>
    </row>
    <row r="373" ht="13.2" customHeight="1" s="405">
      <c r="B373" s="117" t="n"/>
    </row>
    <row r="374" ht="13.2" customHeight="1" s="405">
      <c r="B374" s="117" t="n"/>
    </row>
    <row r="375" ht="13.2" customHeight="1" s="405">
      <c r="B375" s="117" t="n"/>
    </row>
    <row r="376" ht="13.2" customHeight="1" s="405">
      <c r="B376" s="117" t="n"/>
    </row>
    <row r="377" ht="13.2" customHeight="1" s="405">
      <c r="B377" s="117" t="n"/>
    </row>
    <row r="378" ht="13.2" customHeight="1" s="405">
      <c r="B378" s="117" t="n"/>
    </row>
    <row r="379" ht="13.2" customHeight="1" s="405">
      <c r="B379" s="117" t="n"/>
    </row>
    <row r="380" ht="13.2" customHeight="1" s="405">
      <c r="B380" s="117" t="n"/>
    </row>
    <row r="381" ht="13.2" customHeight="1" s="405">
      <c r="B381" s="117" t="n"/>
    </row>
    <row r="382" ht="13.2" customHeight="1" s="405">
      <c r="B382" s="117" t="n"/>
    </row>
    <row r="383" ht="13.2" customHeight="1" s="405">
      <c r="B383" s="117" t="n"/>
    </row>
    <row r="384" ht="13.2" customHeight="1" s="405">
      <c r="B384" s="117" t="n"/>
    </row>
    <row r="385" ht="13.2" customHeight="1" s="405">
      <c r="B385" s="117" t="n"/>
    </row>
    <row r="386" ht="13.2" customHeight="1" s="405">
      <c r="B386" s="117" t="n"/>
    </row>
    <row r="387" ht="13.2" customHeight="1" s="405">
      <c r="B387" s="117" t="n"/>
    </row>
    <row r="388" ht="13.2" customHeight="1" s="405">
      <c r="B388" s="117" t="n"/>
    </row>
    <row r="389" ht="13.2" customHeight="1" s="405">
      <c r="B389" s="117" t="n"/>
    </row>
    <row r="390" ht="13.2" customHeight="1" s="405">
      <c r="B390" s="117" t="n"/>
    </row>
    <row r="391" ht="13.2" customHeight="1" s="405">
      <c r="B391" s="117" t="n"/>
    </row>
    <row r="392" ht="13.2" customHeight="1" s="405">
      <c r="B392" s="117" t="n"/>
    </row>
    <row r="393" ht="13.2" customHeight="1" s="405">
      <c r="B393" s="117" t="n"/>
    </row>
    <row r="394" ht="13.2" customHeight="1" s="405">
      <c r="B394" s="117" t="n"/>
    </row>
    <row r="395" ht="13.2" customHeight="1" s="405">
      <c r="B395" s="117" t="n"/>
    </row>
    <row r="396" ht="13.2" customHeight="1" s="405">
      <c r="B396" s="117" t="n"/>
    </row>
    <row r="397" ht="13.2" customHeight="1" s="405">
      <c r="B397" s="117" t="n"/>
    </row>
    <row r="398" ht="13.2" customHeight="1" s="405">
      <c r="B398" s="117" t="n"/>
    </row>
    <row r="399" ht="13.2" customHeight="1" s="405">
      <c r="B399" s="117" t="n"/>
    </row>
    <row r="400" ht="13.2" customHeight="1" s="405">
      <c r="B400" s="117" t="n"/>
    </row>
    <row r="401" ht="13.2" customHeight="1" s="405">
      <c r="B401" s="117" t="n"/>
    </row>
    <row r="402" ht="13.2" customHeight="1" s="405">
      <c r="B402" s="117" t="n"/>
    </row>
    <row r="403" ht="13.2" customHeight="1" s="405">
      <c r="B403" s="117" t="n"/>
    </row>
    <row r="404" ht="13.2" customHeight="1" s="405">
      <c r="B404" s="117" t="n"/>
    </row>
    <row r="405" ht="13.2" customHeight="1" s="405">
      <c r="B405" s="117" t="n"/>
    </row>
    <row r="406" ht="13.2" customHeight="1" s="405">
      <c r="B406" s="117" t="n"/>
    </row>
    <row r="407" ht="13.2" customHeight="1" s="405">
      <c r="B407" s="117" t="n"/>
    </row>
    <row r="408" ht="13.2" customHeight="1" s="405">
      <c r="B408" s="117" t="n"/>
    </row>
    <row r="409" ht="13.2" customHeight="1" s="405">
      <c r="B409" s="117" t="n"/>
    </row>
    <row r="410" ht="13.2" customHeight="1" s="405">
      <c r="B410" s="117" t="n"/>
    </row>
    <row r="411" ht="13.2" customHeight="1" s="405">
      <c r="B411" s="117" t="n"/>
    </row>
    <row r="412" ht="13.2" customHeight="1" s="405">
      <c r="B412" s="117" t="n"/>
    </row>
    <row r="413" ht="13.2" customHeight="1" s="405">
      <c r="B413" s="117" t="n"/>
    </row>
    <row r="414" ht="13.2" customHeight="1" s="405">
      <c r="B414" s="117" t="n"/>
    </row>
    <row r="415" ht="13.2" customHeight="1" s="405">
      <c r="B415" s="117" t="n"/>
    </row>
    <row r="416" ht="13.2" customHeight="1" s="405">
      <c r="B416" s="117" t="n"/>
    </row>
    <row r="417" ht="13.2" customHeight="1" s="405">
      <c r="B417" s="117" t="n"/>
    </row>
    <row r="418" ht="13.2" customHeight="1" s="405">
      <c r="B418" s="117" t="n"/>
    </row>
    <row r="419" ht="13.2" customHeight="1" s="405">
      <c r="B419" s="117" t="n"/>
    </row>
    <row r="420" ht="13.2" customHeight="1" s="405">
      <c r="B420" s="117" t="n"/>
    </row>
    <row r="421" ht="13.2" customHeight="1" s="405">
      <c r="B421" s="117" t="n"/>
    </row>
    <row r="422" ht="13.2" customHeight="1" s="405">
      <c r="B422" s="117" t="n"/>
    </row>
    <row r="423" ht="13.2" customHeight="1" s="405">
      <c r="B423" s="117" t="n"/>
    </row>
    <row r="424" ht="13.2" customHeight="1" s="405">
      <c r="B424" s="117" t="n"/>
    </row>
    <row r="425" ht="13.2" customHeight="1" s="405">
      <c r="B425" s="117" t="n"/>
    </row>
    <row r="426" ht="13.2" customHeight="1" s="405">
      <c r="B426" s="117" t="n"/>
    </row>
    <row r="427" ht="13.2" customHeight="1" s="405">
      <c r="B427" s="117" t="n"/>
    </row>
    <row r="428" ht="13.2" customHeight="1" s="405">
      <c r="B428" s="117" t="n"/>
    </row>
    <row r="429" ht="13.2" customHeight="1" s="405">
      <c r="B429" s="117" t="n"/>
    </row>
    <row r="430" ht="13.2" customHeight="1" s="405">
      <c r="B430" s="117" t="n"/>
    </row>
    <row r="431" ht="13.2" customHeight="1" s="405">
      <c r="B431" s="117" t="n"/>
    </row>
    <row r="432" ht="13.2" customHeight="1" s="405">
      <c r="B432" s="117" t="n"/>
    </row>
    <row r="433" ht="13.2" customHeight="1" s="405">
      <c r="B433" s="117" t="n"/>
    </row>
    <row r="434" ht="13.2" customHeight="1" s="405">
      <c r="B434" s="117" t="n"/>
    </row>
    <row r="435" ht="13.2" customHeight="1" s="405">
      <c r="B435" s="117" t="n"/>
    </row>
    <row r="436" ht="13.2" customHeight="1" s="405">
      <c r="B436" s="117" t="n"/>
    </row>
    <row r="437" ht="13.2" customHeight="1" s="405">
      <c r="B437" s="117" t="n"/>
    </row>
    <row r="438" ht="13.2" customHeight="1" s="405">
      <c r="B438" s="117" t="n"/>
    </row>
    <row r="439" ht="13.2" customHeight="1" s="405">
      <c r="B439" s="117" t="n"/>
    </row>
    <row r="440" ht="13.2" customHeight="1" s="405">
      <c r="B440" s="117" t="n"/>
    </row>
    <row r="441" ht="13.2" customHeight="1" s="405">
      <c r="B441" s="117" t="n"/>
    </row>
    <row r="442" ht="13.2" customHeight="1" s="405">
      <c r="B442" s="117" t="n"/>
    </row>
    <row r="443" ht="13.2" customHeight="1" s="405">
      <c r="B443" s="117" t="n"/>
    </row>
    <row r="444" ht="13.2" customHeight="1" s="405">
      <c r="B444" s="117" t="n"/>
    </row>
    <row r="445" ht="13.2" customHeight="1" s="405">
      <c r="B445" s="117" t="n"/>
    </row>
    <row r="446" ht="13.2" customHeight="1" s="405">
      <c r="B446" s="117" t="n"/>
    </row>
    <row r="447" ht="13.2" customHeight="1" s="405">
      <c r="B447" s="117" t="n"/>
    </row>
    <row r="448" ht="13.2" customHeight="1" s="405">
      <c r="B448" s="117" t="n"/>
    </row>
    <row r="449" ht="13.2" customHeight="1" s="405">
      <c r="B449" s="117" t="n"/>
    </row>
    <row r="450" ht="13.2" customHeight="1" s="405">
      <c r="B450" s="117" t="n"/>
    </row>
    <row r="451" ht="13.2" customHeight="1" s="405">
      <c r="B451" s="117" t="n"/>
    </row>
    <row r="452" ht="13.2" customHeight="1" s="405">
      <c r="B452" s="117" t="n"/>
    </row>
    <row r="453" ht="13.2" customHeight="1" s="405">
      <c r="B453" s="117" t="n"/>
    </row>
    <row r="454" ht="13.2" customHeight="1" s="405">
      <c r="B454" s="117" t="n"/>
    </row>
    <row r="455" ht="13.2" customHeight="1" s="405">
      <c r="B455" s="117" t="n"/>
    </row>
    <row r="456" ht="13.2" customHeight="1" s="405">
      <c r="B456" s="117" t="n"/>
    </row>
    <row r="457" ht="13.2" customHeight="1" s="405">
      <c r="B457" s="117" t="n"/>
    </row>
    <row r="458" ht="13.2" customHeight="1" s="405">
      <c r="B458" s="117" t="n"/>
    </row>
    <row r="459" ht="13.2" customHeight="1" s="405">
      <c r="B459" s="117" t="n"/>
    </row>
    <row r="460" ht="13.2" customHeight="1" s="405">
      <c r="B460" s="117" t="n"/>
    </row>
    <row r="461" ht="13.2" customHeight="1" s="405">
      <c r="B461" s="117" t="n"/>
    </row>
    <row r="462" ht="13.2" customHeight="1" s="405">
      <c r="B462" s="117" t="n"/>
    </row>
    <row r="463" ht="13.2" customHeight="1" s="405">
      <c r="B463" s="117" t="n"/>
    </row>
    <row r="464" ht="13.2" customHeight="1" s="405">
      <c r="B464" s="117" t="n"/>
    </row>
    <row r="465" ht="13.2" customHeight="1" s="405">
      <c r="B465" s="117" t="n"/>
    </row>
    <row r="466" ht="13.2" customHeight="1" s="405">
      <c r="B466" s="117" t="n"/>
    </row>
    <row r="467" ht="13.2" customHeight="1" s="405">
      <c r="B467" s="117" t="n"/>
    </row>
    <row r="468" ht="13.2" customHeight="1" s="405">
      <c r="B468" s="117" t="n"/>
    </row>
    <row r="469" ht="13.2" customHeight="1" s="405">
      <c r="B469" s="117" t="n"/>
    </row>
    <row r="470" ht="13.2" customHeight="1" s="405">
      <c r="B470" s="117" t="n"/>
    </row>
    <row r="471" ht="13.2" customHeight="1" s="405">
      <c r="B471" s="117" t="n"/>
    </row>
    <row r="472" ht="13.2" customHeight="1" s="405">
      <c r="B472" s="117" t="n"/>
    </row>
    <row r="473" ht="13.2" customHeight="1" s="405">
      <c r="B473" s="117" t="n"/>
    </row>
    <row r="474" ht="13.2" customHeight="1" s="405">
      <c r="B474" s="117" t="n"/>
    </row>
    <row r="475" ht="13.2" customHeight="1" s="405">
      <c r="B475" s="117" t="n"/>
    </row>
    <row r="476" ht="13.2" customHeight="1" s="405">
      <c r="B476" s="117" t="n"/>
    </row>
    <row r="477" ht="13.2" customHeight="1" s="405">
      <c r="B477" s="117" t="n"/>
    </row>
    <row r="478" ht="13.2" customHeight="1" s="405">
      <c r="B478" s="117" t="n"/>
    </row>
    <row r="479" ht="13.2" customHeight="1" s="405">
      <c r="B479" s="117" t="n"/>
    </row>
    <row r="480" ht="13.2" customHeight="1" s="405">
      <c r="B480" s="117" t="n"/>
    </row>
    <row r="481" ht="13.2" customHeight="1" s="405">
      <c r="B481" s="117" t="n"/>
    </row>
    <row r="482" ht="13.2" customHeight="1" s="405">
      <c r="B482" s="117" t="n"/>
    </row>
    <row r="483" ht="13.2" customHeight="1" s="405">
      <c r="B483" s="117" t="n"/>
    </row>
    <row r="484" ht="13.2" customHeight="1" s="405">
      <c r="B484" s="117" t="n"/>
    </row>
    <row r="485" ht="13.2" customHeight="1" s="405">
      <c r="B485" s="117" t="n"/>
    </row>
    <row r="486" ht="13.2" customHeight="1" s="405">
      <c r="B486" s="117" t="n"/>
    </row>
    <row r="487" ht="13.2" customHeight="1" s="405">
      <c r="B487" s="117" t="n"/>
    </row>
    <row r="488" ht="13.2" customHeight="1" s="405">
      <c r="B488" s="117" t="n"/>
    </row>
    <row r="489" ht="13.2" customHeight="1" s="405">
      <c r="B489" s="117" t="n"/>
    </row>
    <row r="490" ht="13.2" customHeight="1" s="405">
      <c r="B490" s="117" t="n"/>
    </row>
    <row r="491" ht="13.2" customHeight="1" s="405">
      <c r="B491" s="117" t="n"/>
    </row>
    <row r="492" ht="13.2" customHeight="1" s="405">
      <c r="B492" s="117" t="n"/>
    </row>
    <row r="493" ht="13.2" customHeight="1" s="405">
      <c r="B493" s="117" t="n"/>
    </row>
    <row r="494" ht="13.2" customHeight="1" s="405">
      <c r="B494" s="117" t="n"/>
    </row>
    <row r="495" ht="13.2" customHeight="1" s="405">
      <c r="B495" s="117" t="n"/>
    </row>
    <row r="496" ht="13.2" customHeight="1" s="405">
      <c r="B496" s="117" t="n"/>
    </row>
    <row r="497" ht="13.2" customHeight="1" s="405">
      <c r="B497" s="117" t="n"/>
    </row>
    <row r="498" ht="13.2" customHeight="1" s="405">
      <c r="B498" s="117" t="n"/>
    </row>
    <row r="499" ht="13.2" customHeight="1" s="405">
      <c r="B499" s="117" t="n"/>
    </row>
    <row r="500" ht="13.2" customHeight="1" s="405">
      <c r="B500" s="117" t="n"/>
    </row>
    <row r="501" ht="13.2" customHeight="1" s="405">
      <c r="B501" s="117" t="n"/>
    </row>
    <row r="502" ht="13.2" customHeight="1" s="405">
      <c r="B502" s="117" t="n"/>
    </row>
    <row r="503" ht="13.2" customHeight="1" s="405">
      <c r="B503" s="117" t="n"/>
    </row>
    <row r="504" ht="13.2" customHeight="1" s="405">
      <c r="B504" s="117" t="n"/>
    </row>
    <row r="505" ht="13.2" customHeight="1" s="405">
      <c r="B505" s="117" t="n"/>
    </row>
    <row r="506" ht="13.2" customHeight="1" s="405">
      <c r="B506" s="117" t="n"/>
    </row>
    <row r="507" ht="13.2" customHeight="1" s="405">
      <c r="B507" s="117" t="n"/>
    </row>
    <row r="508" ht="13.2" customHeight="1" s="405">
      <c r="B508" s="117" t="n"/>
    </row>
    <row r="509" ht="13.2" customHeight="1" s="405">
      <c r="B509" s="117" t="n"/>
    </row>
    <row r="510" ht="13.2" customHeight="1" s="405">
      <c r="B510" s="117" t="n"/>
    </row>
    <row r="511" ht="13.2" customHeight="1" s="405">
      <c r="B511" s="117" t="n"/>
    </row>
    <row r="512" ht="13.2" customHeight="1" s="405">
      <c r="B512" s="117" t="n"/>
    </row>
    <row r="513" ht="13.2" customHeight="1" s="405">
      <c r="B513" s="117" t="n"/>
    </row>
    <row r="514" ht="13.2" customHeight="1" s="405">
      <c r="B514" s="117" t="n"/>
    </row>
    <row r="515" ht="13.2" customHeight="1" s="405">
      <c r="B515" s="117" t="n"/>
    </row>
    <row r="516" ht="13.2" customHeight="1" s="405">
      <c r="B516" s="117" t="n"/>
    </row>
    <row r="517" ht="13.2" customHeight="1" s="405">
      <c r="B517" s="117" t="n"/>
    </row>
    <row r="518" ht="13.2" customHeight="1" s="405">
      <c r="B518" s="117" t="n"/>
    </row>
    <row r="519" ht="13.2" customHeight="1" s="405">
      <c r="B519" s="117" t="n"/>
    </row>
    <row r="520" ht="13.2" customHeight="1" s="405">
      <c r="B520" s="117" t="n"/>
    </row>
    <row r="521" ht="13.2" customHeight="1" s="405">
      <c r="B521" s="117" t="n"/>
    </row>
    <row r="522" ht="13.2" customHeight="1" s="405">
      <c r="B522" s="117" t="n"/>
    </row>
    <row r="523" ht="13.2" customHeight="1" s="405">
      <c r="B523" s="117" t="n"/>
    </row>
    <row r="524" ht="13.2" customHeight="1" s="405">
      <c r="B524" s="117" t="n"/>
    </row>
    <row r="525" ht="13.2" customHeight="1" s="405">
      <c r="B525" s="117" t="n"/>
    </row>
    <row r="526" ht="13.2" customHeight="1" s="405">
      <c r="B526" s="117" t="n"/>
    </row>
    <row r="527" ht="13.2" customHeight="1" s="405">
      <c r="B527" s="117" t="n"/>
    </row>
    <row r="528" ht="13.2" customHeight="1" s="405">
      <c r="B528" s="117" t="n"/>
    </row>
    <row r="529" ht="13.2" customHeight="1" s="405">
      <c r="B529" s="117" t="n"/>
    </row>
    <row r="530" ht="13.2" customHeight="1" s="405">
      <c r="B530" s="117" t="n"/>
    </row>
    <row r="531" ht="13.2" customHeight="1" s="405">
      <c r="B531" s="117" t="n"/>
    </row>
    <row r="532" ht="13.2" customHeight="1" s="405">
      <c r="B532" s="117" t="n"/>
    </row>
    <row r="533" ht="13.2" customHeight="1" s="405">
      <c r="B533" s="117" t="n"/>
    </row>
    <row r="534" ht="13.2" customHeight="1" s="405">
      <c r="B534" s="117" t="n"/>
    </row>
    <row r="535" ht="13.2" customHeight="1" s="405">
      <c r="B535" s="117" t="n"/>
    </row>
    <row r="536" ht="13.2" customHeight="1" s="405">
      <c r="B536" s="117" t="n"/>
    </row>
    <row r="537" ht="13.2" customHeight="1" s="405">
      <c r="B537" s="117" t="n"/>
    </row>
    <row r="538" ht="13.2" customHeight="1" s="405">
      <c r="B538" s="117" t="n"/>
    </row>
    <row r="539" ht="13.2" customHeight="1" s="405">
      <c r="B539" s="117" t="n"/>
    </row>
    <row r="540" ht="13.2" customHeight="1" s="405">
      <c r="B540" s="117" t="n"/>
    </row>
    <row r="541" ht="13.2" customHeight="1" s="405">
      <c r="B541" s="117" t="n"/>
    </row>
    <row r="542" ht="13.2" customHeight="1" s="405">
      <c r="B542" s="117" t="n"/>
    </row>
    <row r="543" ht="13.2" customHeight="1" s="405">
      <c r="B543" s="117" t="n"/>
    </row>
    <row r="544" ht="13.2" customHeight="1" s="405">
      <c r="B544" s="117" t="n"/>
    </row>
    <row r="545" ht="13.2" customHeight="1" s="405">
      <c r="B545" s="117" t="n"/>
    </row>
    <row r="546" ht="13.2" customHeight="1" s="405">
      <c r="B546" s="117" t="n"/>
    </row>
    <row r="547" ht="13.2" customHeight="1" s="405">
      <c r="B547" s="117" t="n"/>
    </row>
    <row r="548" ht="13.2" customHeight="1" s="405">
      <c r="B548" s="117" t="n"/>
    </row>
    <row r="549" ht="13.2" customHeight="1" s="405">
      <c r="B549" s="117" t="n"/>
    </row>
    <row r="550" ht="13.2" customHeight="1" s="405">
      <c r="B550" s="117" t="n"/>
    </row>
    <row r="551" ht="13.2" customHeight="1" s="405">
      <c r="B551" s="117" t="n"/>
    </row>
    <row r="552" ht="13.2" customHeight="1" s="405">
      <c r="B552" s="117" t="n"/>
    </row>
    <row r="553" ht="13.2" customHeight="1" s="405">
      <c r="B553" s="117" t="n"/>
    </row>
    <row r="554" ht="13.2" customHeight="1" s="405">
      <c r="B554" s="117" t="n"/>
    </row>
    <row r="555" ht="13.2" customHeight="1" s="405">
      <c r="B555" s="117" t="n"/>
    </row>
    <row r="556" ht="13.2" customHeight="1" s="405">
      <c r="B556" s="117" t="n"/>
    </row>
    <row r="557" ht="13.2" customHeight="1" s="405">
      <c r="B557" s="117" t="n"/>
    </row>
    <row r="558" ht="13.2" customHeight="1" s="405">
      <c r="B558" s="117" t="n"/>
    </row>
    <row r="559" ht="13.2" customHeight="1" s="405">
      <c r="B559" s="117" t="n"/>
    </row>
    <row r="560" ht="13.2" customHeight="1" s="405">
      <c r="B560" s="117" t="n"/>
    </row>
    <row r="561" ht="13.2" customHeight="1" s="405">
      <c r="B561" s="117" t="n"/>
    </row>
    <row r="562" ht="13.2" customHeight="1" s="405">
      <c r="B562" s="117" t="n"/>
    </row>
    <row r="563" ht="13.2" customHeight="1" s="405">
      <c r="B563" s="117" t="n"/>
    </row>
    <row r="564" ht="13.2" customHeight="1" s="405">
      <c r="B564" s="117" t="n"/>
    </row>
    <row r="565" ht="13.2" customHeight="1" s="405">
      <c r="B565" s="117" t="n"/>
    </row>
    <row r="566" ht="13.2" customHeight="1" s="405">
      <c r="B566" s="117" t="n"/>
    </row>
    <row r="567" ht="13.2" customHeight="1" s="405">
      <c r="B567" s="117" t="n"/>
    </row>
    <row r="568" ht="13.2" customHeight="1" s="405">
      <c r="B568" s="117" t="n"/>
    </row>
    <row r="569" ht="13.2" customHeight="1" s="405">
      <c r="B569" s="117" t="n"/>
    </row>
    <row r="570" ht="13.2" customHeight="1" s="405">
      <c r="B570" s="117" t="n"/>
    </row>
    <row r="571" ht="13.2" customHeight="1" s="405">
      <c r="B571" s="117" t="n"/>
    </row>
    <row r="572" ht="13.2" customHeight="1" s="405">
      <c r="B572" s="117" t="n"/>
    </row>
    <row r="573" ht="13.2" customHeight="1" s="405">
      <c r="B573" s="117" t="n"/>
    </row>
    <row r="574" ht="13.2" customHeight="1" s="405">
      <c r="B574" s="117" t="n"/>
    </row>
    <row r="575" ht="13.2" customHeight="1" s="405">
      <c r="B575" s="117" t="n"/>
    </row>
    <row r="576" ht="13.2" customHeight="1" s="405">
      <c r="B576" s="117" t="n"/>
    </row>
    <row r="577" ht="13.2" customHeight="1" s="405">
      <c r="B577" s="117" t="n"/>
    </row>
    <row r="578" ht="13.2" customHeight="1" s="405">
      <c r="B578" s="117" t="n"/>
    </row>
    <row r="579" ht="13.2" customHeight="1" s="405">
      <c r="B579" s="117" t="n"/>
    </row>
    <row r="580" ht="13.2" customHeight="1" s="405">
      <c r="B580" s="117" t="n"/>
    </row>
    <row r="581" ht="13.2" customHeight="1" s="405">
      <c r="B581" s="117" t="n"/>
    </row>
    <row r="582" ht="13.2" customHeight="1" s="405">
      <c r="B582" s="117" t="n"/>
    </row>
    <row r="583" ht="13.2" customHeight="1" s="405">
      <c r="B583" s="117" t="n"/>
    </row>
    <row r="584" ht="13.2" customHeight="1" s="405">
      <c r="B584" s="117" t="n"/>
    </row>
    <row r="585" ht="13.2" customHeight="1" s="405">
      <c r="B585" s="117" t="n"/>
    </row>
    <row r="586" ht="13.2" customHeight="1" s="405">
      <c r="B586" s="117" t="n"/>
    </row>
    <row r="587" ht="13.2" customHeight="1" s="405">
      <c r="B587" s="117" t="n"/>
    </row>
    <row r="588" ht="13.2" customHeight="1" s="405">
      <c r="B588" s="117" t="n"/>
    </row>
    <row r="589" ht="13.2" customHeight="1" s="405">
      <c r="B589" s="117" t="n"/>
    </row>
    <row r="590" ht="13.2" customHeight="1" s="405">
      <c r="B590" s="117" t="n"/>
    </row>
    <row r="591" ht="13.2" customHeight="1" s="405">
      <c r="B591" s="117" t="n"/>
    </row>
    <row r="592" ht="13.2" customHeight="1" s="405">
      <c r="B592" s="117" t="n"/>
    </row>
    <row r="593" ht="13.2" customHeight="1" s="405">
      <c r="B593" s="117" t="n"/>
    </row>
    <row r="594" ht="13.2" customHeight="1" s="405">
      <c r="B594" s="117" t="n"/>
    </row>
    <row r="595" ht="13.2" customHeight="1" s="405">
      <c r="B595" s="117" t="n"/>
    </row>
    <row r="596" ht="13.2" customHeight="1" s="405">
      <c r="B596" s="117" t="n"/>
    </row>
    <row r="597" ht="13.2" customHeight="1" s="405">
      <c r="B597" s="117" t="n"/>
    </row>
    <row r="598" ht="13.2" customHeight="1" s="405">
      <c r="B598" s="117" t="n"/>
    </row>
    <row r="599" ht="13.2" customHeight="1" s="405">
      <c r="B599" s="117" t="n"/>
    </row>
    <row r="600" ht="13.2" customHeight="1" s="405">
      <c r="B600" s="117" t="n"/>
    </row>
    <row r="601" ht="13.2" customHeight="1" s="405">
      <c r="B601" s="117" t="n"/>
    </row>
    <row r="602" ht="13.2" customHeight="1" s="405">
      <c r="B602" s="117" t="n"/>
    </row>
    <row r="603" ht="13.2" customHeight="1" s="405">
      <c r="B603" s="117" t="n"/>
    </row>
    <row r="604" ht="13.2" customHeight="1" s="405">
      <c r="B604" s="117" t="n"/>
    </row>
    <row r="605" ht="13.2" customHeight="1" s="405">
      <c r="B605" s="117" t="n"/>
    </row>
    <row r="606" ht="13.2" customHeight="1" s="405">
      <c r="B606" s="117" t="n"/>
    </row>
    <row r="607" ht="13.2" customHeight="1" s="405">
      <c r="B607" s="117" t="n"/>
    </row>
    <row r="608" ht="13.2" customHeight="1" s="405">
      <c r="B608" s="117" t="n"/>
    </row>
    <row r="609" ht="13.2" customHeight="1" s="405">
      <c r="B609" s="117" t="n"/>
    </row>
    <row r="610" ht="13.2" customHeight="1" s="405">
      <c r="B610" s="117" t="n"/>
    </row>
    <row r="611" ht="13.2" customHeight="1" s="405">
      <c r="B611" s="117" t="n"/>
    </row>
    <row r="612" ht="13.2" customHeight="1" s="405">
      <c r="B612" s="117" t="n"/>
    </row>
    <row r="613" ht="13.2" customHeight="1" s="405">
      <c r="B613" s="117" t="n"/>
    </row>
    <row r="614" ht="13.2" customHeight="1" s="405">
      <c r="B614" s="117" t="n"/>
    </row>
    <row r="615" ht="13.2" customHeight="1" s="405">
      <c r="B615" s="117" t="n"/>
    </row>
    <row r="616" ht="13.2" customHeight="1" s="405">
      <c r="B616" s="117" t="n"/>
    </row>
    <row r="617" ht="13.2" customHeight="1" s="405">
      <c r="B617" s="117" t="n"/>
    </row>
    <row r="618" ht="13.2" customHeight="1" s="405">
      <c r="B618" s="117" t="n"/>
    </row>
    <row r="619" ht="13.2" customHeight="1" s="405">
      <c r="B619" s="117" t="n"/>
    </row>
    <row r="620" ht="13.2" customHeight="1" s="405">
      <c r="B620" s="117" t="n"/>
    </row>
    <row r="621" ht="13.2" customHeight="1" s="405">
      <c r="B621" s="117" t="n"/>
    </row>
    <row r="622" ht="13.2" customHeight="1" s="405">
      <c r="B622" s="117" t="n"/>
    </row>
    <row r="623" ht="13.2" customHeight="1" s="405">
      <c r="B623" s="117" t="n"/>
    </row>
    <row r="624" ht="13.2" customHeight="1" s="405">
      <c r="B624" s="117" t="n"/>
    </row>
    <row r="625" ht="13.2" customHeight="1" s="405">
      <c r="B625" s="117" t="n"/>
    </row>
    <row r="626" ht="13.2" customHeight="1" s="405">
      <c r="B626" s="117" t="n"/>
    </row>
    <row r="627" ht="13.2" customHeight="1" s="405">
      <c r="B627" s="117" t="n"/>
    </row>
    <row r="628" ht="13.2" customHeight="1" s="405">
      <c r="B628" s="117" t="n"/>
    </row>
    <row r="629" ht="13.2" customHeight="1" s="405">
      <c r="B629" s="117" t="n"/>
    </row>
    <row r="630" ht="13.2" customHeight="1" s="405">
      <c r="B630" s="117" t="n"/>
    </row>
    <row r="631" ht="13.2" customHeight="1" s="405">
      <c r="B631" s="117" t="n"/>
    </row>
    <row r="632" ht="13.2" customHeight="1" s="405">
      <c r="B632" s="117" t="n"/>
    </row>
    <row r="633" ht="13.2" customHeight="1" s="405">
      <c r="B633" s="117" t="n"/>
    </row>
    <row r="634" ht="13.2" customHeight="1" s="405">
      <c r="B634" s="117" t="n"/>
    </row>
    <row r="635" ht="13.2" customHeight="1" s="405">
      <c r="B635" s="117" t="n"/>
    </row>
    <row r="636" ht="13.2" customHeight="1" s="405">
      <c r="B636" s="117" t="n"/>
    </row>
    <row r="637" ht="13.2" customHeight="1" s="405">
      <c r="B637" s="117" t="n"/>
    </row>
    <row r="638" ht="13.2" customHeight="1" s="405">
      <c r="B638" s="117" t="n"/>
    </row>
    <row r="639" ht="13.2" customHeight="1" s="405">
      <c r="B639" s="117" t="n"/>
    </row>
    <row r="640" ht="13.2" customHeight="1" s="405">
      <c r="B640" s="117" t="n"/>
    </row>
    <row r="641" ht="13.2" customHeight="1" s="405">
      <c r="B641" s="117" t="n"/>
    </row>
    <row r="642" ht="13.2" customHeight="1" s="405">
      <c r="B642" s="117" t="n"/>
    </row>
    <row r="643" ht="13.2" customHeight="1" s="405">
      <c r="B643" s="117" t="n"/>
    </row>
    <row r="644" ht="13.2" customHeight="1" s="405">
      <c r="B644" s="117" t="n"/>
    </row>
    <row r="645" ht="13.2" customHeight="1" s="405">
      <c r="B645" s="117" t="n"/>
    </row>
    <row r="646" ht="13.2" customHeight="1" s="405">
      <c r="B646" s="117" t="n"/>
    </row>
    <row r="647" ht="13.2" customHeight="1" s="405">
      <c r="B647" s="117" t="n"/>
    </row>
    <row r="648" ht="13.2" customHeight="1" s="405">
      <c r="B648" s="117" t="n"/>
    </row>
    <row r="649" ht="13.2" customHeight="1" s="405">
      <c r="B649" s="117" t="n"/>
    </row>
    <row r="650" ht="13.2" customHeight="1" s="405">
      <c r="B650" s="117" t="n"/>
    </row>
    <row r="651" ht="13.2" customHeight="1" s="405">
      <c r="B651" s="117" t="n"/>
    </row>
    <row r="652" ht="13.2" customHeight="1" s="405">
      <c r="B652" s="117" t="n"/>
    </row>
    <row r="653" ht="13.2" customHeight="1" s="405">
      <c r="B653" s="117" t="n"/>
    </row>
    <row r="654" ht="13.2" customHeight="1" s="405">
      <c r="B654" s="117" t="n"/>
    </row>
    <row r="655" ht="13.2" customHeight="1" s="405">
      <c r="B655" s="117" t="n"/>
    </row>
    <row r="656" ht="13.2" customHeight="1" s="405">
      <c r="B656" s="117" t="n"/>
    </row>
    <row r="657" ht="13.2" customHeight="1" s="405">
      <c r="B657" s="117" t="n"/>
    </row>
    <row r="658" ht="13.2" customHeight="1" s="405">
      <c r="B658" s="117" t="n"/>
    </row>
    <row r="659" ht="13.2" customHeight="1" s="405">
      <c r="B659" s="117" t="n"/>
    </row>
    <row r="660" ht="13.2" customHeight="1" s="405">
      <c r="B660" s="117" t="n"/>
    </row>
    <row r="661" ht="13.2" customHeight="1" s="405">
      <c r="B661" s="117" t="n"/>
    </row>
    <row r="662" ht="13.2" customHeight="1" s="405">
      <c r="B662" s="117" t="n"/>
    </row>
    <row r="663" ht="13.2" customHeight="1" s="405">
      <c r="B663" s="117" t="n"/>
    </row>
    <row r="664" ht="13.2" customHeight="1" s="405">
      <c r="B664" s="117" t="n"/>
    </row>
    <row r="665" ht="13.2" customHeight="1" s="405">
      <c r="B665" s="117" t="n"/>
    </row>
    <row r="666" ht="13.2" customHeight="1" s="405">
      <c r="B666" s="117" t="n"/>
    </row>
    <row r="667" ht="13.2" customHeight="1" s="405">
      <c r="B667" s="117" t="n"/>
    </row>
    <row r="668" ht="13.2" customHeight="1" s="405">
      <c r="B668" s="117" t="n"/>
    </row>
    <row r="669" ht="13.2" customHeight="1" s="405">
      <c r="B669" s="117" t="n"/>
    </row>
    <row r="670" ht="13.2" customHeight="1" s="405">
      <c r="B670" s="117" t="n"/>
    </row>
    <row r="671" ht="13.2" customHeight="1" s="405">
      <c r="B671" s="117" t="n"/>
    </row>
    <row r="672" ht="13.2" customHeight="1" s="405">
      <c r="B672" s="117" t="n"/>
    </row>
    <row r="673" ht="13.2" customHeight="1" s="405">
      <c r="B673" s="117" t="n"/>
    </row>
    <row r="674" ht="13.2" customHeight="1" s="405">
      <c r="B674" s="117" t="n"/>
    </row>
    <row r="675" ht="13.2" customHeight="1" s="405">
      <c r="B675" s="117" t="n"/>
    </row>
    <row r="676" ht="13.2" customHeight="1" s="405">
      <c r="B676" s="117" t="n"/>
    </row>
    <row r="677" ht="13.2" customHeight="1" s="405">
      <c r="B677" s="117" t="n"/>
    </row>
    <row r="678" ht="13.2" customHeight="1" s="405">
      <c r="B678" s="117" t="n"/>
    </row>
    <row r="679" ht="13.2" customHeight="1" s="405">
      <c r="B679" s="117" t="n"/>
    </row>
    <row r="680" ht="13.2" customHeight="1" s="405">
      <c r="B680" s="117" t="n"/>
    </row>
    <row r="681" ht="13.2" customHeight="1" s="405">
      <c r="B681" s="117" t="n"/>
    </row>
    <row r="682" ht="13.2" customHeight="1" s="405">
      <c r="B682" s="117" t="n"/>
    </row>
    <row r="683" ht="13.2" customHeight="1" s="405">
      <c r="B683" s="117" t="n"/>
    </row>
    <row r="684" ht="13.2" customHeight="1" s="405">
      <c r="B684" s="117" t="n"/>
    </row>
    <row r="685" ht="13.2" customHeight="1" s="405">
      <c r="B685" s="117" t="n"/>
    </row>
    <row r="686" ht="13.2" customHeight="1" s="405">
      <c r="B686" s="117" t="n"/>
    </row>
    <row r="687" ht="13.2" customHeight="1" s="405">
      <c r="B687" s="117" t="n"/>
    </row>
    <row r="688" ht="13.2" customHeight="1" s="405">
      <c r="B688" s="117" t="n"/>
    </row>
    <row r="689" ht="13.2" customHeight="1" s="405">
      <c r="B689" s="117" t="n"/>
    </row>
    <row r="690" ht="13.2" customHeight="1" s="405">
      <c r="B690" s="117" t="n"/>
    </row>
    <row r="691" ht="13.2" customHeight="1" s="405">
      <c r="B691" s="117" t="n"/>
    </row>
    <row r="692" ht="13.2" customHeight="1" s="405">
      <c r="B692" s="117" t="n"/>
    </row>
    <row r="693" ht="13.2" customHeight="1" s="405">
      <c r="B693" s="117" t="n"/>
    </row>
    <row r="694" ht="13.2" customHeight="1" s="405">
      <c r="B694" s="117" t="n"/>
    </row>
    <row r="695" ht="13.2" customHeight="1" s="405">
      <c r="B695" s="117" t="n"/>
    </row>
    <row r="696" ht="13.2" customHeight="1" s="405">
      <c r="B696" s="117" t="n"/>
    </row>
    <row r="697" ht="13.2" customHeight="1" s="405">
      <c r="B697" s="117" t="n"/>
    </row>
    <row r="698" ht="13.2" customHeight="1" s="405">
      <c r="B698" s="117" t="n"/>
    </row>
    <row r="699" ht="13.2" customHeight="1" s="405">
      <c r="B699" s="117" t="n"/>
    </row>
    <row r="700" ht="13.2" customHeight="1" s="405">
      <c r="B700" s="117" t="n"/>
    </row>
    <row r="701" ht="13.2" customHeight="1" s="405">
      <c r="B701" s="117" t="n"/>
    </row>
    <row r="702" ht="13.2" customHeight="1" s="405">
      <c r="B702" s="117" t="n"/>
    </row>
    <row r="703" ht="13.2" customHeight="1" s="405">
      <c r="B703" s="117" t="n"/>
    </row>
    <row r="704" ht="13.2" customHeight="1" s="405">
      <c r="B704" s="117" t="n"/>
    </row>
    <row r="705" ht="13.2" customHeight="1" s="405">
      <c r="B705" s="117" t="n"/>
    </row>
    <row r="706" ht="13.2" customHeight="1" s="405">
      <c r="B706" s="117" t="n"/>
    </row>
    <row r="707" ht="13.2" customHeight="1" s="405">
      <c r="B707" s="117" t="n"/>
    </row>
    <row r="708" ht="13.2" customHeight="1" s="405">
      <c r="B708" s="117" t="n"/>
    </row>
    <row r="709" ht="13.2" customHeight="1" s="405">
      <c r="B709" s="117" t="n"/>
    </row>
    <row r="710" ht="13.2" customHeight="1" s="405">
      <c r="B710" s="117" t="n"/>
    </row>
    <row r="711" ht="13.2" customHeight="1" s="405">
      <c r="B711" s="117" t="n"/>
    </row>
    <row r="712" ht="13.2" customHeight="1" s="405">
      <c r="B712" s="117" t="n"/>
    </row>
    <row r="713" ht="13.2" customHeight="1" s="405">
      <c r="B713" s="117" t="n"/>
    </row>
    <row r="714" ht="13.2" customHeight="1" s="405">
      <c r="B714" s="117" t="n"/>
    </row>
    <row r="715" ht="13.2" customHeight="1" s="405">
      <c r="B715" s="117" t="n"/>
    </row>
    <row r="716" ht="13.2" customHeight="1" s="405">
      <c r="B716" s="117" t="n"/>
    </row>
    <row r="717" ht="13.2" customHeight="1" s="405">
      <c r="B717" s="117" t="n"/>
    </row>
    <row r="718" ht="13.2" customHeight="1" s="405">
      <c r="B718" s="117" t="n"/>
    </row>
    <row r="719" ht="13.2" customHeight="1" s="405">
      <c r="B719" s="117" t="n"/>
    </row>
    <row r="720" ht="13.2" customHeight="1" s="405">
      <c r="B720" s="117" t="n"/>
    </row>
    <row r="721" ht="13.2" customHeight="1" s="405">
      <c r="B721" s="117" t="n"/>
    </row>
    <row r="722" ht="13.2" customHeight="1" s="405">
      <c r="B722" s="117" t="n"/>
    </row>
    <row r="723" ht="13.2" customHeight="1" s="405">
      <c r="B723" s="117" t="n"/>
    </row>
    <row r="724" ht="13.2" customHeight="1" s="405">
      <c r="B724" s="117" t="n"/>
    </row>
    <row r="725" ht="13.2" customHeight="1" s="405">
      <c r="B725" s="117" t="n"/>
    </row>
    <row r="726" ht="13.2" customHeight="1" s="405">
      <c r="B726" s="117" t="n"/>
    </row>
    <row r="727" ht="13.2" customHeight="1" s="405">
      <c r="B727" s="117" t="n"/>
    </row>
    <row r="728" ht="13.2" customHeight="1" s="405">
      <c r="B728" s="117" t="n"/>
    </row>
    <row r="729" ht="13.2" customHeight="1" s="405">
      <c r="B729" s="117" t="n"/>
    </row>
    <row r="730" ht="13.2" customHeight="1" s="405">
      <c r="B730" s="117" t="n"/>
    </row>
    <row r="731" ht="13.2" customHeight="1" s="405">
      <c r="B731" s="117" t="n"/>
    </row>
    <row r="732" ht="13.2" customHeight="1" s="405">
      <c r="B732" s="117" t="n"/>
    </row>
    <row r="733" ht="13.2" customHeight="1" s="405">
      <c r="B733" s="117" t="n"/>
    </row>
    <row r="734" ht="13.2" customHeight="1" s="405">
      <c r="B734" s="117" t="n"/>
    </row>
    <row r="735" ht="13.2" customHeight="1" s="405">
      <c r="B735" s="117" t="n"/>
    </row>
    <row r="736" ht="13.2" customHeight="1" s="405">
      <c r="B736" s="117" t="n"/>
    </row>
    <row r="737" ht="13.2" customHeight="1" s="405">
      <c r="B737" s="117" t="n"/>
    </row>
    <row r="738" ht="13.2" customHeight="1" s="405">
      <c r="B738" s="117" t="n"/>
    </row>
    <row r="739" ht="13.2" customHeight="1" s="405">
      <c r="B739" s="117" t="n"/>
    </row>
    <row r="740" ht="13.2" customHeight="1" s="405">
      <c r="B740" s="117" t="n"/>
    </row>
    <row r="741" ht="13.2" customHeight="1" s="405">
      <c r="B741" s="117" t="n"/>
    </row>
    <row r="742" ht="13.2" customHeight="1" s="405">
      <c r="B742" s="117" t="n"/>
    </row>
    <row r="743" ht="13.2" customHeight="1" s="405">
      <c r="B743" s="117" t="n"/>
    </row>
    <row r="744" ht="13.2" customHeight="1" s="405">
      <c r="B744" s="117" t="n"/>
    </row>
    <row r="745" ht="13.2" customHeight="1" s="405">
      <c r="B745" s="117" t="n"/>
    </row>
    <row r="746" ht="13.2" customHeight="1" s="405">
      <c r="B746" s="117" t="n"/>
    </row>
    <row r="747" ht="13.2" customHeight="1" s="405">
      <c r="B747" s="117" t="n"/>
    </row>
    <row r="748" ht="13.2" customHeight="1" s="405">
      <c r="B748" s="117" t="n"/>
    </row>
    <row r="749" ht="13.2" customHeight="1" s="405">
      <c r="B749" s="117" t="n"/>
    </row>
    <row r="750" ht="13.2" customHeight="1" s="405">
      <c r="B750" s="117" t="n"/>
    </row>
    <row r="751" ht="13.2" customHeight="1" s="405">
      <c r="B751" s="117" t="n"/>
    </row>
    <row r="752" ht="13.2" customHeight="1" s="405">
      <c r="B752" s="117" t="n"/>
    </row>
    <row r="753" ht="13.2" customHeight="1" s="405">
      <c r="B753" s="117" t="n"/>
    </row>
    <row r="754" ht="13.2" customHeight="1" s="405">
      <c r="B754" s="117" t="n"/>
    </row>
    <row r="755" ht="13.2" customHeight="1" s="405">
      <c r="B755" s="117" t="n"/>
    </row>
    <row r="756" ht="13.2" customHeight="1" s="405">
      <c r="B756" s="117" t="n"/>
    </row>
    <row r="757" ht="13.2" customHeight="1" s="405">
      <c r="B757" s="117" t="n"/>
    </row>
    <row r="758" ht="13.2" customHeight="1" s="405">
      <c r="B758" s="117" t="n"/>
    </row>
    <row r="759" ht="13.2" customHeight="1" s="405">
      <c r="B759" s="117" t="n"/>
    </row>
    <row r="760" ht="13.2" customHeight="1" s="405">
      <c r="B760" s="117" t="n"/>
    </row>
    <row r="761" ht="13.2" customHeight="1" s="405">
      <c r="B761" s="117" t="n"/>
    </row>
    <row r="762" ht="13.2" customHeight="1" s="405">
      <c r="B762" s="117" t="n"/>
    </row>
    <row r="763" ht="13.2" customHeight="1" s="405">
      <c r="B763" s="117" t="n"/>
    </row>
    <row r="764" ht="13.2" customHeight="1" s="405">
      <c r="B764" s="117" t="n"/>
    </row>
    <row r="765" ht="13.2" customHeight="1" s="405">
      <c r="B765" s="117" t="n"/>
    </row>
    <row r="766" ht="13.2" customHeight="1" s="405">
      <c r="B766" s="117" t="n"/>
    </row>
    <row r="767" ht="13.2" customHeight="1" s="405">
      <c r="B767" s="117" t="n"/>
    </row>
    <row r="768" ht="13.2" customHeight="1" s="405">
      <c r="B768" s="117" t="n"/>
    </row>
    <row r="769" ht="13.2" customHeight="1" s="405">
      <c r="B769" s="117" t="n"/>
    </row>
    <row r="770" ht="13.2" customHeight="1" s="405">
      <c r="B770" s="117" t="n"/>
    </row>
    <row r="771" ht="13.2" customHeight="1" s="405">
      <c r="B771" s="117" t="n"/>
    </row>
    <row r="772" ht="13.2" customHeight="1" s="405">
      <c r="B772" s="117" t="n"/>
    </row>
    <row r="773" ht="13.2" customHeight="1" s="405">
      <c r="B773" s="117" t="n"/>
    </row>
    <row r="774" ht="13.2" customHeight="1" s="405">
      <c r="B774" s="117" t="n"/>
    </row>
    <row r="775" ht="13.2" customHeight="1" s="405">
      <c r="B775" s="117" t="n"/>
    </row>
    <row r="776" ht="13.2" customHeight="1" s="405">
      <c r="B776" s="117" t="n"/>
    </row>
    <row r="777" ht="13.2" customHeight="1" s="405">
      <c r="B777" s="117" t="n"/>
    </row>
    <row r="778" ht="13.2" customHeight="1" s="405">
      <c r="B778" s="117" t="n"/>
    </row>
    <row r="779" ht="13.2" customHeight="1" s="405">
      <c r="B779" s="117" t="n"/>
    </row>
    <row r="780" ht="13.2" customHeight="1" s="405">
      <c r="B780" s="117" t="n"/>
    </row>
    <row r="781" ht="13.2" customHeight="1" s="405">
      <c r="B781" s="117" t="n"/>
    </row>
    <row r="782" ht="13.2" customHeight="1" s="405">
      <c r="B782" s="117" t="n"/>
    </row>
    <row r="783" ht="13.2" customHeight="1" s="405">
      <c r="B783" s="117" t="n"/>
    </row>
    <row r="784" ht="13.2" customHeight="1" s="405">
      <c r="B784" s="117" t="n"/>
    </row>
    <row r="785" ht="13.2" customHeight="1" s="405">
      <c r="B785" s="117" t="n"/>
    </row>
    <row r="786" ht="13.2" customHeight="1" s="405">
      <c r="B786" s="117" t="n"/>
    </row>
    <row r="787" ht="13.2" customHeight="1" s="405">
      <c r="B787" s="117" t="n"/>
    </row>
    <row r="788" ht="13.2" customHeight="1" s="405">
      <c r="B788" s="117" t="n"/>
    </row>
    <row r="789" ht="13.2" customHeight="1" s="405">
      <c r="B789" s="117" t="n"/>
    </row>
    <row r="790" ht="13.2" customHeight="1" s="405">
      <c r="B790" s="117" t="n"/>
    </row>
    <row r="791" ht="13.2" customHeight="1" s="405">
      <c r="B791" s="117" t="n"/>
    </row>
    <row r="792" ht="13.2" customHeight="1" s="405">
      <c r="B792" s="117" t="n"/>
    </row>
    <row r="793" ht="13.2" customHeight="1" s="405">
      <c r="B793" s="117" t="n"/>
    </row>
    <row r="794" ht="13.2" customHeight="1" s="405">
      <c r="B794" s="117" t="n"/>
    </row>
    <row r="795" ht="13.2" customHeight="1" s="405">
      <c r="B795" s="117" t="n"/>
    </row>
    <row r="796" ht="13.2" customHeight="1" s="405">
      <c r="B796" s="117" t="n"/>
    </row>
    <row r="797" ht="13.2" customHeight="1" s="405">
      <c r="B797" s="117" t="n"/>
    </row>
    <row r="798" ht="13.2" customHeight="1" s="405">
      <c r="B798" s="117" t="n"/>
    </row>
    <row r="799" ht="13.2" customHeight="1" s="405">
      <c r="B799" s="117" t="n"/>
    </row>
    <row r="800" ht="13.2" customHeight="1" s="405">
      <c r="B800" s="117" t="n"/>
    </row>
    <row r="801" ht="13.2" customHeight="1" s="405">
      <c r="B801" s="117" t="n"/>
    </row>
    <row r="802" ht="13.2" customHeight="1" s="405">
      <c r="B802" s="117" t="n"/>
    </row>
    <row r="803" ht="13.2" customHeight="1" s="405">
      <c r="B803" s="117" t="n"/>
    </row>
    <row r="804" ht="13.2" customHeight="1" s="405">
      <c r="B804" s="117" t="n"/>
    </row>
    <row r="805" ht="13.2" customHeight="1" s="405">
      <c r="B805" s="117" t="n"/>
    </row>
    <row r="806" ht="13.2" customHeight="1" s="405">
      <c r="B806" s="117" t="n"/>
    </row>
    <row r="807" ht="13.2" customHeight="1" s="405">
      <c r="B807" s="117" t="n"/>
    </row>
    <row r="808" ht="13.2" customHeight="1" s="405">
      <c r="B808" s="117" t="n"/>
    </row>
    <row r="809" ht="13.2" customHeight="1" s="405">
      <c r="B809" s="117" t="n"/>
    </row>
    <row r="810" ht="13.2" customHeight="1" s="405">
      <c r="B810" s="117" t="n"/>
    </row>
    <row r="811" ht="13.2" customHeight="1" s="405">
      <c r="B811" s="117" t="n"/>
    </row>
    <row r="812" ht="13.2" customHeight="1" s="405">
      <c r="B812" s="117" t="n"/>
    </row>
    <row r="813" ht="13.2" customHeight="1" s="405">
      <c r="B813" s="117" t="n"/>
    </row>
    <row r="814" ht="13.2" customHeight="1" s="405">
      <c r="B814" s="117" t="n"/>
    </row>
    <row r="815" ht="13.2" customHeight="1" s="405">
      <c r="B815" s="117" t="n"/>
    </row>
    <row r="816" ht="13.2" customHeight="1" s="405">
      <c r="B816" s="117" t="n"/>
    </row>
    <row r="817" ht="13.2" customHeight="1" s="405">
      <c r="B817" s="117" t="n"/>
    </row>
    <row r="818" ht="13.2" customHeight="1" s="405">
      <c r="B818" s="117" t="n"/>
    </row>
    <row r="819" ht="13.2" customHeight="1" s="405">
      <c r="B819" s="117" t="n"/>
    </row>
    <row r="820" ht="13.2" customHeight="1" s="405">
      <c r="B820" s="117" t="n"/>
    </row>
    <row r="821" ht="13.2" customHeight="1" s="405">
      <c r="B821" s="117" t="n"/>
    </row>
    <row r="822" ht="13.2" customHeight="1" s="405">
      <c r="B822" s="117" t="n"/>
    </row>
    <row r="823" ht="13.2" customHeight="1" s="405">
      <c r="B823" s="117" t="n"/>
    </row>
    <row r="824" ht="13.2" customHeight="1" s="405">
      <c r="B824" s="117" t="n"/>
    </row>
    <row r="825" ht="13.2" customHeight="1" s="405">
      <c r="B825" s="117" t="n"/>
    </row>
    <row r="826" ht="13.2" customHeight="1" s="405">
      <c r="B826" s="117" t="n"/>
    </row>
    <row r="827" ht="13.2" customHeight="1" s="405">
      <c r="B827" s="117" t="n"/>
    </row>
    <row r="828" ht="13.2" customHeight="1" s="405">
      <c r="B828" s="117" t="n"/>
    </row>
    <row r="829" ht="13.2" customHeight="1" s="405">
      <c r="B829" s="117" t="n"/>
    </row>
    <row r="830" ht="13.2" customHeight="1" s="405">
      <c r="B830" s="117" t="n"/>
    </row>
    <row r="831" ht="13.2" customHeight="1" s="405">
      <c r="B831" s="117" t="n"/>
    </row>
    <row r="832" ht="13.2" customHeight="1" s="405">
      <c r="B832" s="117" t="n"/>
    </row>
    <row r="833" ht="13.2" customHeight="1" s="405">
      <c r="B833" s="117" t="n"/>
    </row>
    <row r="834" ht="13.2" customHeight="1" s="405">
      <c r="B834" s="117" t="n"/>
    </row>
    <row r="835" ht="13.2" customHeight="1" s="405">
      <c r="B835" s="117" t="n"/>
    </row>
    <row r="836" ht="13.2" customHeight="1" s="405">
      <c r="B836" s="117" t="n"/>
    </row>
    <row r="837" ht="13.2" customHeight="1" s="405">
      <c r="B837" s="117" t="n"/>
    </row>
    <row r="838" ht="13.2" customHeight="1" s="405">
      <c r="B838" s="117" t="n"/>
    </row>
    <row r="839" ht="13.2" customHeight="1" s="405">
      <c r="B839" s="117" t="n"/>
    </row>
    <row r="840" ht="13.2" customHeight="1" s="405">
      <c r="B840" s="117" t="n"/>
    </row>
    <row r="841" ht="13.2" customHeight="1" s="405">
      <c r="B841" s="117" t="n"/>
    </row>
    <row r="842" ht="13.2" customHeight="1" s="405">
      <c r="B842" s="117" t="n"/>
    </row>
    <row r="843" ht="13.2" customHeight="1" s="405">
      <c r="B843" s="117" t="n"/>
    </row>
    <row r="844" ht="13.2" customHeight="1" s="405">
      <c r="B844" s="117" t="n"/>
    </row>
    <row r="845" ht="13.2" customHeight="1" s="405">
      <c r="B845" s="117" t="n"/>
    </row>
    <row r="846" ht="13.2" customHeight="1" s="405">
      <c r="B846" s="117" t="n"/>
    </row>
    <row r="847" ht="13.2" customHeight="1" s="405">
      <c r="B847" s="117" t="n"/>
    </row>
    <row r="848" ht="13.2" customHeight="1" s="405">
      <c r="B848" s="117" t="n"/>
    </row>
    <row r="849" ht="13.2" customHeight="1" s="405">
      <c r="B849" s="117" t="n"/>
    </row>
    <row r="850" ht="13.2" customHeight="1" s="405">
      <c r="B850" s="117" t="n"/>
    </row>
    <row r="851" ht="13.2" customHeight="1" s="405">
      <c r="B851" s="117" t="n"/>
    </row>
    <row r="852" ht="13.2" customHeight="1" s="405">
      <c r="B852" s="117" t="n"/>
    </row>
    <row r="853" ht="13.2" customHeight="1" s="405">
      <c r="B853" s="117" t="n"/>
    </row>
    <row r="854" ht="13.2" customHeight="1" s="405">
      <c r="B854" s="117" t="n"/>
    </row>
    <row r="855" ht="13.2" customHeight="1" s="405">
      <c r="B855" s="117" t="n"/>
    </row>
    <row r="856" ht="13.2" customHeight="1" s="405">
      <c r="B856" s="117" t="n"/>
    </row>
    <row r="857" ht="13.2" customHeight="1" s="405">
      <c r="B857" s="117" t="n"/>
    </row>
    <row r="858" ht="13.2" customHeight="1" s="405">
      <c r="B858" s="117" t="n"/>
    </row>
    <row r="859" ht="13.2" customHeight="1" s="405">
      <c r="B859" s="117" t="n"/>
    </row>
    <row r="860" ht="13.2" customHeight="1" s="405">
      <c r="B860" s="117" t="n"/>
    </row>
    <row r="861" ht="13.2" customHeight="1" s="405">
      <c r="B861" s="117" t="n"/>
    </row>
    <row r="862" ht="13.2" customHeight="1" s="405">
      <c r="B862" s="117" t="n"/>
    </row>
    <row r="863" ht="13.2" customHeight="1" s="405">
      <c r="B863" s="117" t="n"/>
    </row>
    <row r="864" ht="13.2" customHeight="1" s="405">
      <c r="B864" s="117" t="n"/>
    </row>
    <row r="865" ht="13.2" customHeight="1" s="405">
      <c r="B865" s="117" t="n"/>
    </row>
    <row r="866" ht="13.2" customHeight="1" s="405">
      <c r="B866" s="117" t="n"/>
    </row>
    <row r="867" ht="13.2" customHeight="1" s="405">
      <c r="B867" s="117" t="n"/>
    </row>
    <row r="868" ht="13.2" customHeight="1" s="405">
      <c r="B868" s="117" t="n"/>
    </row>
    <row r="869" ht="13.2" customHeight="1" s="405">
      <c r="B869" s="117" t="n"/>
    </row>
    <row r="870" ht="13.2" customHeight="1" s="405">
      <c r="B870" s="117" t="n"/>
    </row>
    <row r="871" ht="13.2" customHeight="1" s="405">
      <c r="B871" s="117" t="n"/>
    </row>
    <row r="872" ht="13.2" customHeight="1" s="405">
      <c r="B872" s="117" t="n"/>
    </row>
    <row r="873" ht="13.2" customHeight="1" s="405">
      <c r="B873" s="117" t="n"/>
    </row>
    <row r="874" ht="13.2" customHeight="1" s="405">
      <c r="B874" s="117" t="n"/>
    </row>
    <row r="875" ht="13.2" customHeight="1" s="405">
      <c r="B875" s="117" t="n"/>
    </row>
    <row r="876" ht="13.2" customHeight="1" s="405">
      <c r="B876" s="117" t="n"/>
    </row>
    <row r="877" ht="13.2" customHeight="1" s="405">
      <c r="B877" s="117" t="n"/>
    </row>
    <row r="878" ht="13.2" customHeight="1" s="405">
      <c r="B878" s="117" t="n"/>
    </row>
    <row r="879" ht="13.2" customHeight="1" s="405">
      <c r="B879" s="117" t="n"/>
    </row>
    <row r="880" ht="13.2" customHeight="1" s="405">
      <c r="B880" s="117" t="n"/>
    </row>
    <row r="881" ht="13.2" customHeight="1" s="405">
      <c r="B881" s="117" t="n"/>
    </row>
    <row r="882" ht="13.2" customHeight="1" s="405">
      <c r="B882" s="117" t="n"/>
    </row>
    <row r="883" ht="13.2" customHeight="1" s="405">
      <c r="B883" s="117" t="n"/>
    </row>
    <row r="884" ht="13.2" customHeight="1" s="405">
      <c r="B884" s="117" t="n"/>
    </row>
    <row r="885" ht="13.2" customHeight="1" s="405">
      <c r="B885" s="117" t="n"/>
    </row>
    <row r="886" ht="13.2" customHeight="1" s="405">
      <c r="B886" s="117" t="n"/>
    </row>
    <row r="887" ht="13.2" customHeight="1" s="405">
      <c r="B887" s="117" t="n"/>
    </row>
    <row r="888" ht="13.2" customHeight="1" s="405">
      <c r="B888" s="117" t="n"/>
    </row>
    <row r="889" ht="13.2" customHeight="1" s="405">
      <c r="B889" s="117" t="n"/>
    </row>
    <row r="890" ht="13.2" customHeight="1" s="405">
      <c r="B890" s="117" t="n"/>
    </row>
    <row r="891" ht="13.2" customHeight="1" s="405">
      <c r="B891" s="117" t="n"/>
    </row>
    <row r="892" ht="13.2" customHeight="1" s="405">
      <c r="B892" s="117" t="n"/>
    </row>
    <row r="893" ht="13.2" customHeight="1" s="405">
      <c r="B893" s="117" t="n"/>
    </row>
    <row r="894" ht="13.2" customHeight="1" s="405">
      <c r="B894" s="117" t="n"/>
    </row>
    <row r="895" ht="13.2" customHeight="1" s="405">
      <c r="B895" s="117" t="n"/>
    </row>
    <row r="896" ht="13.2" customHeight="1" s="405">
      <c r="B896" s="117" t="n"/>
    </row>
    <row r="897" ht="13.2" customHeight="1" s="405">
      <c r="B897" s="117" t="n"/>
    </row>
    <row r="898" ht="13.2" customHeight="1" s="405">
      <c r="B898" s="117" t="n"/>
    </row>
    <row r="899" ht="13.2" customHeight="1" s="405">
      <c r="B899" s="117" t="n"/>
    </row>
    <row r="900" ht="13.2" customHeight="1" s="405">
      <c r="B900" s="117" t="n"/>
    </row>
    <row r="901" ht="13.2" customHeight="1" s="405">
      <c r="B901" s="117" t="n"/>
    </row>
    <row r="902" ht="13.2" customHeight="1" s="405">
      <c r="B902" s="117" t="n"/>
    </row>
    <row r="903" ht="13.2" customHeight="1" s="405">
      <c r="B903" s="117" t="n"/>
    </row>
    <row r="904" ht="13.2" customHeight="1" s="405">
      <c r="B904" s="117" t="n"/>
    </row>
    <row r="905" ht="13.2" customHeight="1" s="405">
      <c r="B905" s="117" t="n"/>
    </row>
    <row r="906" ht="13.2" customHeight="1" s="405">
      <c r="B906" s="117" t="n"/>
    </row>
    <row r="907" ht="13.2" customHeight="1" s="405">
      <c r="B907" s="117" t="n"/>
    </row>
    <row r="908" ht="13.2" customHeight="1" s="405">
      <c r="B908" s="117" t="n"/>
    </row>
    <row r="909" ht="13.2" customHeight="1" s="405">
      <c r="B909" s="117" t="n"/>
    </row>
    <row r="910" ht="13.2" customHeight="1" s="405">
      <c r="B910" s="117" t="n"/>
    </row>
    <row r="911" ht="13.2" customHeight="1" s="405">
      <c r="B911" s="117" t="n"/>
    </row>
    <row r="912" ht="13.2" customHeight="1" s="405">
      <c r="B912" s="117" t="n"/>
    </row>
    <row r="913" ht="13.2" customHeight="1" s="405">
      <c r="B913" s="117" t="n"/>
    </row>
    <row r="914" ht="13.2" customHeight="1" s="405">
      <c r="B914" s="117" t="n"/>
    </row>
    <row r="915" ht="13.2" customHeight="1" s="405">
      <c r="B915" s="117" t="n"/>
    </row>
    <row r="916" ht="13.2" customHeight="1" s="405">
      <c r="B916" s="117" t="n"/>
    </row>
    <row r="917" ht="13.2" customHeight="1" s="405">
      <c r="B917" s="117" t="n"/>
    </row>
    <row r="918" ht="13.2" customHeight="1" s="405">
      <c r="B918" s="117" t="n"/>
    </row>
    <row r="919" ht="13.2" customHeight="1" s="405">
      <c r="B919" s="117" t="n"/>
    </row>
    <row r="920" ht="13.2" customHeight="1" s="405">
      <c r="B920" s="117" t="n"/>
    </row>
    <row r="921" ht="13.2" customHeight="1" s="405">
      <c r="B921" s="117" t="n"/>
    </row>
    <row r="922" ht="13.2" customHeight="1" s="405">
      <c r="B922" s="117" t="n"/>
    </row>
    <row r="923" ht="13.2" customHeight="1" s="405">
      <c r="B923" s="117" t="n"/>
    </row>
    <row r="924" ht="13.2" customHeight="1" s="405">
      <c r="B924" s="117" t="n"/>
    </row>
    <row r="925" ht="13.2" customHeight="1" s="405">
      <c r="B925" s="117" t="n"/>
    </row>
    <row r="926" ht="13.2" customHeight="1" s="405">
      <c r="B926" s="117" t="n"/>
    </row>
    <row r="927" ht="13.2" customHeight="1" s="405">
      <c r="B927" s="117" t="n"/>
    </row>
    <row r="928" ht="13.2" customHeight="1" s="405">
      <c r="B928" s="117" t="n"/>
    </row>
    <row r="929" ht="13.2" customHeight="1" s="405">
      <c r="B929" s="117" t="n"/>
    </row>
    <row r="930" ht="13.2" customHeight="1" s="405">
      <c r="B930" s="117" t="n"/>
    </row>
    <row r="931" ht="13.2" customHeight="1" s="405">
      <c r="B931" s="117" t="n"/>
    </row>
    <row r="932" ht="13.2" customHeight="1" s="405">
      <c r="B932" s="117" t="n"/>
    </row>
    <row r="933" ht="13.2" customHeight="1" s="405">
      <c r="B933" s="117" t="n"/>
    </row>
    <row r="934" ht="13.2" customHeight="1" s="405">
      <c r="B934" s="117" t="n"/>
    </row>
    <row r="935" ht="13.2" customHeight="1" s="405">
      <c r="B935" s="117" t="n"/>
    </row>
    <row r="936" ht="13.2" customHeight="1" s="405">
      <c r="B936" s="117" t="n"/>
    </row>
    <row r="937" ht="13.2" customHeight="1" s="405">
      <c r="B937" s="117" t="n"/>
    </row>
    <row r="938" ht="13.2" customHeight="1" s="405">
      <c r="B938" s="117" t="n"/>
    </row>
    <row r="939" ht="13.2" customHeight="1" s="405">
      <c r="B939" s="117" t="n"/>
    </row>
    <row r="940" ht="13.2" customHeight="1" s="405">
      <c r="B940" s="117" t="n"/>
    </row>
    <row r="941" ht="13.2" customHeight="1" s="405">
      <c r="B941" s="117" t="n"/>
    </row>
    <row r="942" ht="13.2" customHeight="1" s="405">
      <c r="B942" s="117" t="n"/>
    </row>
    <row r="943" ht="13.2" customHeight="1" s="405">
      <c r="B943" s="117" t="n"/>
    </row>
    <row r="944" ht="13.2" customHeight="1" s="405">
      <c r="B944" s="117" t="n"/>
    </row>
    <row r="945" ht="13.2" customHeight="1" s="405">
      <c r="B945" s="117" t="n"/>
    </row>
    <row r="946" ht="13.2" customHeight="1" s="405">
      <c r="B946" s="117" t="n"/>
    </row>
    <row r="947" ht="13.2" customHeight="1" s="405">
      <c r="B947" s="117" t="n"/>
    </row>
    <row r="948" ht="13.2" customHeight="1" s="405">
      <c r="B948" s="117" t="n"/>
    </row>
    <row r="949" ht="13.2" customHeight="1" s="405">
      <c r="B949" s="117" t="n"/>
    </row>
    <row r="950" ht="13.2" customHeight="1" s="405">
      <c r="B950" s="117" t="n"/>
    </row>
    <row r="951" ht="13.2" customHeight="1" s="405">
      <c r="B951" s="117" t="n"/>
    </row>
    <row r="952" ht="13.2" customHeight="1" s="405">
      <c r="B952" s="117" t="n"/>
    </row>
    <row r="953" ht="13.2" customHeight="1" s="405">
      <c r="B953" s="117" t="n"/>
    </row>
    <row r="954" ht="13.2" customHeight="1" s="405">
      <c r="B954" s="117" t="n"/>
    </row>
    <row r="955" ht="13.2" customHeight="1" s="405">
      <c r="B955" s="117" t="n"/>
    </row>
    <row r="956" ht="13.2" customHeight="1" s="405">
      <c r="B956" s="117" t="n"/>
    </row>
    <row r="957" ht="13.2" customHeight="1" s="405">
      <c r="B957" s="117" t="n"/>
    </row>
    <row r="958" ht="13.2" customHeight="1" s="405">
      <c r="B958" s="117" t="n"/>
    </row>
    <row r="959" ht="13.2" customHeight="1" s="405">
      <c r="B959" s="117" t="n"/>
    </row>
    <row r="960" ht="13.2" customHeight="1" s="405">
      <c r="B960" s="117" t="n"/>
    </row>
    <row r="961" ht="13.2" customHeight="1" s="405">
      <c r="B961" s="117" t="n"/>
    </row>
    <row r="962" ht="13.2" customHeight="1" s="405">
      <c r="B962" s="117" t="n"/>
    </row>
    <row r="963" ht="13.2" customHeight="1" s="405">
      <c r="B963" s="117" t="n"/>
    </row>
    <row r="964" ht="13.2" customHeight="1" s="405">
      <c r="B964" s="117" t="n"/>
    </row>
    <row r="965" ht="13.2" customHeight="1" s="405">
      <c r="B965" s="117" t="n"/>
    </row>
    <row r="966" ht="13.2" customHeight="1" s="405">
      <c r="B966" s="117" t="n"/>
    </row>
    <row r="967" ht="13.2" customHeight="1" s="405">
      <c r="B967" s="117" t="n"/>
    </row>
    <row r="968" ht="13.2" customHeight="1" s="405">
      <c r="B968" s="117" t="n"/>
    </row>
    <row r="969" ht="13.2" customHeight="1" s="405">
      <c r="B969" s="117" t="n"/>
    </row>
    <row r="970" ht="13.2" customHeight="1" s="405">
      <c r="B970" s="117" t="n"/>
    </row>
    <row r="971" ht="13.2" customHeight="1" s="405">
      <c r="B971" s="117" t="n"/>
    </row>
    <row r="972" ht="13.2" customHeight="1" s="405">
      <c r="B972" s="117" t="n"/>
    </row>
    <row r="973" ht="13.2" customHeight="1" s="405">
      <c r="B973" s="117" t="n"/>
    </row>
    <row r="974" ht="13.2" customHeight="1" s="405">
      <c r="B974" s="117" t="n"/>
    </row>
    <row r="975" ht="13.2" customHeight="1" s="405">
      <c r="B975" s="117" t="n"/>
    </row>
    <row r="976" ht="13.2" customHeight="1" s="405">
      <c r="B976" s="117" t="n"/>
    </row>
    <row r="977" ht="13.2" customHeight="1" s="405">
      <c r="B977" s="117" t="n"/>
    </row>
    <row r="978" ht="13.2" customHeight="1" s="405">
      <c r="B978" s="117" t="n"/>
    </row>
    <row r="979" ht="13.2" customHeight="1" s="405">
      <c r="B979" s="117" t="n"/>
    </row>
    <row r="980" ht="13.2" customHeight="1" s="405">
      <c r="B980" s="117" t="n"/>
    </row>
    <row r="981" ht="13.2" customHeight="1" s="405">
      <c r="B981" s="117" t="n"/>
    </row>
    <row r="982" ht="13.2" customHeight="1" s="405">
      <c r="B982" s="117" t="n"/>
    </row>
    <row r="983" ht="13.2" customHeight="1" s="405">
      <c r="B983" s="117" t="n"/>
    </row>
    <row r="984" ht="13.2" customHeight="1" s="405">
      <c r="B984" s="117" t="n"/>
    </row>
    <row r="985" ht="13.2" customHeight="1" s="405">
      <c r="B985" s="117" t="n"/>
    </row>
    <row r="986" ht="13.2" customHeight="1" s="405">
      <c r="B986" s="117" t="n"/>
    </row>
    <row r="987" ht="13.2" customHeight="1" s="405">
      <c r="B987" s="117" t="n"/>
    </row>
    <row r="988" ht="13.2" customHeight="1" s="405">
      <c r="B988" s="117" t="n"/>
    </row>
    <row r="989" ht="13.2" customHeight="1" s="405">
      <c r="B989" s="117" t="n"/>
    </row>
    <row r="990" ht="13.2" customHeight="1" s="405">
      <c r="B990" s="117" t="n"/>
    </row>
    <row r="991" ht="13.2" customHeight="1" s="405">
      <c r="B991" s="117" t="n"/>
    </row>
    <row r="992" ht="13.2" customHeight="1" s="405">
      <c r="B992" s="117" t="n"/>
    </row>
    <row r="993" ht="13.2" customHeight="1" s="405">
      <c r="B993" s="117" t="n"/>
    </row>
    <row r="994" ht="13.2" customHeight="1" s="405">
      <c r="B994" s="117" t="n"/>
    </row>
    <row r="995" ht="13.2" customHeight="1" s="405">
      <c r="B995" s="117" t="n"/>
    </row>
    <row r="996" ht="13.2" customHeight="1" s="405">
      <c r="B996" s="117" t="n"/>
    </row>
    <row r="997" ht="13.2" customHeight="1" s="405">
      <c r="B997" s="117" t="n"/>
    </row>
    <row r="998" ht="13.2" customHeight="1" s="405">
      <c r="B998" s="117" t="n"/>
    </row>
    <row r="999" ht="13.2" customHeight="1" s="405">
      <c r="B999" s="117" t="n"/>
    </row>
  </sheetData>
  <mergeCells count="3">
    <mergeCell ref="A1:D1"/>
    <mergeCell ref="A2:A3"/>
    <mergeCell ref="B2:B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AI32"/>
  <sheetViews>
    <sheetView workbookViewId="0">
      <selection activeCell="A1" sqref="A1"/>
    </sheetView>
  </sheetViews>
  <sheetFormatPr baseColWidth="8" defaultColWidth="12.6640625" defaultRowHeight="15.75" customHeight="1"/>
  <cols>
    <col width="5.33203125" customWidth="1" style="405" min="1" max="1"/>
    <col width="20.109375" customWidth="1" style="405" min="2" max="2"/>
  </cols>
  <sheetData>
    <row r="1" ht="15.75" customHeight="1" s="405">
      <c r="A1" s="345" t="n"/>
      <c r="B1" s="345" t="n"/>
      <c r="C1" s="345" t="n"/>
      <c r="D1" s="8" t="n"/>
      <c r="E1" s="345" t="n"/>
      <c r="F1" s="345" t="n"/>
      <c r="G1" s="345" t="n"/>
      <c r="H1" s="345" t="n"/>
      <c r="I1" s="345" t="n"/>
      <c r="J1" s="345" t="n"/>
      <c r="K1" s="345" t="n"/>
      <c r="L1" s="345" t="n"/>
      <c r="M1" s="345" t="n"/>
      <c r="N1" s="345" t="n"/>
      <c r="O1" s="345" t="n"/>
      <c r="P1" s="9" t="n"/>
      <c r="Q1" s="9" t="n"/>
      <c r="R1" s="9" t="n"/>
      <c r="S1" s="9" t="n"/>
      <c r="T1" s="9" t="n"/>
      <c r="U1" s="9" t="n"/>
      <c r="V1" s="9" t="n"/>
      <c r="W1" s="9" t="n"/>
      <c r="X1" s="9" t="n"/>
      <c r="Y1" s="9" t="n"/>
      <c r="Z1" s="9" t="n"/>
      <c r="AA1" s="9" t="n"/>
      <c r="AB1" s="9" t="n"/>
      <c r="AC1" s="9" t="n"/>
      <c r="AD1" s="9" t="n"/>
      <c r="AE1" s="9" t="n"/>
      <c r="AF1" s="9" t="n"/>
      <c r="AG1" s="9" t="n"/>
      <c r="AH1" s="9" t="n"/>
      <c r="AI1" s="9" t="n"/>
    </row>
    <row r="2" ht="15.75" customHeight="1" s="405">
      <c r="A2" s="434" t="inlineStr">
        <is>
          <t>STT</t>
        </is>
      </c>
      <c r="B2" s="22" t="inlineStr">
        <is>
          <t>Số tài khoản</t>
        </is>
      </c>
      <c r="C2" s="212" t="inlineStr">
        <is>
          <t>Số Thẻ</t>
        </is>
      </c>
      <c r="D2" s="19" t="inlineStr">
        <is>
          <t>Số tiền chi tiêu hàng ngày theo đầu thẻ</t>
        </is>
      </c>
      <c r="E2" s="23" t="n"/>
      <c r="F2" s="23" t="n"/>
      <c r="G2" s="23" t="n"/>
      <c r="H2" s="23" t="n"/>
      <c r="I2" s="23" t="n"/>
      <c r="J2" s="23" t="n"/>
      <c r="K2" s="23" t="n"/>
      <c r="L2" s="23" t="n"/>
      <c r="M2" s="23" t="n"/>
      <c r="N2" s="23" t="n"/>
      <c r="O2" s="23" t="n"/>
      <c r="P2" s="23" t="n"/>
      <c r="Q2" s="23" t="n"/>
      <c r="R2" s="23" t="n"/>
      <c r="S2" s="23" t="n"/>
      <c r="T2" s="23" t="n"/>
      <c r="U2" s="23" t="n"/>
      <c r="V2" s="23" t="n"/>
      <c r="W2" s="23" t="n"/>
      <c r="X2" s="23" t="n"/>
      <c r="Y2" s="23" t="n"/>
      <c r="Z2" s="23" t="n"/>
      <c r="AA2" s="23" t="n"/>
      <c r="AB2" s="23" t="n"/>
      <c r="AC2" s="23" t="n"/>
      <c r="AD2" s="23" t="n"/>
      <c r="AE2" s="23" t="n"/>
      <c r="AF2" s="23" t="n"/>
      <c r="AG2" s="23" t="n"/>
      <c r="AH2" s="37" t="n"/>
      <c r="AI2" s="9" t="n"/>
    </row>
    <row r="3" ht="15.75" customHeight="1" s="405">
      <c r="A3" s="433" t="n"/>
      <c r="B3" s="433" t="n"/>
      <c r="C3" s="433" t="n"/>
      <c r="D3" s="41" t="n">
        <v>46204</v>
      </c>
      <c r="E3" s="41" t="n">
        <v>46205</v>
      </c>
      <c r="F3" s="41" t="n">
        <v>46206</v>
      </c>
      <c r="G3" s="41" t="n">
        <v>46207</v>
      </c>
      <c r="H3" s="41" t="n">
        <v>46208</v>
      </c>
      <c r="I3" s="41" t="n">
        <v>46209</v>
      </c>
      <c r="J3" s="41" t="n">
        <v>46210</v>
      </c>
      <c r="K3" s="41" t="n">
        <v>46211</v>
      </c>
      <c r="L3" s="41" t="n">
        <v>46212</v>
      </c>
      <c r="M3" s="41" t="n">
        <v>46213</v>
      </c>
      <c r="N3" s="41" t="n">
        <v>46214</v>
      </c>
      <c r="O3" s="41" t="n">
        <v>46215</v>
      </c>
      <c r="P3" s="41" t="n">
        <v>46216</v>
      </c>
      <c r="Q3" s="41" t="n">
        <v>46217</v>
      </c>
      <c r="R3" s="41" t="n">
        <v>46218</v>
      </c>
      <c r="S3" s="41" t="n">
        <v>46219</v>
      </c>
      <c r="T3" s="41" t="n">
        <v>46220</v>
      </c>
      <c r="U3" s="41" t="n">
        <v>46221</v>
      </c>
      <c r="V3" s="41" t="n">
        <v>46222</v>
      </c>
      <c r="W3" s="41" t="n">
        <v>46223</v>
      </c>
      <c r="X3" s="41" t="n">
        <v>46224</v>
      </c>
      <c r="Y3" s="41" t="n">
        <v>46225</v>
      </c>
      <c r="Z3" s="41" t="n">
        <v>46226</v>
      </c>
      <c r="AA3" s="41" t="n">
        <v>46227</v>
      </c>
      <c r="AB3" s="41" t="n">
        <v>46228</v>
      </c>
      <c r="AC3" s="41" t="n">
        <v>46229</v>
      </c>
      <c r="AD3" s="41" t="n">
        <v>46230</v>
      </c>
      <c r="AE3" s="41" t="n">
        <v>46231</v>
      </c>
      <c r="AF3" s="41" t="n">
        <v>46232</v>
      </c>
      <c r="AG3" s="41" t="n">
        <v>46233</v>
      </c>
      <c r="AH3" s="41" t="n">
        <v>46234</v>
      </c>
      <c r="AI3" s="9" t="n"/>
    </row>
    <row r="4" ht="15.75" customHeight="1" s="405">
      <c r="A4" s="347" t="n">
        <v>1</v>
      </c>
      <c r="B4" s="325" t="n"/>
      <c r="C4" s="325" t="n"/>
      <c r="D4" s="255" t="n"/>
      <c r="E4" s="257" t="n"/>
      <c r="F4" s="255" t="n"/>
      <c r="G4" s="257" t="n"/>
      <c r="H4" s="258" t="n"/>
      <c r="I4" s="259" t="n"/>
      <c r="J4" s="257" t="n"/>
      <c r="K4" s="257" t="n"/>
      <c r="L4" s="255" t="n"/>
      <c r="M4" s="257" t="n"/>
      <c r="N4" s="255" t="n"/>
      <c r="O4" s="255" t="n"/>
      <c r="P4" s="257" t="n"/>
      <c r="Q4" s="257" t="n"/>
      <c r="R4" s="255" t="n"/>
      <c r="S4" s="257" t="n"/>
      <c r="T4" s="260" t="n"/>
      <c r="U4" s="255" t="n"/>
      <c r="V4" s="257" t="n"/>
      <c r="W4" s="257" t="n"/>
      <c r="X4" s="261" t="n"/>
      <c r="Y4" s="261" t="n"/>
      <c r="Z4" s="257" t="n"/>
      <c r="AA4" s="262" t="n"/>
      <c r="AB4" s="263" t="n"/>
      <c r="AC4" s="262" t="n"/>
      <c r="AD4" s="262" t="n"/>
      <c r="AE4" s="265" t="n"/>
      <c r="AF4" s="262" t="n"/>
      <c r="AG4" s="263" t="n"/>
      <c r="AH4" s="262" t="n"/>
      <c r="AI4" s="76" t="n"/>
    </row>
    <row r="5" ht="15.75" customHeight="1" s="405">
      <c r="A5" s="347" t="n">
        <v>2</v>
      </c>
      <c r="B5" s="325" t="n"/>
      <c r="C5" s="325" t="n"/>
      <c r="D5" s="257" t="n"/>
      <c r="E5" s="257" t="n"/>
      <c r="F5" s="257" t="n"/>
      <c r="G5" s="257" t="n"/>
      <c r="H5" s="257" t="n"/>
      <c r="I5" s="257" t="n"/>
      <c r="J5" s="257" t="n"/>
      <c r="K5" s="257" t="n"/>
      <c r="L5" s="257" t="n"/>
      <c r="M5" s="257" t="n"/>
      <c r="N5" s="257" t="n"/>
      <c r="O5" s="325" t="n"/>
      <c r="P5" s="257" t="n"/>
      <c r="Q5" s="257" t="n"/>
      <c r="R5" s="257" t="n"/>
      <c r="S5" s="257" t="n"/>
      <c r="T5" s="257" t="n"/>
      <c r="U5" s="257" t="n"/>
      <c r="V5" s="257" t="n"/>
      <c r="W5" s="257" t="n"/>
      <c r="X5" s="257" t="n"/>
      <c r="Y5" s="257" t="n"/>
      <c r="Z5" s="262" t="n"/>
      <c r="AA5" s="262" t="n"/>
      <c r="AB5" s="263" t="n"/>
      <c r="AC5" s="263" t="n"/>
      <c r="AD5" s="262" t="n"/>
      <c r="AE5" s="262" t="n"/>
      <c r="AF5" s="262" t="n"/>
      <c r="AG5" s="263" t="n"/>
      <c r="AH5" s="262" t="n"/>
      <c r="AI5" s="76" t="n"/>
    </row>
    <row r="6" ht="15.75" customHeight="1" s="405">
      <c r="A6" s="347" t="n">
        <v>3</v>
      </c>
      <c r="B6" s="325" t="n"/>
      <c r="C6" s="325" t="n"/>
      <c r="D6" s="257" t="n"/>
      <c r="E6" s="257" t="n"/>
      <c r="F6" s="257" t="n"/>
      <c r="G6" s="257" t="n"/>
      <c r="H6" s="257" t="n"/>
      <c r="I6" s="257" t="n"/>
      <c r="J6" s="257" t="n"/>
      <c r="K6" s="257" t="n"/>
      <c r="L6" s="257" t="n"/>
      <c r="M6" s="257" t="n"/>
      <c r="N6" s="257" t="n"/>
      <c r="O6" s="257" t="n"/>
      <c r="P6" s="257" t="n"/>
      <c r="Q6" s="257" t="n"/>
      <c r="R6" s="257" t="n"/>
      <c r="S6" s="257" t="n"/>
      <c r="T6" s="257" t="n"/>
      <c r="U6" s="257" t="n"/>
      <c r="V6" s="257" t="n"/>
      <c r="W6" s="257" t="n"/>
      <c r="X6" s="257" t="n"/>
      <c r="Y6" s="76" t="n"/>
      <c r="Z6" s="265" t="n"/>
      <c r="AA6" s="262" t="n"/>
      <c r="AB6" s="265" t="n"/>
      <c r="AC6" s="267" t="n"/>
      <c r="AD6" s="267" t="n"/>
      <c r="AE6" s="262" t="n"/>
      <c r="AF6" s="265" t="n"/>
      <c r="AG6" s="76" t="n"/>
      <c r="AH6" s="265" t="n"/>
      <c r="AI6" s="76" t="n"/>
    </row>
    <row r="7" ht="15.75" customHeight="1" s="405">
      <c r="A7" s="347" t="n">
        <v>4</v>
      </c>
      <c r="B7" s="325" t="n"/>
      <c r="C7" s="325" t="n"/>
      <c r="D7" s="257" t="n"/>
      <c r="E7" s="257" t="n"/>
      <c r="F7" s="257" t="n"/>
      <c r="G7" s="257" t="n"/>
      <c r="H7" s="257" t="n"/>
      <c r="I7" s="257" t="n"/>
      <c r="J7" s="257" t="n"/>
      <c r="K7" s="257" t="n"/>
      <c r="L7" s="257" t="n"/>
      <c r="M7" s="257" t="n"/>
      <c r="N7" s="257" t="n"/>
      <c r="O7" s="267" t="n"/>
      <c r="P7" s="257" t="n"/>
      <c r="Q7" s="257" t="n"/>
      <c r="R7" s="257" t="n"/>
      <c r="S7" s="257" t="n"/>
      <c r="T7" s="257" t="n"/>
      <c r="U7" s="257" t="n"/>
      <c r="V7" s="257" t="n"/>
      <c r="W7" s="257" t="n"/>
      <c r="X7" s="257" t="n"/>
      <c r="Y7" s="265" t="n"/>
      <c r="Z7" s="265" t="n"/>
      <c r="AA7" s="265" t="n"/>
      <c r="AB7" s="262" t="n"/>
      <c r="AC7" s="265" t="n"/>
      <c r="AD7" s="267" t="n"/>
      <c r="AE7" s="263" t="n"/>
      <c r="AF7" s="265" t="n"/>
      <c r="AG7" s="268" t="n"/>
      <c r="AH7" s="265" t="n"/>
      <c r="AI7" s="76" t="n"/>
    </row>
    <row r="8" ht="15.75" customHeight="1" s="405">
      <c r="A8" s="82" t="inlineStr">
        <is>
          <t>Tổng</t>
        </is>
      </c>
      <c r="B8" s="83" t="n"/>
      <c r="C8" s="83">
        <f>+D8+E8+F8+G8+H8+I8+J8+K8+L8+M8+N8+O8++P8+Q8+R8+S8+T8+U8+V8+W8+X8+Y8+Z8+AA8+AB8+AC8+AD8+AE8+AF8+AG8+AH8</f>
        <v/>
      </c>
      <c r="D8" s="83">
        <f>SUM(D4:D7) /1.1</f>
        <v/>
      </c>
      <c r="E8" s="83">
        <f>SUM(E4:E7) /1.1</f>
        <v/>
      </c>
      <c r="F8" s="83">
        <f>SUM(F4:F7) /1.1</f>
        <v/>
      </c>
      <c r="G8" s="83">
        <f>SUM(G4:G7) /1.1</f>
        <v/>
      </c>
      <c r="H8" s="83">
        <f>SUM(H4:H7) /1.1</f>
        <v/>
      </c>
      <c r="I8" s="83">
        <f>SUM(I5:I7) /1.1</f>
        <v/>
      </c>
      <c r="J8" s="83">
        <f>SUM(J4:J7) /1.1</f>
        <v/>
      </c>
      <c r="K8" s="83">
        <f>SUM(K4:K7) /1.1</f>
        <v/>
      </c>
      <c r="L8" s="83">
        <f>SUM(L4:L7) /1.1</f>
        <v/>
      </c>
      <c r="M8" s="83">
        <f>SUM(M4:M7) /1.1</f>
        <v/>
      </c>
      <c r="N8" s="83">
        <f>SUM(N4:N7) /1.1</f>
        <v/>
      </c>
      <c r="O8" s="83">
        <f>SUM(O4:O7) /1.1</f>
        <v/>
      </c>
      <c r="P8" s="83">
        <f>SUM(P4:P7) /1.1</f>
        <v/>
      </c>
      <c r="Q8" s="83">
        <f>SUM(Q4:Q7) /1.1</f>
        <v/>
      </c>
      <c r="R8" s="83">
        <f>SUM(R4:R7) /1.1</f>
        <v/>
      </c>
      <c r="S8" s="83">
        <f>SUM(S4:S7) /1.1</f>
        <v/>
      </c>
      <c r="T8" s="83">
        <f>SUM(T4:T7) /1.1</f>
        <v/>
      </c>
      <c r="U8" s="83">
        <f>SUM(U4:U7) /1.1</f>
        <v/>
      </c>
      <c r="V8" s="83">
        <f>SUM(V4:V7) /1.1</f>
        <v/>
      </c>
      <c r="W8" s="83">
        <f>SUM(W4:W7) /1.1</f>
        <v/>
      </c>
      <c r="X8" s="83">
        <f>SUM(X4:X7) /1.1</f>
        <v/>
      </c>
      <c r="Y8" s="83">
        <f>SUM(Y4:Y7) /1.1</f>
        <v/>
      </c>
      <c r="Z8" s="83">
        <f>SUM(Z4:Z7) /1.1</f>
        <v/>
      </c>
      <c r="AA8" s="83">
        <f>SUM(AA4:AA7) /1.1</f>
        <v/>
      </c>
      <c r="AB8" s="83">
        <f>SUM(AB4:AB7) /1.1</f>
        <v/>
      </c>
      <c r="AC8" s="83">
        <f>SUM(AC4:AC7) /1.1</f>
        <v/>
      </c>
      <c r="AD8" s="83">
        <f>SUM(AD4:AD7) /1.1</f>
        <v/>
      </c>
      <c r="AE8" s="83">
        <f>SUM(AE5:AE7) /1.1</f>
        <v/>
      </c>
      <c r="AF8" s="83">
        <f>SUM(AF4:AF7) /1.1</f>
        <v/>
      </c>
      <c r="AG8" s="83">
        <f>SUM(AG4:AG7) /1.1</f>
        <v/>
      </c>
      <c r="AH8" s="83">
        <f>SUM(AH4:AH7) /1.1</f>
        <v/>
      </c>
      <c r="AI8" s="76" t="n"/>
    </row>
    <row r="9" ht="15.75" customHeight="1" s="405">
      <c r="A9" s="345" t="inlineStr">
        <is>
          <t>Kế toán check Hóa đơn</t>
        </is>
      </c>
      <c r="B9" s="345" t="n"/>
      <c r="C9" s="345" t="n"/>
      <c r="D9" s="8" t="n"/>
      <c r="E9" s="345" t="n"/>
      <c r="F9" s="345" t="n"/>
      <c r="G9" s="345" t="n"/>
      <c r="H9" s="345" t="n"/>
      <c r="I9" s="345" t="n"/>
      <c r="J9" s="345" t="n"/>
      <c r="K9" s="345" t="n"/>
      <c r="L9" s="345" t="n"/>
      <c r="M9" s="345" t="n"/>
      <c r="N9" s="345" t="n"/>
      <c r="O9" s="345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</row>
    <row r="10" ht="15.75" customHeight="1" s="405">
      <c r="A10" s="110" t="inlineStr">
        <is>
          <t>Chênh lệch</t>
        </is>
      </c>
      <c r="B10" s="345" t="n"/>
      <c r="C10" s="345" t="n"/>
      <c r="D10" s="113">
        <f>D8-D9</f>
        <v/>
      </c>
      <c r="E10" s="113">
        <f>E8-E9</f>
        <v/>
      </c>
      <c r="F10" s="113">
        <f>F8-F9</f>
        <v/>
      </c>
      <c r="G10" s="113">
        <f>G8-G9</f>
        <v/>
      </c>
      <c r="H10" s="113">
        <f>H8-H9</f>
        <v/>
      </c>
      <c r="I10" s="113">
        <f>I8-I9</f>
        <v/>
      </c>
      <c r="J10" s="113">
        <f>J8-J9</f>
        <v/>
      </c>
      <c r="K10" s="113">
        <f>K8-K9</f>
        <v/>
      </c>
      <c r="L10" s="113">
        <f>L8-L9</f>
        <v/>
      </c>
      <c r="M10" s="113">
        <f>M8-M9</f>
        <v/>
      </c>
      <c r="N10" s="113">
        <f>N8-N9</f>
        <v/>
      </c>
      <c r="O10" s="113">
        <f>O8-O9</f>
        <v/>
      </c>
      <c r="P10" s="113">
        <f>P8-P9</f>
        <v/>
      </c>
      <c r="Q10" s="113">
        <f>Q8-Q9</f>
        <v/>
      </c>
      <c r="R10" s="113">
        <f>R8-R9</f>
        <v/>
      </c>
      <c r="S10" s="113">
        <f>S8-S9</f>
        <v/>
      </c>
      <c r="T10" s="113">
        <f>T8-T9</f>
        <v/>
      </c>
      <c r="U10" s="113">
        <f>U8-U9</f>
        <v/>
      </c>
      <c r="V10" s="113">
        <f>V8-V9</f>
        <v/>
      </c>
      <c r="W10" s="113">
        <f>W8-W9</f>
        <v/>
      </c>
      <c r="X10" s="113">
        <f>X8-X9</f>
        <v/>
      </c>
      <c r="Y10" s="113">
        <f>Y8-Y9</f>
        <v/>
      </c>
      <c r="Z10" s="113">
        <f>Z8-Z9</f>
        <v/>
      </c>
      <c r="AA10" s="113">
        <f>AA8-AA9</f>
        <v/>
      </c>
      <c r="AB10" s="113">
        <f>AB8-AB9</f>
        <v/>
      </c>
      <c r="AC10" s="113">
        <f>AC8-AC9</f>
        <v/>
      </c>
      <c r="AD10" s="113">
        <f>AD8-AD9</f>
        <v/>
      </c>
      <c r="AE10" s="113">
        <f>AE8-AE9</f>
        <v/>
      </c>
      <c r="AF10" s="113">
        <f>AF8-AF9</f>
        <v/>
      </c>
      <c r="AG10" s="113">
        <f>AG8-AG9</f>
        <v/>
      </c>
      <c r="AH10" s="113">
        <f>AH8-AH9</f>
        <v/>
      </c>
      <c r="AI10" s="9" t="n"/>
    </row>
    <row r="13">
      <c r="B13" s="118" t="inlineStr">
        <is>
          <t>Facebook Billing</t>
        </is>
      </c>
      <c r="D13" s="118" t="n"/>
    </row>
    <row r="14" ht="15.75" customHeight="1" s="405">
      <c r="B14" s="119" t="inlineStr">
        <is>
          <t>Ngày thanh toán</t>
        </is>
      </c>
      <c r="C14" s="119" t="inlineStr">
        <is>
          <t>Phương thức TT</t>
        </is>
      </c>
      <c r="D14" s="119" t="inlineStr">
        <is>
          <t>Số tham chiếu thẻ</t>
        </is>
      </c>
      <c r="E14" s="120" t="inlineStr">
        <is>
          <t>Số tiền</t>
        </is>
      </c>
      <c r="G14" s="419" t="inlineStr">
        <is>
          <t xml:space="preserve">Link thư mục ảnh hóa đơn </t>
        </is>
      </c>
    </row>
    <row r="15">
      <c r="B15" s="94" t="n"/>
      <c r="C15" s="94" t="n"/>
      <c r="D15" s="94" t="n"/>
      <c r="E15" s="94" t="n"/>
    </row>
    <row r="16" ht="13.2" customHeight="1" s="405">
      <c r="B16" s="94" t="n"/>
      <c r="C16" s="94" t="n"/>
      <c r="D16" s="94" t="n"/>
      <c r="E16" s="94" t="n"/>
    </row>
    <row r="17" ht="13.2" customHeight="1" s="405">
      <c r="B17" s="94" t="n"/>
      <c r="C17" s="94" t="n"/>
      <c r="D17" s="94" t="n"/>
      <c r="E17" s="94" t="n"/>
    </row>
    <row r="18" ht="13.2" customHeight="1" s="405">
      <c r="B18" s="94" t="n"/>
      <c r="C18" s="94" t="n"/>
      <c r="D18" s="94" t="n"/>
      <c r="E18" s="94" t="n"/>
    </row>
    <row r="19" ht="13.2" customHeight="1" s="405">
      <c r="B19" s="94" t="n"/>
      <c r="C19" s="94" t="n"/>
      <c r="D19" s="94" t="n"/>
      <c r="E19" s="94" t="n"/>
    </row>
    <row r="20" ht="13.2" customHeight="1" s="405">
      <c r="B20" s="94" t="n"/>
      <c r="C20" s="94" t="n"/>
      <c r="D20" s="94" t="n"/>
      <c r="E20" s="94" t="n"/>
    </row>
    <row r="21" ht="13.2" customHeight="1" s="405">
      <c r="B21" s="94" t="n"/>
      <c r="C21" s="94" t="n"/>
      <c r="D21" s="94" t="n"/>
      <c r="E21" s="94" t="n"/>
    </row>
    <row r="22" ht="13.2" customHeight="1" s="405">
      <c r="B22" s="94" t="n"/>
      <c r="C22" s="94" t="n"/>
      <c r="D22" s="94" t="n"/>
      <c r="E22" s="94" t="n"/>
    </row>
    <row r="23" ht="13.2" customHeight="1" s="405">
      <c r="B23" s="94" t="n"/>
      <c r="C23" s="94" t="n"/>
      <c r="D23" s="94" t="n"/>
      <c r="E23" s="94" t="n"/>
    </row>
    <row r="24" ht="13.2" customHeight="1" s="405">
      <c r="B24" s="94" t="n"/>
      <c r="C24" s="94" t="n"/>
      <c r="D24" s="94" t="n"/>
      <c r="E24" s="94" t="n"/>
    </row>
    <row r="25" ht="13.2" customHeight="1" s="405">
      <c r="B25" s="94" t="n"/>
      <c r="C25" s="94" t="n"/>
      <c r="D25" s="94" t="n"/>
      <c r="E25" s="94" t="n"/>
    </row>
    <row r="26" ht="13.2" customHeight="1" s="405">
      <c r="B26" s="94" t="n"/>
      <c r="C26" s="94" t="n"/>
      <c r="D26" s="94" t="n"/>
      <c r="E26" s="94" t="n"/>
    </row>
    <row r="27" ht="13.2" customHeight="1" s="405">
      <c r="B27" s="94" t="n"/>
      <c r="C27" s="94" t="n"/>
      <c r="D27" s="94" t="n"/>
      <c r="E27" s="94" t="n"/>
    </row>
    <row r="28" ht="13.2" customHeight="1" s="405">
      <c r="B28" s="94" t="n"/>
      <c r="C28" s="94" t="n"/>
      <c r="D28" s="94" t="n"/>
      <c r="E28" s="94" t="n"/>
    </row>
    <row r="29" ht="13.2" customHeight="1" s="405">
      <c r="B29" s="94" t="n"/>
      <c r="C29" s="94" t="n"/>
      <c r="D29" s="94" t="n"/>
      <c r="E29" s="94" t="n"/>
    </row>
    <row r="30" ht="13.2" customHeight="1" s="405">
      <c r="B30" s="94" t="n"/>
      <c r="C30" s="94" t="n"/>
      <c r="D30" s="94" t="n"/>
      <c r="E30" s="94" t="n"/>
    </row>
    <row r="31" ht="13.2" customHeight="1" s="405">
      <c r="B31" s="94" t="n"/>
      <c r="C31" s="94" t="n"/>
      <c r="D31" s="94" t="n"/>
      <c r="E31" s="94" t="n"/>
    </row>
    <row r="32" ht="13.2" customHeight="1" s="405">
      <c r="B32" s="94" t="n"/>
      <c r="C32" s="94" t="n"/>
      <c r="D32" s="94" t="n"/>
      <c r="E32" s="94" t="n"/>
    </row>
  </sheetData>
  <mergeCells count="3">
    <mergeCell ref="C2:C3"/>
    <mergeCell ref="A2:A3"/>
    <mergeCell ref="B2:B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AA1002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baseColWidth="8" defaultColWidth="12.6640625" defaultRowHeight="15.75" customHeight="1"/>
  <cols>
    <col width="5.6640625" customWidth="1" style="405" min="1" max="1"/>
    <col width="20.6640625" customWidth="1" style="405" min="2" max="2"/>
    <col width="26.77734375" customWidth="1" style="405" min="3" max="3"/>
    <col width="14.109375" customWidth="1" style="405" min="4" max="4"/>
    <col width="16.6640625" customWidth="1" style="405" min="5" max="5"/>
    <col width="31.33203125" customWidth="1" style="405" min="6" max="6"/>
    <col width="34.109375" customWidth="1" style="405" min="7" max="7"/>
    <col width="29.6640625" customWidth="1" style="405" min="8" max="8"/>
    <col width="31" customWidth="1" style="405" min="9" max="9"/>
    <col width="22.33203125" customWidth="1" style="405" min="10" max="10"/>
  </cols>
  <sheetData>
    <row r="1" ht="40.2" customHeight="1" s="405">
      <c r="A1" s="1" t="inlineStr">
        <is>
          <t>STT</t>
        </is>
      </c>
      <c r="B1" s="1" t="inlineStr">
        <is>
          <t>Họ và tên</t>
        </is>
      </c>
      <c r="C1" s="2" t="inlineStr">
        <is>
          <t>TT Mail</t>
        </is>
      </c>
      <c r="D1" s="1" t="inlineStr">
        <is>
          <t>Số thẻ</t>
        </is>
      </c>
      <c r="E1" s="1" t="inlineStr">
        <is>
          <t>Số TK</t>
        </is>
      </c>
      <c r="F1" s="4" t="inlineStr">
        <is>
          <t>Tên Page</t>
        </is>
      </c>
      <c r="G1" s="4" t="inlineStr">
        <is>
          <t xml:space="preserve">Link Page </t>
        </is>
      </c>
      <c r="H1" s="7" t="inlineStr">
        <is>
          <t>Tên BM</t>
        </is>
      </c>
      <c r="I1" s="7" t="inlineStr">
        <is>
          <t>Tên TK QC</t>
        </is>
      </c>
      <c r="J1" s="2" t="inlineStr">
        <is>
          <t>Thời gian bắt đầu nhận ( điền với TH nhận page ngang trong tháng)</t>
        </is>
      </c>
      <c r="K1" s="435" t="inlineStr">
        <is>
          <t>LƯU Ý : NS chạy thêm tkqc , xây thêm page cần được duyệt bởi lãnh đạo . váo kế toán để thêm thông tin</t>
        </is>
      </c>
    </row>
    <row r="2" ht="16.5" customHeight="1" s="405">
      <c r="A2" s="14" t="n">
        <v>1</v>
      </c>
      <c r="B2" s="14" t="inlineStr">
        <is>
          <t>Nguyễn Hoàng Anh</t>
        </is>
      </c>
      <c r="C2" s="14" t="inlineStr">
        <is>
          <t>anhnh.greenvita@gmail.com</t>
        </is>
      </c>
      <c r="D2" s="14" t="n"/>
      <c r="E2" s="14" t="n"/>
      <c r="F2" s="79" t="inlineStr">
        <is>
          <t>Bác Sĩ Hội - Chuyên Khoa Tiêu Hóa</t>
        </is>
      </c>
      <c r="G2" s="20" t="inlineStr">
        <is>
          <t>https://www.facebook.com/profile.php?id=61584406597552</t>
        </is>
      </c>
      <c r="H2" s="24" t="inlineStr">
        <is>
          <t>BM BS Hội - Hưng Việt</t>
        </is>
      </c>
      <c r="I2" s="36" t="inlineStr">
        <is>
          <t>Hoàng Anh 1 - Hưng Việt</t>
        </is>
      </c>
      <c r="J2" s="14" t="n"/>
      <c r="K2" s="39" t="n"/>
      <c r="L2" s="39" t="n"/>
      <c r="M2" s="39" t="n"/>
      <c r="N2" s="39" t="n"/>
      <c r="O2" s="39" t="n"/>
      <c r="P2" s="39" t="n"/>
      <c r="Q2" s="39" t="n"/>
      <c r="R2" s="39" t="n"/>
      <c r="S2" s="39" t="n"/>
      <c r="T2" s="39" t="n"/>
      <c r="U2" s="39" t="n"/>
      <c r="V2" s="39" t="n"/>
      <c r="W2" s="39" t="n"/>
      <c r="X2" s="39" t="n"/>
      <c r="Y2" s="39" t="n"/>
      <c r="Z2" s="39" t="n"/>
      <c r="AA2" s="39" t="n"/>
    </row>
    <row r="3" ht="16.5" customHeight="1" s="405">
      <c r="A3" s="436" t="n"/>
      <c r="B3" s="436" t="n"/>
      <c r="C3" s="14" t="n"/>
      <c r="D3" s="14" t="n"/>
      <c r="E3" s="14" t="n"/>
      <c r="F3" s="79" t="inlineStr">
        <is>
          <t>Bác Sĩ Hội - Chuyên Khoa Tiêu Hóa</t>
        </is>
      </c>
      <c r="G3" s="57" t="inlineStr">
        <is>
          <t>https://www.facebook.com/profile.php?id=61580994806050</t>
        </is>
      </c>
      <c r="H3" s="24" t="inlineStr">
        <is>
          <t>Hoàng Anh ADS - Green Vita</t>
        </is>
      </c>
      <c r="I3" s="36" t="inlineStr">
        <is>
          <t>Hoàng Anh ADS 01</t>
        </is>
      </c>
      <c r="J3" s="14" t="n"/>
      <c r="K3" s="39" t="n"/>
      <c r="L3" s="39" t="n"/>
      <c r="M3" s="39" t="n"/>
      <c r="N3" s="39" t="n"/>
      <c r="O3" s="39" t="n"/>
      <c r="P3" s="39" t="n"/>
      <c r="Q3" s="39" t="n"/>
      <c r="R3" s="39" t="n"/>
      <c r="S3" s="39" t="n"/>
      <c r="T3" s="39" t="n"/>
      <c r="U3" s="39" t="n"/>
      <c r="V3" s="39" t="n"/>
      <c r="W3" s="39" t="n"/>
      <c r="X3" s="39" t="n"/>
      <c r="Y3" s="39" t="n"/>
      <c r="Z3" s="39" t="n"/>
      <c r="AA3" s="39" t="n"/>
    </row>
    <row r="4" ht="16.5" customHeight="1" s="405">
      <c r="A4" s="436" t="n"/>
      <c r="B4" s="436" t="n"/>
      <c r="C4" s="14" t="n"/>
      <c r="D4" s="14" t="n"/>
      <c r="E4" s="14" t="n"/>
      <c r="F4" s="79" t="inlineStr">
        <is>
          <t>Bác sĩ Bách Hội</t>
        </is>
      </c>
      <c r="G4" s="20" t="inlineStr">
        <is>
          <t>https://www.facebook.com/bacsibachhoi</t>
        </is>
      </c>
      <c r="H4" s="436" t="n"/>
      <c r="I4" s="36" t="inlineStr">
        <is>
          <t>Hoàng Anh ADS 02</t>
        </is>
      </c>
      <c r="J4" s="14" t="n"/>
      <c r="K4" s="39" t="n"/>
      <c r="L4" s="39" t="n"/>
      <c r="M4" s="39" t="n"/>
      <c r="N4" s="39" t="n"/>
      <c r="O4" s="39" t="n"/>
      <c r="P4" s="39" t="n"/>
      <c r="Q4" s="39" t="n"/>
      <c r="R4" s="39" t="n"/>
      <c r="S4" s="39" t="n"/>
      <c r="T4" s="39" t="n"/>
      <c r="U4" s="39" t="n"/>
      <c r="V4" s="39" t="n"/>
      <c r="W4" s="39" t="n"/>
      <c r="X4" s="39" t="n"/>
      <c r="Y4" s="39" t="n"/>
      <c r="Z4" s="39" t="n"/>
      <c r="AA4" s="39" t="n"/>
    </row>
    <row r="5" ht="16.5" customHeight="1" s="405">
      <c r="A5" s="436" t="n"/>
      <c r="B5" s="436" t="n"/>
      <c r="C5" s="14" t="n"/>
      <c r="D5" s="14" t="n"/>
      <c r="E5" s="14" t="n"/>
      <c r="F5" s="79" t="inlineStr">
        <is>
          <t>Bác Sĩ Hội - Phục Hồi Đại Tràng Từ Gốc</t>
        </is>
      </c>
      <c r="G5" s="57" t="inlineStr">
        <is>
          <t>https://www.facebook.com/profile.php?id=61585093756453</t>
        </is>
      </c>
      <c r="H5" s="436" t="n"/>
      <c r="I5" s="36" t="inlineStr">
        <is>
          <t>Hoàng Anh ADS 03</t>
        </is>
      </c>
      <c r="J5" s="14" t="n"/>
      <c r="K5" s="39" t="n"/>
      <c r="L5" s="39" t="n"/>
      <c r="M5" s="39" t="n"/>
      <c r="N5" s="39" t="n"/>
      <c r="O5" s="39" t="n"/>
      <c r="P5" s="39" t="n"/>
      <c r="Q5" s="39" t="n"/>
      <c r="R5" s="39" t="n"/>
      <c r="S5" s="39" t="n"/>
      <c r="T5" s="39" t="n"/>
      <c r="U5" s="39" t="n"/>
      <c r="V5" s="39" t="n"/>
      <c r="W5" s="39" t="n"/>
      <c r="X5" s="39" t="n"/>
      <c r="Y5" s="39" t="n"/>
      <c r="Z5" s="39" t="n"/>
      <c r="AA5" s="39" t="n"/>
    </row>
    <row r="6" ht="16.5" customHeight="1" s="405">
      <c r="A6" s="436" t="n"/>
      <c r="B6" s="436" t="n"/>
      <c r="C6" s="14" t="n"/>
      <c r="D6" s="14" t="n"/>
      <c r="E6" s="14" t="n"/>
      <c r="F6" s="79" t="n"/>
      <c r="G6" s="79" t="n"/>
      <c r="H6" s="436" t="n"/>
      <c r="I6" s="36" t="inlineStr">
        <is>
          <t>Hoàng Anh ADS 04</t>
        </is>
      </c>
      <c r="J6" s="14" t="n"/>
      <c r="K6" s="39" t="n"/>
      <c r="L6" s="39" t="n"/>
      <c r="M6" s="39" t="n"/>
      <c r="N6" s="39" t="n"/>
      <c r="O6" s="39" t="n"/>
      <c r="P6" s="39" t="n"/>
      <c r="Q6" s="39" t="n"/>
      <c r="R6" s="39" t="n"/>
      <c r="S6" s="39" t="n"/>
      <c r="T6" s="39" t="n"/>
      <c r="U6" s="39" t="n"/>
      <c r="V6" s="39" t="n"/>
      <c r="W6" s="39" t="n"/>
      <c r="X6" s="39" t="n"/>
      <c r="Y6" s="39" t="n"/>
      <c r="Z6" s="39" t="n"/>
      <c r="AA6" s="39" t="n"/>
    </row>
    <row r="7" ht="16.5" customHeight="1" s="405">
      <c r="A7" s="433" t="n"/>
      <c r="B7" s="433" t="n"/>
      <c r="C7" s="14" t="n"/>
      <c r="D7" s="14" t="n"/>
      <c r="E7" s="14" t="n"/>
      <c r="F7" s="79" t="n"/>
      <c r="G7" s="79" t="n"/>
      <c r="H7" s="433" t="n"/>
      <c r="I7" s="36" t="inlineStr">
        <is>
          <t>Hoàng Anh ADS 05</t>
        </is>
      </c>
      <c r="J7" s="14" t="n"/>
      <c r="K7" s="39" t="n"/>
      <c r="L7" s="39" t="n"/>
      <c r="M7" s="39" t="n"/>
      <c r="N7" s="39" t="n"/>
      <c r="O7" s="39" t="n"/>
      <c r="P7" s="39" t="n"/>
      <c r="Q7" s="39" t="n"/>
      <c r="R7" s="39" t="n"/>
      <c r="S7" s="39" t="n"/>
      <c r="T7" s="39" t="n"/>
      <c r="U7" s="39" t="n"/>
      <c r="V7" s="39" t="n"/>
      <c r="W7" s="39" t="n"/>
      <c r="X7" s="39" t="n"/>
      <c r="Y7" s="39" t="n"/>
      <c r="Z7" s="39" t="n"/>
      <c r="AA7" s="39" t="n"/>
    </row>
    <row r="8" ht="16.5" customHeight="1" s="405">
      <c r="A8" s="88" t="n">
        <v>2</v>
      </c>
      <c r="B8" s="88" t="inlineStr">
        <is>
          <t>Nguyễn Thọ Thưởng</t>
        </is>
      </c>
      <c r="C8" s="88" t="inlineStr">
        <is>
          <t>thuongmkt42@gmail.com</t>
        </is>
      </c>
      <c r="D8" s="88" t="n"/>
      <c r="E8" s="88" t="n"/>
      <c r="F8" s="98" t="inlineStr">
        <is>
          <t xml:space="preserve">Bác sĩ Bách Hội - Phục Hồi Dạ Dày Từ Gốc
</t>
        </is>
      </c>
      <c r="G8" s="91" t="inlineStr">
        <is>
          <t>https://www.facebook.com/bacsibachhoiphoidadaytugoc</t>
        </is>
      </c>
      <c r="H8" s="92" t="n"/>
      <c r="I8" s="99" t="inlineStr">
        <is>
          <t xml:space="preserve">Thuong 3 -BM BS Hội - Hưng Việt
</t>
        </is>
      </c>
      <c r="J8" s="88" t="n"/>
      <c r="K8" s="39" t="n"/>
      <c r="L8" s="39" t="n"/>
      <c r="M8" s="39" t="n"/>
      <c r="N8" s="39" t="n"/>
      <c r="O8" s="39" t="n"/>
      <c r="P8" s="39" t="n"/>
      <c r="Q8" s="39" t="n"/>
      <c r="R8" s="39" t="n"/>
      <c r="S8" s="39" t="n"/>
      <c r="T8" s="39" t="n"/>
      <c r="U8" s="39" t="n"/>
      <c r="V8" s="39" t="n"/>
      <c r="W8" s="39" t="n"/>
      <c r="X8" s="39" t="n"/>
      <c r="Y8" s="39" t="n"/>
      <c r="Z8" s="39" t="n"/>
      <c r="AA8" s="39" t="n"/>
    </row>
    <row r="9" ht="16.5" customHeight="1" s="405">
      <c r="A9" s="436" t="n"/>
      <c r="B9" s="436" t="n"/>
      <c r="C9" s="88" t="n"/>
      <c r="D9" s="88" t="n"/>
      <c r="E9" s="88" t="n"/>
      <c r="F9" s="98" t="inlineStr">
        <is>
          <t>BS Hội - Trung Tâm Tiêu Hóa</t>
        </is>
      </c>
      <c r="G9" s="91" t="inlineStr">
        <is>
          <t>https://www.facebook.com/profile.php?id=61588430593952</t>
        </is>
      </c>
      <c r="H9" s="92" t="n"/>
      <c r="I9" s="99" t="inlineStr">
        <is>
          <t xml:space="preserve">Thuong 2 -BM BS Hội - Hưng Việt
</t>
        </is>
      </c>
      <c r="J9" s="88" t="n"/>
      <c r="K9" s="39" t="n"/>
      <c r="L9" s="39" t="n"/>
      <c r="M9" s="39" t="n"/>
      <c r="N9" s="39" t="n"/>
      <c r="O9" s="39" t="n"/>
      <c r="P9" s="39" t="n"/>
      <c r="Q9" s="39" t="n"/>
      <c r="R9" s="39" t="n"/>
      <c r="S9" s="39" t="n"/>
      <c r="T9" s="39" t="n"/>
      <c r="U9" s="39" t="n"/>
      <c r="V9" s="39" t="n"/>
      <c r="W9" s="39" t="n"/>
      <c r="X9" s="39" t="n"/>
      <c r="Y9" s="39" t="n"/>
      <c r="Z9" s="39" t="n"/>
      <c r="AA9" s="39" t="n"/>
    </row>
    <row r="10" ht="16.5" customHeight="1" s="405">
      <c r="A10" s="436" t="n"/>
      <c r="B10" s="436" t="n"/>
      <c r="C10" s="88" t="n"/>
      <c r="D10" s="88" t="n"/>
      <c r="E10" s="88" t="n"/>
      <c r="F10" s="98" t="n"/>
      <c r="G10" s="98" t="n"/>
      <c r="H10" s="92" t="n"/>
      <c r="I10" s="99" t="n"/>
      <c r="J10" s="88" t="n"/>
      <c r="K10" s="39" t="n"/>
      <c r="L10" s="39" t="n"/>
      <c r="M10" s="39" t="n"/>
      <c r="N10" s="39" t="n"/>
      <c r="O10" s="39" t="n"/>
      <c r="P10" s="39" t="n"/>
      <c r="Q10" s="39" t="n"/>
      <c r="R10" s="39" t="n"/>
      <c r="S10" s="39" t="n"/>
      <c r="T10" s="39" t="n"/>
      <c r="U10" s="39" t="n"/>
      <c r="V10" s="39" t="n"/>
      <c r="W10" s="39" t="n"/>
      <c r="X10" s="39" t="n"/>
      <c r="Y10" s="39" t="n"/>
      <c r="Z10" s="39" t="n"/>
      <c r="AA10" s="39" t="n"/>
    </row>
    <row r="11" ht="16.5" customHeight="1" s="405">
      <c r="A11" s="433" t="n"/>
      <c r="B11" s="433" t="n"/>
      <c r="C11" s="88" t="n"/>
      <c r="D11" s="88" t="n"/>
      <c r="E11" s="88" t="n"/>
      <c r="F11" s="98" t="n"/>
      <c r="G11" s="98" t="n"/>
      <c r="H11" s="92" t="n"/>
      <c r="I11" s="99" t="n"/>
      <c r="J11" s="88" t="n"/>
      <c r="K11" s="39" t="n"/>
      <c r="L11" s="39" t="n"/>
      <c r="M11" s="39" t="n"/>
      <c r="N11" s="39" t="n"/>
      <c r="O11" s="39" t="n"/>
      <c r="P11" s="39" t="n"/>
      <c r="Q11" s="39" t="n"/>
      <c r="R11" s="39" t="n"/>
      <c r="S11" s="39" t="n"/>
      <c r="T11" s="39" t="n"/>
      <c r="U11" s="39" t="n"/>
      <c r="V11" s="39" t="n"/>
      <c r="W11" s="39" t="n"/>
      <c r="X11" s="39" t="n"/>
      <c r="Y11" s="39" t="n"/>
      <c r="Z11" s="39" t="n"/>
      <c r="AA11" s="39" t="n"/>
    </row>
    <row r="12" ht="16.5" customHeight="1" s="405">
      <c r="A12" s="104" t="n">
        <v>3</v>
      </c>
      <c r="B12" s="104" t="inlineStr">
        <is>
          <t>Bùi Quang Anh</t>
        </is>
      </c>
      <c r="C12" s="104" t="inlineStr">
        <is>
          <t>buiquanganh090901@gmail.com</t>
        </is>
      </c>
      <c r="D12" s="104" t="n"/>
      <c r="E12" s="104" t="n"/>
      <c r="F12" s="123" t="inlineStr">
        <is>
          <t>Bác Sĩ Hội - Sức Khỏe Đại Tràng &amp; Tiêu Hóa</t>
        </is>
      </c>
      <c r="G12" s="111" t="inlineStr">
        <is>
          <t>https://www.facebook.com/profile.php?id=61587788227415</t>
        </is>
      </c>
      <c r="H12" s="124" t="inlineStr">
        <is>
          <t>BM BS Hội - Hưng Việt</t>
        </is>
      </c>
      <c r="I12" s="114" t="inlineStr">
        <is>
          <t>Quang Anh 1 - BM BS Hội - Hưng Việt</t>
        </is>
      </c>
      <c r="J12" s="104" t="n"/>
      <c r="K12" s="39" t="n"/>
      <c r="L12" s="39" t="n"/>
      <c r="M12" s="39" t="n"/>
      <c r="N12" s="39" t="n"/>
      <c r="O12" s="39" t="n"/>
      <c r="P12" s="39" t="n"/>
      <c r="Q12" s="39" t="n"/>
      <c r="R12" s="39" t="n"/>
      <c r="S12" s="39" t="n"/>
      <c r="T12" s="39" t="n"/>
      <c r="U12" s="39" t="n"/>
      <c r="V12" s="39" t="n"/>
      <c r="W12" s="39" t="n"/>
      <c r="X12" s="39" t="n"/>
      <c r="Y12" s="39" t="n"/>
      <c r="Z12" s="39" t="n"/>
      <c r="AA12" s="39" t="n"/>
    </row>
    <row r="13" ht="16.5" customHeight="1" s="405">
      <c r="A13" s="436" t="n"/>
      <c r="B13" s="436" t="n"/>
      <c r="C13" s="104" t="n"/>
      <c r="D13" s="104" t="n"/>
      <c r="E13" s="104" t="n"/>
      <c r="F13" s="123" t="inlineStr">
        <is>
          <t>Bác sĩ Hội - Sức khỏe Dạ dày &amp; Tiêu hóa</t>
        </is>
      </c>
      <c r="G13" s="111" t="inlineStr">
        <is>
          <t>https://www.facebook.com/profile.php?id=61580862672623</t>
        </is>
      </c>
      <c r="H13" s="436" t="n"/>
      <c r="I13" s="114" t="inlineStr">
        <is>
          <t>Quang Anh 2 - BM BS Hội - Hưng Việt</t>
        </is>
      </c>
      <c r="J13" s="104" t="n"/>
      <c r="K13" s="39" t="n"/>
      <c r="L13" s="39" t="n"/>
      <c r="M13" s="39" t="n"/>
      <c r="N13" s="39" t="n"/>
      <c r="O13" s="39" t="n"/>
      <c r="P13" s="39" t="n"/>
      <c r="Q13" s="39" t="n"/>
      <c r="R13" s="39" t="n"/>
      <c r="S13" s="39" t="n"/>
      <c r="T13" s="39" t="n"/>
      <c r="U13" s="39" t="n"/>
      <c r="V13" s="39" t="n"/>
      <c r="W13" s="39" t="n"/>
      <c r="X13" s="39" t="n"/>
      <c r="Y13" s="39" t="n"/>
      <c r="Z13" s="39" t="n"/>
      <c r="AA13" s="39" t="n"/>
    </row>
    <row r="14" ht="16.5" customHeight="1" s="405">
      <c r="A14" s="436" t="n"/>
      <c r="B14" s="436" t="n"/>
      <c r="C14" s="104" t="n"/>
      <c r="D14" s="104" t="n"/>
      <c r="E14" s="104" t="n"/>
      <c r="F14" s="122" t="inlineStr">
        <is>
          <t xml:space="preserve">Bác sĩ Nguyễn Bách Hội </t>
        </is>
      </c>
      <c r="G14" s="111" t="inlineStr">
        <is>
          <t>https://www.facebook.com/profile.php?id=61575705099170</t>
        </is>
      </c>
      <c r="H14" s="433" t="n"/>
      <c r="I14" s="114" t="inlineStr">
        <is>
          <t>Quang Anh 3 - BM BS Hội - Hưng Việt</t>
        </is>
      </c>
      <c r="J14" s="104" t="n"/>
      <c r="K14" s="39" t="n"/>
      <c r="L14" s="39" t="n"/>
      <c r="M14" s="39" t="n"/>
      <c r="N14" s="39" t="n"/>
      <c r="O14" s="39" t="n"/>
      <c r="P14" s="39" t="n"/>
      <c r="Q14" s="39" t="n"/>
      <c r="R14" s="39" t="n"/>
      <c r="S14" s="39" t="n"/>
      <c r="T14" s="39" t="n"/>
      <c r="U14" s="39" t="n"/>
      <c r="V14" s="39" t="n"/>
      <c r="W14" s="39" t="n"/>
      <c r="X14" s="39" t="n"/>
      <c r="Y14" s="39" t="n"/>
      <c r="Z14" s="39" t="n"/>
      <c r="AA14" s="39" t="n"/>
    </row>
    <row r="15" ht="16.5" customHeight="1" s="405">
      <c r="A15" s="433" t="n"/>
      <c r="B15" s="433" t="n"/>
      <c r="C15" s="104" t="n"/>
      <c r="D15" s="104" t="n"/>
      <c r="E15" s="104" t="n"/>
      <c r="F15" s="123" t="n"/>
      <c r="G15" s="123" t="n"/>
      <c r="H15" s="124" t="inlineStr">
        <is>
          <t>Quang Anh ADS - Green Vita</t>
        </is>
      </c>
      <c r="I15" s="114" t="inlineStr">
        <is>
          <t>Quang Anh 1 +7</t>
        </is>
      </c>
      <c r="J15" s="104" t="n"/>
      <c r="K15" s="39" t="n"/>
      <c r="L15" s="39" t="n"/>
      <c r="M15" s="39" t="n"/>
      <c r="N15" s="39" t="n"/>
      <c r="O15" s="39" t="n"/>
      <c r="P15" s="39" t="n"/>
      <c r="Q15" s="39" t="n"/>
      <c r="R15" s="39" t="n"/>
      <c r="S15" s="39" t="n"/>
      <c r="T15" s="39" t="n"/>
      <c r="U15" s="39" t="n"/>
      <c r="V15" s="39" t="n"/>
      <c r="W15" s="39" t="n"/>
      <c r="X15" s="39" t="n"/>
      <c r="Y15" s="39" t="n"/>
      <c r="Z15" s="39" t="n"/>
      <c r="AA15" s="39" t="n"/>
    </row>
    <row r="16" ht="16.5" customHeight="1" s="405">
      <c r="A16" s="127" t="n">
        <v>4</v>
      </c>
      <c r="B16" s="127" t="inlineStr">
        <is>
          <t>Phạm Thế Hải</t>
        </is>
      </c>
      <c r="C16" s="127" t="inlineStr">
        <is>
          <t>phamthehai1494@gmail.com</t>
        </is>
      </c>
      <c r="D16" s="127" t="n"/>
      <c r="E16" s="127" t="n"/>
      <c r="F16" s="155" t="inlineStr">
        <is>
          <t>Bách Hội Chuyên Gia Dạ Dày &amp; Tiêu Hóa</t>
        </is>
      </c>
      <c r="G16" s="130" t="inlineStr">
        <is>
          <t>https://www.facebook.com/bachhoidadaytieuhoa</t>
        </is>
      </c>
      <c r="H16" s="132" t="inlineStr">
        <is>
          <t>BM BS Hội - Hưng Việt</t>
        </is>
      </c>
      <c r="I16" s="133" t="inlineStr">
        <is>
          <t>Phạm Hải 1 -BM BS Hội - Hưng Việt</t>
        </is>
      </c>
      <c r="J16" s="127" t="n"/>
      <c r="K16" s="39" t="n"/>
      <c r="L16" s="39" t="n"/>
      <c r="M16" s="39" t="n"/>
      <c r="N16" s="39" t="n"/>
      <c r="O16" s="39" t="n"/>
      <c r="P16" s="39" t="n"/>
      <c r="Q16" s="39" t="n"/>
      <c r="R16" s="39" t="n"/>
      <c r="S16" s="39" t="n"/>
      <c r="T16" s="39" t="n"/>
      <c r="U16" s="39" t="n"/>
      <c r="V16" s="39" t="n"/>
      <c r="W16" s="39" t="n"/>
      <c r="X16" s="39" t="n"/>
      <c r="Y16" s="39" t="n"/>
      <c r="Z16" s="39" t="n"/>
      <c r="AA16" s="39" t="n"/>
    </row>
    <row r="17" ht="16.5" customHeight="1" s="405">
      <c r="A17" s="436" t="n"/>
      <c r="B17" s="436" t="n"/>
      <c r="C17" s="127" t="n"/>
      <c r="D17" s="127" t="n"/>
      <c r="E17" s="127" t="n"/>
      <c r="F17" s="155" t="inlineStr">
        <is>
          <t>Bác sĩ Hội - Giải pháp chăm sóc tiêu hóa</t>
        </is>
      </c>
      <c r="G17" s="130" t="inlineStr">
        <is>
          <t>https://www.facebook.com/profile.php?id=61586412321740</t>
        </is>
      </c>
      <c r="H17" s="132" t="inlineStr">
        <is>
          <t>BM BS Hội - Hưng Việt</t>
        </is>
      </c>
      <c r="I17" s="133" t="inlineStr">
        <is>
          <t>Phạm Hải 2 -BM BS Hội - Hưng Việt</t>
        </is>
      </c>
      <c r="J17" s="127" t="n"/>
      <c r="K17" s="39" t="n"/>
      <c r="L17" s="39" t="n"/>
      <c r="M17" s="39" t="n"/>
      <c r="N17" s="39" t="n"/>
      <c r="O17" s="39" t="n"/>
      <c r="P17" s="39" t="n"/>
      <c r="Q17" s="39" t="n"/>
      <c r="R17" s="39" t="n"/>
      <c r="S17" s="39" t="n"/>
      <c r="T17" s="39" t="n"/>
      <c r="U17" s="39" t="n"/>
      <c r="V17" s="39" t="n"/>
      <c r="W17" s="39" t="n"/>
      <c r="X17" s="39" t="n"/>
      <c r="Y17" s="39" t="n"/>
      <c r="Z17" s="39" t="n"/>
      <c r="AA17" s="39" t="n"/>
    </row>
    <row r="18" ht="16.5" customHeight="1" s="405">
      <c r="A18" s="436" t="n"/>
      <c r="B18" s="436" t="n"/>
      <c r="C18" s="127" t="n"/>
      <c r="D18" s="127" t="n"/>
      <c r="E18" s="127" t="n"/>
      <c r="F18" s="155" t="inlineStr">
        <is>
          <t>Bác sĩ Hội - Chăm Sóc Sức Khỏe Đại Tràng Chuyên Sâu, Chuẩn Y Khoa</t>
        </is>
      </c>
      <c r="G18" s="130" t="inlineStr">
        <is>
          <t>https://www.facebook.com/bacsihoi.chamsocsuckhoedaitrangchuyensau</t>
        </is>
      </c>
      <c r="H18" s="132" t="inlineStr">
        <is>
          <t>BM BS Hội - Hưng Việt</t>
        </is>
      </c>
      <c r="I18" s="133" t="inlineStr">
        <is>
          <t>Phạm Hải 3 -BM BS Hội - Hưng Việt</t>
        </is>
      </c>
      <c r="J18" s="127" t="n"/>
      <c r="K18" s="39" t="n"/>
      <c r="L18" s="39" t="n"/>
      <c r="M18" s="39" t="n"/>
      <c r="N18" s="39" t="n"/>
      <c r="O18" s="39" t="n"/>
      <c r="P18" s="39" t="n"/>
      <c r="Q18" s="39" t="n"/>
      <c r="R18" s="39" t="n"/>
      <c r="S18" s="39" t="n"/>
      <c r="T18" s="39" t="n"/>
      <c r="U18" s="39" t="n"/>
      <c r="V18" s="39" t="n"/>
      <c r="W18" s="39" t="n"/>
      <c r="X18" s="39" t="n"/>
      <c r="Y18" s="39" t="n"/>
      <c r="Z18" s="39" t="n"/>
      <c r="AA18" s="39" t="n"/>
    </row>
    <row r="19" ht="16.5" customHeight="1" s="405">
      <c r="A19" s="433" t="n"/>
      <c r="B19" s="433" t="n"/>
      <c r="C19" s="127" t="n"/>
      <c r="D19" s="127" t="n"/>
      <c r="E19" s="127" t="n"/>
      <c r="F19" s="155" t="n"/>
      <c r="G19" s="155" t="n"/>
      <c r="H19" s="132" t="inlineStr">
        <is>
          <t>Bs Hội - BM Hải</t>
        </is>
      </c>
      <c r="I19" s="133" t="n">
        <v>632315609796394</v>
      </c>
      <c r="J19" s="127" t="n"/>
      <c r="K19" s="39" t="n"/>
      <c r="L19" s="39" t="n"/>
      <c r="M19" s="39" t="n"/>
      <c r="N19" s="39" t="n"/>
      <c r="O19" s="39" t="n"/>
      <c r="P19" s="39" t="n"/>
      <c r="Q19" s="39" t="n"/>
      <c r="R19" s="39" t="n"/>
      <c r="S19" s="39" t="n"/>
      <c r="T19" s="39" t="n"/>
      <c r="U19" s="39" t="n"/>
      <c r="V19" s="39" t="n"/>
      <c r="W19" s="39" t="n"/>
      <c r="X19" s="39" t="n"/>
      <c r="Y19" s="39" t="n"/>
      <c r="Z19" s="39" t="n"/>
      <c r="AA19" s="39" t="n"/>
    </row>
    <row r="20" ht="16.5" customHeight="1" s="405">
      <c r="A20" s="160" t="n">
        <v>5</v>
      </c>
      <c r="B20" s="160" t="inlineStr">
        <is>
          <t>Trần Quang Huy</t>
        </is>
      </c>
      <c r="C20" s="160" t="inlineStr">
        <is>
          <t>tuitenbear@gmail.com</t>
        </is>
      </c>
      <c r="D20" s="160" t="n"/>
      <c r="E20" s="160" t="n"/>
      <c r="F20" s="161" t="inlineStr">
        <is>
          <t>Bác sĩ Hội - Dạ dày &amp; Tiêu hóa</t>
        </is>
      </c>
      <c r="G20" s="163" t="inlineStr">
        <is>
          <t>https://www.facebook.com/bacsihoidaday/</t>
        </is>
      </c>
      <c r="H20" s="437" t="inlineStr">
        <is>
          <t xml:space="preserve">Hoàng Anh ADS - Green Vita
</t>
        </is>
      </c>
      <c r="I20" s="164" t="inlineStr">
        <is>
          <t xml:space="preserve"> Quang Huy 3 - Hưng Việt</t>
        </is>
      </c>
      <c r="J20" s="160" t="n"/>
      <c r="K20" s="39" t="n"/>
      <c r="L20" s="39" t="n"/>
      <c r="M20" s="39" t="n"/>
      <c r="N20" s="39" t="n"/>
      <c r="O20" s="39" t="n"/>
      <c r="P20" s="39" t="n"/>
      <c r="Q20" s="39" t="n"/>
      <c r="R20" s="39" t="n"/>
      <c r="S20" s="39" t="n"/>
      <c r="T20" s="39" t="n"/>
      <c r="U20" s="39" t="n"/>
      <c r="V20" s="39" t="n"/>
      <c r="W20" s="39" t="n"/>
      <c r="X20" s="39" t="n"/>
      <c r="Y20" s="39" t="n"/>
      <c r="Z20" s="39" t="n"/>
      <c r="AA20" s="39" t="n"/>
    </row>
    <row r="21" ht="16.5" customHeight="1" s="405">
      <c r="A21" s="436" t="n"/>
      <c r="B21" s="436" t="n"/>
      <c r="C21" s="160" t="n"/>
      <c r="D21" s="160" t="n"/>
      <c r="E21" s="160" t="n"/>
      <c r="F21" s="161" t="inlineStr">
        <is>
          <t>Dr Bách Hội</t>
        </is>
      </c>
      <c r="G21" s="163" t="inlineStr">
        <is>
          <t>https://www.facebook.com/bacsihoichuyendaday/</t>
        </is>
      </c>
      <c r="H21" s="436" t="n"/>
      <c r="I21" s="164" t="inlineStr">
        <is>
          <t>Quang Huy 2 - Hưng Việt</t>
        </is>
      </c>
      <c r="J21" s="160" t="n"/>
      <c r="K21" s="39" t="n"/>
      <c r="L21" s="39" t="n"/>
      <c r="M21" s="39" t="n"/>
      <c r="N21" s="39" t="n"/>
      <c r="O21" s="39" t="n"/>
      <c r="P21" s="39" t="n"/>
      <c r="Q21" s="39" t="n"/>
      <c r="R21" s="39" t="n"/>
      <c r="S21" s="39" t="n"/>
      <c r="T21" s="39" t="n"/>
      <c r="U21" s="39" t="n"/>
      <c r="V21" s="39" t="n"/>
      <c r="W21" s="39" t="n"/>
      <c r="X21" s="39" t="n"/>
      <c r="Y21" s="39" t="n"/>
      <c r="Z21" s="39" t="n"/>
      <c r="AA21" s="39" t="n"/>
    </row>
    <row r="22" ht="16.5" customHeight="1" s="405">
      <c r="A22" s="436" t="n"/>
      <c r="B22" s="436" t="n"/>
      <c r="C22" s="160" t="n"/>
      <c r="D22" s="160" t="n"/>
      <c r="E22" s="160" t="n"/>
      <c r="F22" s="161" t="inlineStr">
        <is>
          <t>Bác Sĩ Hội Tiêu Hóa Đại Tràng</t>
        </is>
      </c>
      <c r="G22" s="163" t="inlineStr">
        <is>
          <t>https://www.facebook.com/profile.php?id=61562973388499&amp;locale=vi_VN</t>
        </is>
      </c>
      <c r="H22" s="436" t="n"/>
      <c r="I22" s="164" t="inlineStr">
        <is>
          <t>Quang Huy 1 - Hưng Việt</t>
        </is>
      </c>
      <c r="J22" s="160" t="n"/>
      <c r="K22" s="39" t="n"/>
      <c r="L22" s="39" t="n"/>
      <c r="M22" s="39" t="n"/>
      <c r="N22" s="39" t="n"/>
      <c r="O22" s="39" t="n"/>
      <c r="P22" s="39" t="n"/>
      <c r="Q22" s="39" t="n"/>
      <c r="R22" s="39" t="n"/>
      <c r="S22" s="39" t="n"/>
      <c r="T22" s="39" t="n"/>
      <c r="U22" s="39" t="n"/>
      <c r="V22" s="39" t="n"/>
      <c r="W22" s="39" t="n"/>
      <c r="X22" s="39" t="n"/>
      <c r="Y22" s="39" t="n"/>
      <c r="Z22" s="39" t="n"/>
      <c r="AA22" s="39" t="n"/>
    </row>
    <row r="23" ht="16.5" customHeight="1" s="405">
      <c r="A23" s="433" t="n"/>
      <c r="B23" s="433" t="n"/>
      <c r="C23" s="160" t="n"/>
      <c r="D23" s="160" t="n"/>
      <c r="E23" s="160" t="n"/>
      <c r="F23" s="161" t="inlineStr">
        <is>
          <t>Dạ Dày Khỏe Cùng Bác Sĩ Hội</t>
        </is>
      </c>
      <c r="G23" s="163" t="inlineStr">
        <is>
          <t>https://www.facebook.com/profile.php?id=61578593195386</t>
        </is>
      </c>
      <c r="H23" s="433" t="n"/>
      <c r="I23" s="164" t="inlineStr">
        <is>
          <t>01 Quang Huy ADS (+8)</t>
        </is>
      </c>
      <c r="J23" s="160" t="n"/>
      <c r="K23" s="39" t="n"/>
      <c r="L23" s="39" t="n"/>
      <c r="M23" s="39" t="n"/>
      <c r="N23" s="39" t="n"/>
      <c r="O23" s="39" t="n"/>
      <c r="P23" s="39" t="n"/>
      <c r="Q23" s="39" t="n"/>
      <c r="R23" s="39" t="n"/>
      <c r="S23" s="39" t="n"/>
      <c r="T23" s="39" t="n"/>
      <c r="U23" s="39" t="n"/>
      <c r="V23" s="39" t="n"/>
      <c r="W23" s="39" t="n"/>
      <c r="X23" s="39" t="n"/>
      <c r="Y23" s="39" t="n"/>
      <c r="Z23" s="39" t="n"/>
      <c r="AA23" s="39" t="n"/>
    </row>
    <row r="24" ht="16.5" customHeight="1" s="405">
      <c r="A24" s="167" t="n">
        <v>6</v>
      </c>
      <c r="B24" s="167" t="inlineStr">
        <is>
          <t>Đỗ Quốc Anh</t>
        </is>
      </c>
      <c r="C24" s="167" t="inlineStr">
        <is>
          <t>doqanh2011@gmail.com</t>
        </is>
      </c>
      <c r="D24" s="167" t="n"/>
      <c r="E24" s="167" t="n"/>
      <c r="F24" s="176" t="inlineStr">
        <is>
          <t>Bác Sĩ Hội - BSCKI. Khoa Tiêu Hóa</t>
        </is>
      </c>
      <c r="G24" s="172" t="inlineStr">
        <is>
          <t>https://www.facebook.com/KhoaTieuHoa.BacSiHoi?locale=vi_VN</t>
        </is>
      </c>
      <c r="H24" s="173" t="inlineStr">
        <is>
          <t>Quốc Anh ADS - Green Vita</t>
        </is>
      </c>
      <c r="I24" s="175" t="inlineStr">
        <is>
          <t>01 Quốc Anh ADS (+8)</t>
        </is>
      </c>
      <c r="J24" s="167" t="n"/>
      <c r="K24" s="39" t="n"/>
      <c r="L24" s="39" t="n"/>
      <c r="M24" s="39" t="n"/>
      <c r="N24" s="39" t="n"/>
      <c r="O24" s="39" t="n"/>
      <c r="P24" s="39" t="n"/>
      <c r="Q24" s="39" t="n"/>
      <c r="R24" s="39" t="n"/>
      <c r="S24" s="39" t="n"/>
      <c r="T24" s="39" t="n"/>
      <c r="U24" s="39" t="n"/>
      <c r="V24" s="39" t="n"/>
      <c r="W24" s="39" t="n"/>
      <c r="X24" s="39" t="n"/>
      <c r="Y24" s="39" t="n"/>
      <c r="Z24" s="39" t="n"/>
      <c r="AA24" s="39" t="n"/>
    </row>
    <row r="25" ht="16.5" customHeight="1" s="405">
      <c r="A25" s="436" t="n"/>
      <c r="B25" s="436" t="n"/>
      <c r="C25" s="167" t="n"/>
      <c r="D25" s="167" t="n"/>
      <c r="E25" s="167" t="n"/>
      <c r="F25" s="176" t="inlineStr">
        <is>
          <t>Bác sĩ Hội - Chuyên gia phục hồi sức khỏe dạy dày bền vững</t>
        </is>
      </c>
      <c r="G25" s="177" t="inlineStr">
        <is>
          <t xml:space="preserve">https://www.facebook.com/profile.php?id=61560743115486  </t>
        </is>
      </c>
      <c r="H25" s="173" t="inlineStr">
        <is>
          <t xml:space="preserve">BM BS Hội - Hưng Việt
</t>
        </is>
      </c>
      <c r="I25" s="175" t="inlineStr">
        <is>
          <t>Quốc Anh 1 - Hưng Việt</t>
        </is>
      </c>
      <c r="J25" s="167" t="n"/>
      <c r="K25" s="39" t="n"/>
      <c r="L25" s="39" t="n"/>
      <c r="M25" s="39" t="n"/>
      <c r="N25" s="39" t="n"/>
      <c r="O25" s="39" t="n"/>
      <c r="P25" s="39" t="n"/>
      <c r="Q25" s="39" t="n"/>
      <c r="R25" s="39" t="n"/>
      <c r="S25" s="39" t="n"/>
      <c r="T25" s="39" t="n"/>
      <c r="U25" s="39" t="n"/>
      <c r="V25" s="39" t="n"/>
      <c r="W25" s="39" t="n"/>
      <c r="X25" s="39" t="n"/>
      <c r="Y25" s="39" t="n"/>
      <c r="Z25" s="39" t="n"/>
      <c r="AA25" s="39" t="n"/>
    </row>
    <row r="26" ht="16.5" customHeight="1" s="405">
      <c r="A26" s="436" t="n"/>
      <c r="B26" s="436" t="n"/>
      <c r="C26" s="167" t="n"/>
      <c r="D26" s="167" t="n"/>
      <c r="E26" s="167" t="n"/>
      <c r="F26" s="176" t="n"/>
      <c r="G26" s="176" t="n"/>
      <c r="H26" s="436" t="n"/>
      <c r="I26" s="175" t="inlineStr">
        <is>
          <t>Quốc Anh 2 - Hưng Việt</t>
        </is>
      </c>
      <c r="J26" s="167" t="n"/>
      <c r="K26" s="39" t="n"/>
      <c r="L26" s="39" t="n"/>
      <c r="M26" s="39" t="n"/>
      <c r="N26" s="39" t="n"/>
      <c r="O26" s="39" t="n"/>
      <c r="P26" s="39" t="n"/>
      <c r="Q26" s="39" t="n"/>
      <c r="R26" s="39" t="n"/>
      <c r="S26" s="39" t="n"/>
      <c r="T26" s="39" t="n"/>
      <c r="U26" s="39" t="n"/>
      <c r="V26" s="39" t="n"/>
      <c r="W26" s="39" t="n"/>
      <c r="X26" s="39" t="n"/>
      <c r="Y26" s="39" t="n"/>
      <c r="Z26" s="39" t="n"/>
      <c r="AA26" s="39" t="n"/>
    </row>
    <row r="27" ht="16.5" customHeight="1" s="405">
      <c r="A27" s="433" t="n"/>
      <c r="B27" s="433" t="n"/>
      <c r="C27" s="167" t="n"/>
      <c r="D27" s="167" t="n"/>
      <c r="E27" s="167" t="n"/>
      <c r="F27" s="176" t="n"/>
      <c r="G27" s="176" t="n"/>
      <c r="H27" s="433" t="n"/>
      <c r="I27" s="175" t="inlineStr">
        <is>
          <t>Quốc Anh 3 - Hưng Việt</t>
        </is>
      </c>
      <c r="J27" s="167" t="n"/>
      <c r="K27" s="39" t="n"/>
      <c r="L27" s="39" t="n"/>
      <c r="M27" s="39" t="n"/>
      <c r="N27" s="39" t="n"/>
      <c r="O27" s="39" t="n"/>
      <c r="P27" s="39" t="n"/>
      <c r="Q27" s="39" t="n"/>
      <c r="R27" s="39" t="n"/>
      <c r="S27" s="39" t="n"/>
      <c r="T27" s="39" t="n"/>
      <c r="U27" s="39" t="n"/>
      <c r="V27" s="39" t="n"/>
      <c r="W27" s="39" t="n"/>
      <c r="X27" s="39" t="n"/>
      <c r="Y27" s="39" t="n"/>
      <c r="Z27" s="39" t="n"/>
      <c r="AA27" s="39" t="n"/>
    </row>
    <row r="28" ht="16.5" customHeight="1" s="405">
      <c r="A28" s="188" t="n">
        <v>7</v>
      </c>
      <c r="B28" s="188" t="inlineStr">
        <is>
          <t>Nguyễn Văn Lý</t>
        </is>
      </c>
      <c r="C28" s="188" t="inlineStr">
        <is>
          <t>lyn74502@gmail.com</t>
        </is>
      </c>
      <c r="D28" s="188" t="n"/>
      <c r="E28" s="188" t="n"/>
      <c r="F28" s="195" t="inlineStr">
        <is>
          <t xml:space="preserve">Bác sĩ Hội - Chuyên Gia Phục Hồi Về Sức Khỏe Đại Tràng 
</t>
        </is>
      </c>
      <c r="G28" s="191" t="inlineStr">
        <is>
          <t>https://www.facebook.com/profile.php?id=61589456031276</t>
        </is>
      </c>
      <c r="H28" s="192" t="inlineStr">
        <is>
          <t>BM BS Hội - Hưng Việt</t>
        </is>
      </c>
      <c r="I28" s="193" t="inlineStr">
        <is>
          <t>Lý 1 -BM BS Hội - Hưng Việt</t>
        </is>
      </c>
      <c r="J28" s="188" t="n"/>
      <c r="K28" s="39" t="n"/>
      <c r="L28" s="39" t="n"/>
      <c r="M28" s="39" t="n"/>
      <c r="N28" s="39" t="n"/>
      <c r="O28" s="39" t="n"/>
      <c r="P28" s="39" t="n"/>
      <c r="Q28" s="39" t="n"/>
      <c r="R28" s="39" t="n"/>
      <c r="S28" s="39" t="n"/>
      <c r="T28" s="39" t="n"/>
      <c r="U28" s="39" t="n"/>
      <c r="V28" s="39" t="n"/>
      <c r="W28" s="39" t="n"/>
      <c r="X28" s="39" t="n"/>
      <c r="Y28" s="39" t="n"/>
      <c r="Z28" s="39" t="n"/>
      <c r="AA28" s="39" t="n"/>
    </row>
    <row r="29" ht="16.5" customHeight="1" s="405">
      <c r="A29" s="436" t="n"/>
      <c r="B29" s="436" t="n"/>
      <c r="C29" s="188" t="n"/>
      <c r="D29" s="188" t="n"/>
      <c r="E29" s="188" t="n"/>
      <c r="F29" s="195" t="n"/>
      <c r="G29" s="195" t="n"/>
      <c r="H29" s="192" t="inlineStr">
        <is>
          <t>Lý Nguyễn ADS - Green Vita</t>
        </is>
      </c>
      <c r="I29" s="193" t="inlineStr">
        <is>
          <t>Lý ADS - Green Vita 01</t>
        </is>
      </c>
      <c r="J29" s="188" t="n"/>
      <c r="K29" s="39" t="n"/>
      <c r="L29" s="39" t="n"/>
      <c r="M29" s="39" t="n"/>
      <c r="N29" s="39" t="n"/>
      <c r="O29" s="39" t="n"/>
      <c r="P29" s="39" t="n"/>
      <c r="Q29" s="39" t="n"/>
      <c r="R29" s="39" t="n"/>
      <c r="S29" s="39" t="n"/>
      <c r="T29" s="39" t="n"/>
      <c r="U29" s="39" t="n"/>
      <c r="V29" s="39" t="n"/>
      <c r="W29" s="39" t="n"/>
      <c r="X29" s="39" t="n"/>
      <c r="Y29" s="39" t="n"/>
      <c r="Z29" s="39" t="n"/>
      <c r="AA29" s="39" t="n"/>
    </row>
    <row r="30" ht="16.5" customHeight="1" s="405">
      <c r="A30" s="436" t="n"/>
      <c r="B30" s="436" t="n"/>
      <c r="C30" s="188" t="n"/>
      <c r="D30" s="188" t="n"/>
      <c r="E30" s="188" t="n"/>
      <c r="F30" s="195" t="n"/>
      <c r="G30" s="195" t="n"/>
      <c r="H30" s="436" t="n"/>
      <c r="I30" s="193" t="inlineStr">
        <is>
          <t>Lý ADS - Green Vita 02</t>
        </is>
      </c>
      <c r="J30" s="188" t="n"/>
      <c r="K30" s="39" t="n"/>
      <c r="L30" s="39" t="n"/>
      <c r="M30" s="39" t="n"/>
      <c r="N30" s="39" t="n"/>
      <c r="O30" s="39" t="n"/>
      <c r="P30" s="39" t="n"/>
      <c r="Q30" s="39" t="n"/>
      <c r="R30" s="39" t="n"/>
      <c r="S30" s="39" t="n"/>
      <c r="T30" s="39" t="n"/>
      <c r="U30" s="39" t="n"/>
      <c r="V30" s="39" t="n"/>
      <c r="W30" s="39" t="n"/>
      <c r="X30" s="39" t="n"/>
      <c r="Y30" s="39" t="n"/>
      <c r="Z30" s="39" t="n"/>
      <c r="AA30" s="39" t="n"/>
    </row>
    <row r="31" ht="16.5" customHeight="1" s="405">
      <c r="A31" s="433" t="n"/>
      <c r="B31" s="433" t="n"/>
      <c r="C31" s="188" t="n"/>
      <c r="D31" s="188" t="n"/>
      <c r="E31" s="188" t="n"/>
      <c r="F31" s="195" t="n"/>
      <c r="G31" s="195" t="n"/>
      <c r="H31" s="433" t="n"/>
      <c r="I31" s="193" t="inlineStr">
        <is>
          <t>Lý ADS - Green Vita 03</t>
        </is>
      </c>
      <c r="J31" s="188" t="n"/>
      <c r="K31" s="39" t="n"/>
      <c r="L31" s="39" t="n"/>
      <c r="M31" s="39" t="n"/>
      <c r="N31" s="39" t="n"/>
      <c r="O31" s="39" t="n"/>
      <c r="P31" s="39" t="n"/>
      <c r="Q31" s="39" t="n"/>
      <c r="R31" s="39" t="n"/>
      <c r="S31" s="39" t="n"/>
      <c r="T31" s="39" t="n"/>
      <c r="U31" s="39" t="n"/>
      <c r="V31" s="39" t="n"/>
      <c r="W31" s="39" t="n"/>
      <c r="X31" s="39" t="n"/>
      <c r="Y31" s="39" t="n"/>
      <c r="Z31" s="39" t="n"/>
      <c r="AA31" s="39" t="n"/>
    </row>
    <row r="32" ht="16.5" customHeight="1" s="405">
      <c r="A32" s="197" t="n">
        <v>8</v>
      </c>
      <c r="B32" s="197" t="n"/>
      <c r="C32" s="197" t="n"/>
      <c r="D32" s="197" t="n"/>
      <c r="E32" s="197" t="n"/>
      <c r="F32" s="198" t="n"/>
      <c r="G32" s="198" t="n"/>
      <c r="H32" s="200" t="n"/>
      <c r="I32" s="201" t="n"/>
      <c r="J32" s="197" t="n"/>
      <c r="K32" s="202" t="n"/>
      <c r="L32" s="202" t="n"/>
      <c r="M32" s="202" t="n"/>
      <c r="N32" s="202" t="n"/>
      <c r="O32" s="202" t="n"/>
      <c r="P32" s="202" t="n"/>
      <c r="Q32" s="202" t="n"/>
      <c r="R32" s="202" t="n"/>
      <c r="S32" s="202" t="n"/>
      <c r="T32" s="202" t="n"/>
      <c r="U32" s="202" t="n"/>
      <c r="V32" s="202" t="n"/>
      <c r="W32" s="202" t="n"/>
      <c r="X32" s="202" t="n"/>
      <c r="Y32" s="202" t="n"/>
      <c r="Z32" s="202" t="n"/>
      <c r="AA32" s="202" t="n"/>
    </row>
    <row r="33" ht="16.5" customHeight="1" s="405">
      <c r="A33" s="436" t="n"/>
      <c r="B33" s="436" t="n"/>
      <c r="C33" s="197" t="n"/>
      <c r="D33" s="197" t="n"/>
      <c r="E33" s="197" t="n"/>
      <c r="F33" s="198" t="n"/>
      <c r="G33" s="198" t="n"/>
      <c r="H33" s="200" t="n"/>
      <c r="I33" s="201" t="n"/>
      <c r="J33" s="197" t="n"/>
      <c r="K33" s="202" t="n"/>
      <c r="L33" s="202" t="n"/>
      <c r="M33" s="202" t="n"/>
      <c r="N33" s="202" t="n"/>
      <c r="O33" s="202" t="n"/>
      <c r="P33" s="202" t="n"/>
      <c r="Q33" s="202" t="n"/>
      <c r="R33" s="202" t="n"/>
      <c r="S33" s="202" t="n"/>
      <c r="T33" s="202" t="n"/>
      <c r="U33" s="202" t="n"/>
      <c r="V33" s="202" t="n"/>
      <c r="W33" s="202" t="n"/>
      <c r="X33" s="202" t="n"/>
      <c r="Y33" s="202" t="n"/>
      <c r="Z33" s="202" t="n"/>
      <c r="AA33" s="202" t="n"/>
    </row>
    <row r="34" ht="16.5" customHeight="1" s="405">
      <c r="A34" s="436" t="n"/>
      <c r="B34" s="436" t="n"/>
      <c r="C34" s="197" t="n"/>
      <c r="D34" s="197" t="n"/>
      <c r="E34" s="197" t="n"/>
      <c r="F34" s="198" t="n"/>
      <c r="G34" s="198" t="n"/>
      <c r="H34" s="200" t="n"/>
      <c r="I34" s="201" t="n"/>
      <c r="J34" s="197" t="n"/>
      <c r="K34" s="202" t="n"/>
      <c r="L34" s="202" t="n"/>
      <c r="M34" s="202" t="n"/>
      <c r="N34" s="202" t="n"/>
      <c r="O34" s="202" t="n"/>
      <c r="P34" s="202" t="n"/>
      <c r="Q34" s="202" t="n"/>
      <c r="R34" s="202" t="n"/>
      <c r="S34" s="202" t="n"/>
      <c r="T34" s="202" t="n"/>
      <c r="U34" s="202" t="n"/>
      <c r="V34" s="202" t="n"/>
      <c r="W34" s="202" t="n"/>
      <c r="X34" s="202" t="n"/>
      <c r="Y34" s="202" t="n"/>
      <c r="Z34" s="202" t="n"/>
      <c r="AA34" s="202" t="n"/>
    </row>
    <row r="35" ht="16.5" customHeight="1" s="405">
      <c r="A35" s="433" t="n"/>
      <c r="B35" s="433" t="n"/>
      <c r="C35" s="197" t="n"/>
      <c r="D35" s="197" t="n"/>
      <c r="E35" s="197" t="n"/>
      <c r="F35" s="198" t="n"/>
      <c r="G35" s="198" t="n"/>
      <c r="H35" s="200" t="n"/>
      <c r="I35" s="201" t="n"/>
      <c r="J35" s="197" t="n"/>
      <c r="K35" s="202" t="n"/>
      <c r="L35" s="202" t="n"/>
      <c r="M35" s="202" t="n"/>
      <c r="N35" s="202" t="n"/>
      <c r="O35" s="202" t="n"/>
      <c r="P35" s="202" t="n"/>
      <c r="Q35" s="202" t="n"/>
      <c r="R35" s="202" t="n"/>
      <c r="S35" s="202" t="n"/>
      <c r="T35" s="202" t="n"/>
      <c r="U35" s="202" t="n"/>
      <c r="V35" s="202" t="n"/>
      <c r="W35" s="202" t="n"/>
      <c r="X35" s="202" t="n"/>
      <c r="Y35" s="202" t="n"/>
      <c r="Z35" s="202" t="n"/>
      <c r="AA35" s="202" t="n"/>
    </row>
    <row r="36" ht="16.5" customHeight="1" s="405">
      <c r="A36" s="197" t="n">
        <v>9</v>
      </c>
      <c r="B36" s="197" t="n"/>
      <c r="C36" s="197" t="n"/>
      <c r="D36" s="197" t="n"/>
      <c r="E36" s="197" t="n"/>
      <c r="F36" s="198" t="n"/>
      <c r="G36" s="198" t="n"/>
      <c r="H36" s="200" t="n"/>
      <c r="I36" s="201" t="n"/>
      <c r="J36" s="197" t="n"/>
      <c r="K36" s="202" t="n"/>
      <c r="L36" s="202" t="n"/>
      <c r="M36" s="202" t="n"/>
      <c r="N36" s="202" t="n"/>
      <c r="O36" s="202" t="n"/>
      <c r="P36" s="202" t="n"/>
      <c r="Q36" s="202" t="n"/>
      <c r="R36" s="202" t="n"/>
      <c r="S36" s="202" t="n"/>
      <c r="T36" s="202" t="n"/>
      <c r="U36" s="202" t="n"/>
      <c r="V36" s="202" t="n"/>
      <c r="W36" s="202" t="n"/>
      <c r="X36" s="202" t="n"/>
      <c r="Y36" s="202" t="n"/>
      <c r="Z36" s="202" t="n"/>
      <c r="AA36" s="202" t="n"/>
    </row>
    <row r="37" ht="16.5" customHeight="1" s="405">
      <c r="A37" s="436" t="n"/>
      <c r="B37" s="436" t="n"/>
      <c r="C37" s="197" t="n"/>
      <c r="D37" s="197" t="n"/>
      <c r="E37" s="197" t="n"/>
      <c r="F37" s="198" t="n"/>
      <c r="G37" s="198" t="n"/>
      <c r="H37" s="200" t="n"/>
      <c r="I37" s="197" t="n"/>
      <c r="J37" s="197" t="n"/>
      <c r="K37" s="202" t="n"/>
      <c r="L37" s="202" t="n"/>
      <c r="M37" s="202" t="n"/>
      <c r="N37" s="202" t="n"/>
      <c r="O37" s="202" t="n"/>
      <c r="P37" s="202" t="n"/>
      <c r="Q37" s="202" t="n"/>
      <c r="R37" s="202" t="n"/>
      <c r="S37" s="202" t="n"/>
      <c r="T37" s="202" t="n"/>
      <c r="U37" s="202" t="n"/>
      <c r="V37" s="202" t="n"/>
      <c r="W37" s="202" t="n"/>
      <c r="X37" s="202" t="n"/>
      <c r="Y37" s="202" t="n"/>
      <c r="Z37" s="202" t="n"/>
      <c r="AA37" s="202" t="n"/>
    </row>
    <row r="38" ht="16.5" customHeight="1" s="405">
      <c r="A38" s="436" t="n"/>
      <c r="B38" s="436" t="n"/>
      <c r="C38" s="197" t="n"/>
      <c r="D38" s="197" t="n"/>
      <c r="E38" s="197" t="n"/>
      <c r="F38" s="198" t="n"/>
      <c r="G38" s="198" t="n"/>
      <c r="H38" s="200" t="n"/>
      <c r="I38" s="197" t="n"/>
      <c r="J38" s="197" t="n"/>
      <c r="K38" s="202" t="n"/>
      <c r="L38" s="202" t="n"/>
      <c r="M38" s="202" t="n"/>
      <c r="N38" s="202" t="n"/>
      <c r="O38" s="202" t="n"/>
      <c r="P38" s="202" t="n"/>
      <c r="Q38" s="202" t="n"/>
      <c r="R38" s="202" t="n"/>
      <c r="S38" s="202" t="n"/>
      <c r="T38" s="202" t="n"/>
      <c r="U38" s="202" t="n"/>
      <c r="V38" s="202" t="n"/>
      <c r="W38" s="202" t="n"/>
      <c r="X38" s="202" t="n"/>
      <c r="Y38" s="202" t="n"/>
      <c r="Z38" s="202" t="n"/>
      <c r="AA38" s="202" t="n"/>
    </row>
    <row r="39" ht="16.5" customHeight="1" s="405">
      <c r="A39" s="433" t="n"/>
      <c r="B39" s="433" t="n"/>
      <c r="C39" s="197" t="n"/>
      <c r="D39" s="197" t="n"/>
      <c r="E39" s="197" t="n"/>
      <c r="F39" s="198" t="n"/>
      <c r="G39" s="198" t="n"/>
      <c r="H39" s="200" t="n"/>
      <c r="I39" s="197" t="n"/>
      <c r="J39" s="197" t="n"/>
      <c r="K39" s="202" t="n"/>
      <c r="L39" s="202" t="n"/>
      <c r="M39" s="202" t="n"/>
      <c r="N39" s="202" t="n"/>
      <c r="O39" s="202" t="n"/>
      <c r="P39" s="202" t="n"/>
      <c r="Q39" s="202" t="n"/>
      <c r="R39" s="202" t="n"/>
      <c r="S39" s="202" t="n"/>
      <c r="T39" s="202" t="n"/>
      <c r="U39" s="202" t="n"/>
      <c r="V39" s="202" t="n"/>
      <c r="W39" s="202" t="n"/>
      <c r="X39" s="202" t="n"/>
      <c r="Y39" s="202" t="n"/>
      <c r="Z39" s="202" t="n"/>
      <c r="AA39" s="202" t="n"/>
    </row>
    <row r="40" ht="16.5" customHeight="1" s="405">
      <c r="A40" s="197" t="n">
        <v>10</v>
      </c>
      <c r="B40" s="197" t="n"/>
      <c r="C40" s="197" t="n"/>
      <c r="D40" s="197" t="n"/>
      <c r="E40" s="197" t="n"/>
      <c r="F40" s="198" t="n"/>
      <c r="G40" s="198" t="n"/>
      <c r="H40" s="207" t="n"/>
      <c r="I40" s="197" t="n"/>
      <c r="J40" s="197" t="n"/>
      <c r="K40" s="202" t="n"/>
      <c r="L40" s="202" t="n"/>
      <c r="M40" s="202" t="n"/>
      <c r="N40" s="202" t="n"/>
      <c r="O40" s="202" t="n"/>
      <c r="P40" s="202" t="n"/>
      <c r="Q40" s="202" t="n"/>
      <c r="R40" s="202" t="n"/>
      <c r="S40" s="202" t="n"/>
      <c r="T40" s="202" t="n"/>
      <c r="U40" s="202" t="n"/>
      <c r="V40" s="202" t="n"/>
      <c r="W40" s="202" t="n"/>
      <c r="X40" s="202" t="n"/>
      <c r="Y40" s="202" t="n"/>
      <c r="Z40" s="202" t="n"/>
      <c r="AA40" s="202" t="n"/>
    </row>
    <row r="41" ht="16.5" customHeight="1" s="405">
      <c r="A41" s="436" t="n"/>
      <c r="B41" s="436" t="n"/>
      <c r="C41" s="197" t="n"/>
      <c r="D41" s="197" t="n"/>
      <c r="E41" s="197" t="n"/>
      <c r="F41" s="198" t="n"/>
      <c r="G41" s="198" t="n"/>
      <c r="H41" s="207" t="n"/>
      <c r="I41" s="197" t="n"/>
      <c r="J41" s="197" t="n"/>
      <c r="K41" s="202" t="n"/>
      <c r="L41" s="202" t="n"/>
      <c r="M41" s="202" t="n"/>
      <c r="N41" s="202" t="n"/>
      <c r="O41" s="202" t="n"/>
      <c r="P41" s="202" t="n"/>
      <c r="Q41" s="202" t="n"/>
      <c r="R41" s="202" t="n"/>
      <c r="S41" s="202" t="n"/>
      <c r="T41" s="202" t="n"/>
      <c r="U41" s="202" t="n"/>
      <c r="V41" s="202" t="n"/>
      <c r="W41" s="202" t="n"/>
      <c r="X41" s="202" t="n"/>
      <c r="Y41" s="202" t="n"/>
      <c r="Z41" s="202" t="n"/>
      <c r="AA41" s="202" t="n"/>
    </row>
    <row r="42" ht="16.5" customHeight="1" s="405">
      <c r="A42" s="436" t="n"/>
      <c r="B42" s="436" t="n"/>
      <c r="C42" s="197" t="n"/>
      <c r="D42" s="197" t="n"/>
      <c r="E42" s="197" t="n"/>
      <c r="F42" s="198" t="n"/>
      <c r="G42" s="198" t="n"/>
      <c r="H42" s="207" t="n"/>
      <c r="I42" s="197" t="n"/>
      <c r="J42" s="197" t="n"/>
      <c r="K42" s="202" t="n"/>
      <c r="L42" s="202" t="n"/>
      <c r="M42" s="202" t="n"/>
      <c r="N42" s="202" t="n"/>
      <c r="O42" s="202" t="n"/>
      <c r="P42" s="202" t="n"/>
      <c r="Q42" s="202" t="n"/>
      <c r="R42" s="202" t="n"/>
      <c r="S42" s="202" t="n"/>
      <c r="T42" s="202" t="n"/>
      <c r="U42" s="202" t="n"/>
      <c r="V42" s="202" t="n"/>
      <c r="W42" s="202" t="n"/>
      <c r="X42" s="202" t="n"/>
      <c r="Y42" s="202" t="n"/>
      <c r="Z42" s="202" t="n"/>
      <c r="AA42" s="202" t="n"/>
    </row>
    <row r="43" ht="16.5" customHeight="1" s="405">
      <c r="A43" s="433" t="n"/>
      <c r="B43" s="433" t="n"/>
      <c r="C43" s="197" t="n"/>
      <c r="D43" s="197" t="n"/>
      <c r="E43" s="197" t="n"/>
      <c r="F43" s="198" t="n"/>
      <c r="G43" s="198" t="n"/>
      <c r="H43" s="207" t="n"/>
      <c r="I43" s="197" t="n"/>
      <c r="J43" s="197" t="n"/>
      <c r="K43" s="202" t="n"/>
      <c r="L43" s="202" t="n"/>
      <c r="M43" s="202" t="n"/>
      <c r="N43" s="202" t="n"/>
      <c r="O43" s="202" t="n"/>
      <c r="P43" s="202" t="n"/>
      <c r="Q43" s="202" t="n"/>
      <c r="R43" s="202" t="n"/>
      <c r="S43" s="202" t="n"/>
      <c r="T43" s="202" t="n"/>
      <c r="U43" s="202" t="n"/>
      <c r="V43" s="202" t="n"/>
      <c r="W43" s="202" t="n"/>
      <c r="X43" s="202" t="n"/>
      <c r="Y43" s="202" t="n"/>
      <c r="Z43" s="202" t="n"/>
      <c r="AA43" s="202" t="n"/>
    </row>
    <row r="44" ht="16.5" customHeight="1" s="405">
      <c r="A44" s="197" t="n">
        <v>11</v>
      </c>
      <c r="B44" s="197" t="n"/>
      <c r="C44" s="197" t="n"/>
      <c r="D44" s="197" t="n"/>
      <c r="E44" s="197" t="n"/>
      <c r="F44" s="198" t="n"/>
      <c r="G44" s="198" t="n"/>
      <c r="H44" s="207" t="n"/>
      <c r="I44" s="197" t="n"/>
      <c r="J44" s="197" t="n"/>
      <c r="K44" s="202" t="n"/>
      <c r="L44" s="202" t="n"/>
      <c r="M44" s="202" t="n"/>
      <c r="N44" s="202" t="n"/>
      <c r="O44" s="202" t="n"/>
      <c r="P44" s="202" t="n"/>
      <c r="Q44" s="202" t="n"/>
      <c r="R44" s="202" t="n"/>
      <c r="S44" s="202" t="n"/>
      <c r="T44" s="202" t="n"/>
      <c r="U44" s="202" t="n"/>
      <c r="V44" s="202" t="n"/>
      <c r="W44" s="202" t="n"/>
      <c r="X44" s="202" t="n"/>
      <c r="Y44" s="202" t="n"/>
      <c r="Z44" s="202" t="n"/>
      <c r="AA44" s="202" t="n"/>
    </row>
    <row r="45" ht="16.5" customHeight="1" s="405">
      <c r="A45" s="436" t="n"/>
      <c r="B45" s="436" t="n"/>
      <c r="C45" s="197" t="n"/>
      <c r="D45" s="197" t="n"/>
      <c r="E45" s="197" t="n"/>
      <c r="F45" s="198" t="n"/>
      <c r="G45" s="198" t="n"/>
      <c r="H45" s="207" t="n"/>
      <c r="I45" s="197" t="n"/>
      <c r="J45" s="197" t="n"/>
      <c r="K45" s="202" t="n"/>
      <c r="L45" s="202" t="n"/>
      <c r="M45" s="202" t="n"/>
      <c r="N45" s="202" t="n"/>
      <c r="O45" s="202" t="n"/>
      <c r="P45" s="202" t="n"/>
      <c r="Q45" s="202" t="n"/>
      <c r="R45" s="202" t="n"/>
      <c r="S45" s="202" t="n"/>
      <c r="T45" s="202" t="n"/>
      <c r="U45" s="202" t="n"/>
      <c r="V45" s="202" t="n"/>
      <c r="W45" s="202" t="n"/>
      <c r="X45" s="202" t="n"/>
      <c r="Y45" s="202" t="n"/>
      <c r="Z45" s="202" t="n"/>
      <c r="AA45" s="202" t="n"/>
    </row>
    <row r="46" ht="16.5" customHeight="1" s="405">
      <c r="A46" s="436" t="n"/>
      <c r="B46" s="436" t="n"/>
      <c r="C46" s="197" t="n"/>
      <c r="D46" s="197" t="n"/>
      <c r="E46" s="197" t="n"/>
      <c r="F46" s="198" t="n"/>
      <c r="G46" s="198" t="n"/>
      <c r="H46" s="207" t="n"/>
      <c r="I46" s="197" t="n"/>
      <c r="J46" s="197" t="n"/>
      <c r="K46" s="202" t="n"/>
      <c r="L46" s="202" t="n"/>
      <c r="M46" s="202" t="n"/>
      <c r="N46" s="202" t="n"/>
      <c r="O46" s="202" t="n"/>
      <c r="P46" s="202" t="n"/>
      <c r="Q46" s="202" t="n"/>
      <c r="R46" s="202" t="n"/>
      <c r="S46" s="202" t="n"/>
      <c r="T46" s="202" t="n"/>
      <c r="U46" s="202" t="n"/>
      <c r="V46" s="202" t="n"/>
      <c r="W46" s="202" t="n"/>
      <c r="X46" s="202" t="n"/>
      <c r="Y46" s="202" t="n"/>
      <c r="Z46" s="202" t="n"/>
      <c r="AA46" s="202" t="n"/>
    </row>
    <row r="47" ht="16.5" customHeight="1" s="405">
      <c r="A47" s="433" t="n"/>
      <c r="B47" s="433" t="n"/>
      <c r="C47" s="197" t="n"/>
      <c r="D47" s="197" t="n"/>
      <c r="E47" s="197" t="n"/>
      <c r="F47" s="198" t="n"/>
      <c r="G47" s="198" t="n"/>
      <c r="H47" s="207" t="n"/>
      <c r="I47" s="197" t="n"/>
      <c r="J47" s="197" t="n"/>
      <c r="K47" s="202" t="n"/>
      <c r="L47" s="202" t="n"/>
      <c r="M47" s="202" t="n"/>
      <c r="N47" s="202" t="n"/>
      <c r="O47" s="202" t="n"/>
      <c r="P47" s="202" t="n"/>
      <c r="Q47" s="202" t="n"/>
      <c r="R47" s="202" t="n"/>
      <c r="S47" s="202" t="n"/>
      <c r="T47" s="202" t="n"/>
      <c r="U47" s="202" t="n"/>
      <c r="V47" s="202" t="n"/>
      <c r="W47" s="202" t="n"/>
      <c r="X47" s="202" t="n"/>
      <c r="Y47" s="202" t="n"/>
      <c r="Z47" s="202" t="n"/>
      <c r="AA47" s="202" t="n"/>
    </row>
    <row r="48" ht="16.5" customHeight="1" s="405">
      <c r="A48" s="197" t="n"/>
      <c r="B48" s="197" t="n"/>
      <c r="C48" s="197" t="n"/>
      <c r="D48" s="197" t="n"/>
      <c r="E48" s="197" t="n"/>
      <c r="F48" s="198" t="n"/>
      <c r="G48" s="198" t="n"/>
      <c r="H48" s="207" t="n"/>
      <c r="I48" s="197" t="n"/>
      <c r="J48" s="197" t="n"/>
      <c r="K48" s="202" t="n"/>
      <c r="L48" s="202" t="n"/>
      <c r="M48" s="202" t="n"/>
      <c r="N48" s="202" t="n"/>
      <c r="O48" s="202" t="n"/>
      <c r="P48" s="202" t="n"/>
      <c r="Q48" s="202" t="n"/>
      <c r="R48" s="202" t="n"/>
      <c r="S48" s="202" t="n"/>
      <c r="T48" s="202" t="n"/>
      <c r="U48" s="202" t="n"/>
      <c r="V48" s="202" t="n"/>
      <c r="W48" s="202" t="n"/>
      <c r="X48" s="202" t="n"/>
      <c r="Y48" s="202" t="n"/>
      <c r="Z48" s="202" t="n"/>
      <c r="AA48" s="202" t="n"/>
    </row>
    <row r="49" ht="16.5" customHeight="1" s="405">
      <c r="A49" s="197" t="n"/>
      <c r="B49" s="197" t="n"/>
      <c r="C49" s="197" t="n"/>
      <c r="D49" s="197" t="n"/>
      <c r="E49" s="197" t="n"/>
      <c r="F49" s="198" t="n"/>
      <c r="G49" s="198" t="n"/>
      <c r="H49" s="207" t="n"/>
      <c r="I49" s="197" t="n"/>
      <c r="J49" s="197" t="n"/>
      <c r="K49" s="202" t="n"/>
      <c r="L49" s="202" t="n"/>
      <c r="M49" s="202" t="n"/>
      <c r="N49" s="202" t="n"/>
      <c r="O49" s="202" t="n"/>
      <c r="P49" s="202" t="n"/>
      <c r="Q49" s="202" t="n"/>
      <c r="R49" s="202" t="n"/>
      <c r="S49" s="202" t="n"/>
      <c r="T49" s="202" t="n"/>
      <c r="U49" s="202" t="n"/>
      <c r="V49" s="202" t="n"/>
      <c r="W49" s="202" t="n"/>
      <c r="X49" s="202" t="n"/>
      <c r="Y49" s="202" t="n"/>
      <c r="Z49" s="202" t="n"/>
      <c r="AA49" s="202" t="n"/>
    </row>
    <row r="50" ht="16.5" customHeight="1" s="405">
      <c r="A50" s="197" t="n"/>
      <c r="B50" s="197" t="n"/>
      <c r="C50" s="197" t="n"/>
      <c r="D50" s="197" t="n"/>
      <c r="E50" s="197" t="n"/>
      <c r="F50" s="198" t="n"/>
      <c r="G50" s="198" t="n"/>
      <c r="H50" s="207" t="n"/>
      <c r="I50" s="197" t="n"/>
      <c r="J50" s="197" t="n"/>
      <c r="K50" s="202" t="n"/>
      <c r="L50" s="202" t="n"/>
      <c r="M50" s="202" t="n"/>
      <c r="N50" s="202" t="n"/>
      <c r="O50" s="202" t="n"/>
      <c r="P50" s="202" t="n"/>
      <c r="Q50" s="202" t="n"/>
      <c r="R50" s="202" t="n"/>
      <c r="S50" s="202" t="n"/>
      <c r="T50" s="202" t="n"/>
      <c r="U50" s="202" t="n"/>
      <c r="V50" s="202" t="n"/>
      <c r="W50" s="202" t="n"/>
      <c r="X50" s="202" t="n"/>
      <c r="Y50" s="202" t="n"/>
      <c r="Z50" s="202" t="n"/>
      <c r="AA50" s="202" t="n"/>
    </row>
    <row r="51" ht="16.5" customHeight="1" s="405">
      <c r="A51" s="197" t="n"/>
      <c r="B51" s="197" t="n"/>
      <c r="C51" s="197" t="n"/>
      <c r="D51" s="197" t="n"/>
      <c r="E51" s="197" t="n"/>
      <c r="F51" s="198" t="n"/>
      <c r="G51" s="198" t="n"/>
      <c r="H51" s="207" t="n"/>
      <c r="I51" s="197" t="n"/>
      <c r="J51" s="197" t="n"/>
      <c r="K51" s="202" t="n"/>
      <c r="L51" s="202" t="n"/>
      <c r="M51" s="202" t="n"/>
      <c r="N51" s="202" t="n"/>
      <c r="O51" s="202" t="n"/>
      <c r="P51" s="202" t="n"/>
      <c r="Q51" s="202" t="n"/>
      <c r="R51" s="202" t="n"/>
      <c r="S51" s="202" t="n"/>
      <c r="T51" s="202" t="n"/>
      <c r="U51" s="202" t="n"/>
      <c r="V51" s="202" t="n"/>
      <c r="W51" s="202" t="n"/>
      <c r="X51" s="202" t="n"/>
      <c r="Y51" s="202" t="n"/>
      <c r="Z51" s="202" t="n"/>
      <c r="AA51" s="202" t="n"/>
    </row>
    <row r="52" ht="16.5" customHeight="1" s="405">
      <c r="A52" s="197" t="n"/>
      <c r="B52" s="197" t="n"/>
      <c r="C52" s="197" t="n"/>
      <c r="D52" s="197" t="n"/>
      <c r="E52" s="197" t="n"/>
      <c r="F52" s="198" t="n"/>
      <c r="G52" s="198" t="n"/>
      <c r="H52" s="207" t="n"/>
      <c r="I52" s="197" t="n"/>
      <c r="J52" s="197" t="n"/>
      <c r="K52" s="202" t="n"/>
      <c r="L52" s="202" t="n"/>
      <c r="M52" s="202" t="n"/>
      <c r="N52" s="202" t="n"/>
      <c r="O52" s="202" t="n"/>
      <c r="P52" s="202" t="n"/>
      <c r="Q52" s="202" t="n"/>
      <c r="R52" s="202" t="n"/>
      <c r="S52" s="202" t="n"/>
      <c r="T52" s="202" t="n"/>
      <c r="U52" s="202" t="n"/>
      <c r="V52" s="202" t="n"/>
      <c r="W52" s="202" t="n"/>
      <c r="X52" s="202" t="n"/>
      <c r="Y52" s="202" t="n"/>
      <c r="Z52" s="202" t="n"/>
      <c r="AA52" s="202" t="n"/>
    </row>
    <row r="53" ht="13.8" customHeight="1" s="405">
      <c r="A53" s="197" t="n"/>
      <c r="B53" s="197" t="n"/>
      <c r="C53" s="197" t="n"/>
      <c r="D53" s="197" t="n"/>
      <c r="E53" s="197" t="n"/>
      <c r="F53" s="198" t="n"/>
      <c r="G53" s="198" t="n"/>
      <c r="H53" s="207" t="n"/>
      <c r="I53" s="197" t="n"/>
      <c r="J53" s="197" t="n"/>
      <c r="K53" s="202" t="n"/>
      <c r="L53" s="202" t="n"/>
      <c r="M53" s="202" t="n"/>
      <c r="N53" s="202" t="n"/>
      <c r="O53" s="202" t="n"/>
      <c r="P53" s="202" t="n"/>
      <c r="Q53" s="202" t="n"/>
      <c r="R53" s="202" t="n"/>
      <c r="S53" s="202" t="n"/>
      <c r="T53" s="202" t="n"/>
      <c r="U53" s="202" t="n"/>
      <c r="V53" s="202" t="n"/>
      <c r="W53" s="202" t="n"/>
      <c r="X53" s="202" t="n"/>
      <c r="Y53" s="202" t="n"/>
      <c r="Z53" s="202" t="n"/>
      <c r="AA53" s="202" t="n"/>
    </row>
    <row r="54" ht="13.8" customHeight="1" s="405">
      <c r="A54" s="197" t="n"/>
      <c r="B54" s="197" t="n"/>
      <c r="C54" s="197" t="n"/>
      <c r="D54" s="197" t="n"/>
      <c r="E54" s="197" t="n"/>
      <c r="F54" s="198" t="n"/>
      <c r="G54" s="198" t="n"/>
      <c r="H54" s="207" t="n"/>
      <c r="I54" s="197" t="n"/>
      <c r="J54" s="197" t="n"/>
      <c r="K54" s="202" t="n"/>
      <c r="L54" s="202" t="n"/>
      <c r="M54" s="202" t="n"/>
      <c r="N54" s="202" t="n"/>
      <c r="O54" s="202" t="n"/>
      <c r="P54" s="202" t="n"/>
      <c r="Q54" s="202" t="n"/>
      <c r="R54" s="202" t="n"/>
      <c r="S54" s="202" t="n"/>
      <c r="T54" s="202" t="n"/>
      <c r="U54" s="202" t="n"/>
      <c r="V54" s="202" t="n"/>
      <c r="W54" s="202" t="n"/>
      <c r="X54" s="202" t="n"/>
      <c r="Y54" s="202" t="n"/>
      <c r="Z54" s="202" t="n"/>
      <c r="AA54" s="202" t="n"/>
    </row>
    <row r="55" ht="13.8" customHeight="1" s="405">
      <c r="A55" s="197" t="n"/>
      <c r="B55" s="197" t="n"/>
      <c r="C55" s="197" t="n"/>
      <c r="D55" s="197" t="n"/>
      <c r="E55" s="197" t="n"/>
      <c r="F55" s="198" t="n"/>
      <c r="G55" s="198" t="n"/>
      <c r="H55" s="207" t="n"/>
      <c r="I55" s="197" t="n"/>
      <c r="J55" s="197" t="n"/>
      <c r="K55" s="202" t="n"/>
      <c r="L55" s="202" t="n"/>
      <c r="M55" s="202" t="n"/>
      <c r="N55" s="202" t="n"/>
      <c r="O55" s="202" t="n"/>
      <c r="P55" s="202" t="n"/>
      <c r="Q55" s="202" t="n"/>
      <c r="R55" s="202" t="n"/>
      <c r="S55" s="202" t="n"/>
      <c r="T55" s="202" t="n"/>
      <c r="U55" s="202" t="n"/>
      <c r="V55" s="202" t="n"/>
      <c r="W55" s="202" t="n"/>
      <c r="X55" s="202" t="n"/>
      <c r="Y55" s="202" t="n"/>
      <c r="Z55" s="202" t="n"/>
      <c r="AA55" s="202" t="n"/>
    </row>
    <row r="56" ht="13.8" customHeight="1" s="405">
      <c r="A56" s="197" t="n"/>
      <c r="B56" s="197" t="n"/>
      <c r="C56" s="197" t="n"/>
      <c r="D56" s="197" t="n"/>
      <c r="E56" s="197" t="n"/>
      <c r="F56" s="198" t="n"/>
      <c r="G56" s="198" t="n"/>
      <c r="H56" s="207" t="n"/>
      <c r="I56" s="197" t="n"/>
      <c r="J56" s="197" t="n"/>
      <c r="K56" s="202" t="n"/>
      <c r="L56" s="202" t="n"/>
      <c r="M56" s="202" t="n"/>
      <c r="N56" s="202" t="n"/>
      <c r="O56" s="202" t="n"/>
      <c r="P56" s="202" t="n"/>
      <c r="Q56" s="202" t="n"/>
      <c r="R56" s="202" t="n"/>
      <c r="S56" s="202" t="n"/>
      <c r="T56" s="202" t="n"/>
      <c r="U56" s="202" t="n"/>
      <c r="V56" s="202" t="n"/>
      <c r="W56" s="202" t="n"/>
      <c r="X56" s="202" t="n"/>
      <c r="Y56" s="202" t="n"/>
      <c r="Z56" s="202" t="n"/>
      <c r="AA56" s="202" t="n"/>
    </row>
    <row r="57" ht="13.8" customHeight="1" s="405">
      <c r="A57" s="197" t="n"/>
      <c r="B57" s="197" t="n"/>
      <c r="C57" s="197" t="n"/>
      <c r="D57" s="197" t="n"/>
      <c r="E57" s="197" t="n"/>
      <c r="F57" s="198" t="n"/>
      <c r="G57" s="198" t="n"/>
      <c r="H57" s="207" t="n"/>
      <c r="I57" s="197" t="n"/>
      <c r="J57" s="197" t="n"/>
      <c r="K57" s="202" t="n"/>
      <c r="L57" s="202" t="n"/>
      <c r="M57" s="202" t="n"/>
      <c r="N57" s="202" t="n"/>
      <c r="O57" s="202" t="n"/>
      <c r="P57" s="202" t="n"/>
      <c r="Q57" s="202" t="n"/>
      <c r="R57" s="202" t="n"/>
      <c r="S57" s="202" t="n"/>
      <c r="T57" s="202" t="n"/>
      <c r="U57" s="202" t="n"/>
      <c r="V57" s="202" t="n"/>
      <c r="W57" s="202" t="n"/>
      <c r="X57" s="202" t="n"/>
      <c r="Y57" s="202" t="n"/>
      <c r="Z57" s="202" t="n"/>
      <c r="AA57" s="202" t="n"/>
    </row>
    <row r="58" ht="13.8" customHeight="1" s="405">
      <c r="A58" s="197" t="n"/>
      <c r="B58" s="197" t="n"/>
      <c r="C58" s="197" t="n"/>
      <c r="D58" s="197" t="n"/>
      <c r="E58" s="197" t="n"/>
      <c r="F58" s="198" t="n"/>
      <c r="G58" s="198" t="n"/>
      <c r="H58" s="207" t="n"/>
      <c r="I58" s="197" t="n"/>
      <c r="J58" s="197" t="n"/>
      <c r="K58" s="202" t="n"/>
      <c r="L58" s="202" t="n"/>
      <c r="M58" s="202" t="n"/>
      <c r="N58" s="202" t="n"/>
      <c r="O58" s="202" t="n"/>
      <c r="P58" s="202" t="n"/>
      <c r="Q58" s="202" t="n"/>
      <c r="R58" s="202" t="n"/>
      <c r="S58" s="202" t="n"/>
      <c r="T58" s="202" t="n"/>
      <c r="U58" s="202" t="n"/>
      <c r="V58" s="202" t="n"/>
      <c r="W58" s="202" t="n"/>
      <c r="X58" s="202" t="n"/>
      <c r="Y58" s="202" t="n"/>
      <c r="Z58" s="202" t="n"/>
      <c r="AA58" s="202" t="n"/>
    </row>
    <row r="59" ht="13.8" customHeight="1" s="405">
      <c r="A59" s="197" t="n"/>
      <c r="B59" s="197" t="n"/>
      <c r="C59" s="197" t="n"/>
      <c r="D59" s="197" t="n"/>
      <c r="E59" s="197" t="n"/>
      <c r="F59" s="198" t="n"/>
      <c r="G59" s="198" t="n"/>
      <c r="H59" s="207" t="n"/>
      <c r="I59" s="197" t="n"/>
      <c r="J59" s="197" t="n"/>
      <c r="K59" s="202" t="n"/>
      <c r="L59" s="202" t="n"/>
      <c r="M59" s="202" t="n"/>
      <c r="N59" s="202" t="n"/>
      <c r="O59" s="202" t="n"/>
      <c r="P59" s="202" t="n"/>
      <c r="Q59" s="202" t="n"/>
      <c r="R59" s="202" t="n"/>
      <c r="S59" s="202" t="n"/>
      <c r="T59" s="202" t="n"/>
      <c r="U59" s="202" t="n"/>
      <c r="V59" s="202" t="n"/>
      <c r="W59" s="202" t="n"/>
      <c r="X59" s="202" t="n"/>
      <c r="Y59" s="202" t="n"/>
      <c r="Z59" s="202" t="n"/>
      <c r="AA59" s="202" t="n"/>
    </row>
    <row r="60" ht="13.8" customHeight="1" s="405">
      <c r="A60" s="197" t="n"/>
      <c r="B60" s="197" t="n"/>
      <c r="C60" s="197" t="n"/>
      <c r="D60" s="197" t="n"/>
      <c r="E60" s="197" t="n"/>
      <c r="F60" s="198" t="n"/>
      <c r="G60" s="198" t="n"/>
      <c r="H60" s="207" t="n"/>
      <c r="I60" s="197" t="n"/>
      <c r="J60" s="197" t="n"/>
      <c r="K60" s="202" t="n"/>
      <c r="L60" s="202" t="n"/>
      <c r="M60" s="202" t="n"/>
      <c r="N60" s="202" t="n"/>
      <c r="O60" s="202" t="n"/>
      <c r="P60" s="202" t="n"/>
      <c r="Q60" s="202" t="n"/>
      <c r="R60" s="202" t="n"/>
      <c r="S60" s="202" t="n"/>
      <c r="T60" s="202" t="n"/>
      <c r="U60" s="202" t="n"/>
      <c r="V60" s="202" t="n"/>
      <c r="W60" s="202" t="n"/>
      <c r="X60" s="202" t="n"/>
      <c r="Y60" s="202" t="n"/>
      <c r="Z60" s="202" t="n"/>
      <c r="AA60" s="202" t="n"/>
    </row>
    <row r="61" ht="13.8" customHeight="1" s="405">
      <c r="A61" s="197" t="n"/>
      <c r="B61" s="197" t="n"/>
      <c r="C61" s="197" t="n"/>
      <c r="D61" s="197" t="n"/>
      <c r="E61" s="197" t="n"/>
      <c r="F61" s="198" t="n"/>
      <c r="G61" s="198" t="n"/>
      <c r="H61" s="207" t="n"/>
      <c r="I61" s="197" t="n"/>
      <c r="J61" s="197" t="n"/>
      <c r="K61" s="202" t="n"/>
      <c r="L61" s="202" t="n"/>
      <c r="M61" s="202" t="n"/>
      <c r="N61" s="202" t="n"/>
      <c r="O61" s="202" t="n"/>
      <c r="P61" s="202" t="n"/>
      <c r="Q61" s="202" t="n"/>
      <c r="R61" s="202" t="n"/>
      <c r="S61" s="202" t="n"/>
      <c r="T61" s="202" t="n"/>
      <c r="U61" s="202" t="n"/>
      <c r="V61" s="202" t="n"/>
      <c r="W61" s="202" t="n"/>
      <c r="X61" s="202" t="n"/>
      <c r="Y61" s="202" t="n"/>
      <c r="Z61" s="202" t="n"/>
      <c r="AA61" s="202" t="n"/>
    </row>
    <row r="62" ht="13.8" customHeight="1" s="405">
      <c r="A62" s="197" t="n"/>
      <c r="B62" s="197" t="n"/>
      <c r="C62" s="197" t="n"/>
      <c r="D62" s="197" t="n"/>
      <c r="E62" s="197" t="n"/>
      <c r="F62" s="198" t="n"/>
      <c r="G62" s="198" t="n"/>
      <c r="H62" s="207" t="n"/>
      <c r="I62" s="197" t="n"/>
      <c r="J62" s="197" t="n"/>
      <c r="K62" s="202" t="n"/>
      <c r="L62" s="202" t="n"/>
      <c r="M62" s="202" t="n"/>
      <c r="N62" s="202" t="n"/>
      <c r="O62" s="202" t="n"/>
      <c r="P62" s="202" t="n"/>
      <c r="Q62" s="202" t="n"/>
      <c r="R62" s="202" t="n"/>
      <c r="S62" s="202" t="n"/>
      <c r="T62" s="202" t="n"/>
      <c r="U62" s="202" t="n"/>
      <c r="V62" s="202" t="n"/>
      <c r="W62" s="202" t="n"/>
      <c r="X62" s="202" t="n"/>
      <c r="Y62" s="202" t="n"/>
      <c r="Z62" s="202" t="n"/>
      <c r="AA62" s="202" t="n"/>
    </row>
    <row r="63" ht="13.8" customHeight="1" s="405">
      <c r="A63" s="197" t="n"/>
      <c r="B63" s="197" t="n"/>
      <c r="C63" s="197" t="n"/>
      <c r="D63" s="197" t="n"/>
      <c r="E63" s="197" t="n"/>
      <c r="F63" s="198" t="n"/>
      <c r="G63" s="198" t="n"/>
      <c r="H63" s="207" t="n"/>
      <c r="I63" s="197" t="n"/>
      <c r="J63" s="197" t="n"/>
      <c r="K63" s="202" t="n"/>
      <c r="L63" s="202" t="n"/>
      <c r="M63" s="202" t="n"/>
      <c r="N63" s="202" t="n"/>
      <c r="O63" s="202" t="n"/>
      <c r="P63" s="202" t="n"/>
      <c r="Q63" s="202" t="n"/>
      <c r="R63" s="202" t="n"/>
      <c r="S63" s="202" t="n"/>
      <c r="T63" s="202" t="n"/>
      <c r="U63" s="202" t="n"/>
      <c r="V63" s="202" t="n"/>
      <c r="W63" s="202" t="n"/>
      <c r="X63" s="202" t="n"/>
      <c r="Y63" s="202" t="n"/>
      <c r="Z63" s="202" t="n"/>
      <c r="AA63" s="202" t="n"/>
    </row>
    <row r="64" ht="13.8" customHeight="1" s="405">
      <c r="A64" s="197" t="n"/>
      <c r="B64" s="197" t="n"/>
      <c r="C64" s="197" t="n"/>
      <c r="D64" s="197" t="n"/>
      <c r="E64" s="197" t="n"/>
      <c r="F64" s="198" t="n"/>
      <c r="G64" s="198" t="n"/>
      <c r="H64" s="207" t="n"/>
      <c r="I64" s="197" t="n"/>
      <c r="J64" s="197" t="n"/>
      <c r="K64" s="202" t="n"/>
      <c r="L64" s="202" t="n"/>
      <c r="M64" s="202" t="n"/>
      <c r="N64" s="202" t="n"/>
      <c r="O64" s="202" t="n"/>
      <c r="P64" s="202" t="n"/>
      <c r="Q64" s="202" t="n"/>
      <c r="R64" s="202" t="n"/>
      <c r="S64" s="202" t="n"/>
      <c r="T64" s="202" t="n"/>
      <c r="U64" s="202" t="n"/>
      <c r="V64" s="202" t="n"/>
      <c r="W64" s="202" t="n"/>
      <c r="X64" s="202" t="n"/>
      <c r="Y64" s="202" t="n"/>
      <c r="Z64" s="202" t="n"/>
      <c r="AA64" s="202" t="n"/>
    </row>
    <row r="65" ht="13.8" customHeight="1" s="405">
      <c r="A65" s="197" t="n"/>
      <c r="B65" s="197" t="n"/>
      <c r="C65" s="197" t="n"/>
      <c r="D65" s="197" t="n"/>
      <c r="E65" s="197" t="n"/>
      <c r="F65" s="198" t="n"/>
      <c r="G65" s="198" t="n"/>
      <c r="H65" s="207" t="n"/>
      <c r="I65" s="197" t="n"/>
      <c r="J65" s="197" t="n"/>
      <c r="K65" s="202" t="n"/>
      <c r="L65" s="202" t="n"/>
      <c r="M65" s="202" t="n"/>
      <c r="N65" s="202" t="n"/>
      <c r="O65" s="202" t="n"/>
      <c r="P65" s="202" t="n"/>
      <c r="Q65" s="202" t="n"/>
      <c r="R65" s="202" t="n"/>
      <c r="S65" s="202" t="n"/>
      <c r="T65" s="202" t="n"/>
      <c r="U65" s="202" t="n"/>
      <c r="V65" s="202" t="n"/>
      <c r="W65" s="202" t="n"/>
      <c r="X65" s="202" t="n"/>
      <c r="Y65" s="202" t="n"/>
      <c r="Z65" s="202" t="n"/>
      <c r="AA65" s="202" t="n"/>
    </row>
    <row r="66" ht="13.8" customHeight="1" s="405">
      <c r="A66" s="197" t="n"/>
      <c r="B66" s="197" t="n"/>
      <c r="C66" s="197" t="n"/>
      <c r="D66" s="197" t="n"/>
      <c r="E66" s="197" t="n"/>
      <c r="F66" s="198" t="n"/>
      <c r="G66" s="198" t="n"/>
      <c r="H66" s="207" t="n"/>
      <c r="I66" s="197" t="n"/>
      <c r="J66" s="197" t="n"/>
      <c r="K66" s="202" t="n"/>
      <c r="L66" s="202" t="n"/>
      <c r="M66" s="202" t="n"/>
      <c r="N66" s="202" t="n"/>
      <c r="O66" s="202" t="n"/>
      <c r="P66" s="202" t="n"/>
      <c r="Q66" s="202" t="n"/>
      <c r="R66" s="202" t="n"/>
      <c r="S66" s="202" t="n"/>
      <c r="T66" s="202" t="n"/>
      <c r="U66" s="202" t="n"/>
      <c r="V66" s="202" t="n"/>
      <c r="W66" s="202" t="n"/>
      <c r="X66" s="202" t="n"/>
      <c r="Y66" s="202" t="n"/>
      <c r="Z66" s="202" t="n"/>
      <c r="AA66" s="202" t="n"/>
    </row>
    <row r="67" ht="13.8" customHeight="1" s="405">
      <c r="A67" s="197" t="n"/>
      <c r="B67" s="197" t="n"/>
      <c r="C67" s="197" t="n"/>
      <c r="D67" s="197" t="n"/>
      <c r="E67" s="197" t="n"/>
      <c r="F67" s="198" t="n"/>
      <c r="G67" s="198" t="n"/>
      <c r="H67" s="207" t="n"/>
      <c r="I67" s="197" t="n"/>
      <c r="J67" s="197" t="n"/>
      <c r="K67" s="202" t="n"/>
      <c r="L67" s="202" t="n"/>
      <c r="M67" s="202" t="n"/>
      <c r="N67" s="202" t="n"/>
      <c r="O67" s="202" t="n"/>
      <c r="P67" s="202" t="n"/>
      <c r="Q67" s="202" t="n"/>
      <c r="R67" s="202" t="n"/>
      <c r="S67" s="202" t="n"/>
      <c r="T67" s="202" t="n"/>
      <c r="U67" s="202" t="n"/>
      <c r="V67" s="202" t="n"/>
      <c r="W67" s="202" t="n"/>
      <c r="X67" s="202" t="n"/>
      <c r="Y67" s="202" t="n"/>
      <c r="Z67" s="202" t="n"/>
      <c r="AA67" s="202" t="n"/>
    </row>
    <row r="68" ht="13.8" customHeight="1" s="405">
      <c r="A68" s="197" t="n"/>
      <c r="B68" s="197" t="n"/>
      <c r="C68" s="197" t="n"/>
      <c r="D68" s="197" t="n"/>
      <c r="E68" s="197" t="n"/>
      <c r="F68" s="198" t="n"/>
      <c r="G68" s="198" t="n"/>
      <c r="H68" s="207" t="n"/>
      <c r="I68" s="197" t="n"/>
      <c r="J68" s="197" t="n"/>
      <c r="K68" s="202" t="n"/>
      <c r="L68" s="202" t="n"/>
      <c r="M68" s="202" t="n"/>
      <c r="N68" s="202" t="n"/>
      <c r="O68" s="202" t="n"/>
      <c r="P68" s="202" t="n"/>
      <c r="Q68" s="202" t="n"/>
      <c r="R68" s="202" t="n"/>
      <c r="S68" s="202" t="n"/>
      <c r="T68" s="202" t="n"/>
      <c r="U68" s="202" t="n"/>
      <c r="V68" s="202" t="n"/>
      <c r="W68" s="202" t="n"/>
      <c r="X68" s="202" t="n"/>
      <c r="Y68" s="202" t="n"/>
      <c r="Z68" s="202" t="n"/>
      <c r="AA68" s="202" t="n"/>
    </row>
    <row r="69" ht="13.8" customHeight="1" s="405">
      <c r="A69" s="197" t="n"/>
      <c r="B69" s="197" t="n"/>
      <c r="C69" s="197" t="n"/>
      <c r="D69" s="197" t="n"/>
      <c r="E69" s="197" t="n"/>
      <c r="F69" s="198" t="n"/>
      <c r="G69" s="198" t="n"/>
      <c r="H69" s="207" t="n"/>
      <c r="I69" s="197" t="n"/>
      <c r="J69" s="197" t="n"/>
      <c r="K69" s="202" t="n"/>
      <c r="L69" s="202" t="n"/>
      <c r="M69" s="202" t="n"/>
      <c r="N69" s="202" t="n"/>
      <c r="O69" s="202" t="n"/>
      <c r="P69" s="202" t="n"/>
      <c r="Q69" s="202" t="n"/>
      <c r="R69" s="202" t="n"/>
      <c r="S69" s="202" t="n"/>
      <c r="T69" s="202" t="n"/>
      <c r="U69" s="202" t="n"/>
      <c r="V69" s="202" t="n"/>
      <c r="W69" s="202" t="n"/>
      <c r="X69" s="202" t="n"/>
      <c r="Y69" s="202" t="n"/>
      <c r="Z69" s="202" t="n"/>
      <c r="AA69" s="202" t="n"/>
    </row>
    <row r="70" ht="13.2" customHeight="1" s="405">
      <c r="A70" s="197" t="n"/>
      <c r="B70" s="197" t="n"/>
      <c r="C70" s="197" t="n"/>
      <c r="D70" s="197" t="n"/>
      <c r="E70" s="197" t="n"/>
      <c r="F70" s="198" t="n"/>
      <c r="G70" s="198" t="n"/>
      <c r="H70" s="197" t="n"/>
      <c r="I70" s="197" t="n"/>
      <c r="J70" s="197" t="n"/>
      <c r="K70" s="202" t="n"/>
      <c r="L70" s="202" t="n"/>
      <c r="M70" s="202" t="n"/>
      <c r="N70" s="202" t="n"/>
      <c r="O70" s="202" t="n"/>
      <c r="P70" s="202" t="n"/>
      <c r="Q70" s="202" t="n"/>
      <c r="R70" s="202" t="n"/>
      <c r="S70" s="202" t="n"/>
      <c r="T70" s="202" t="n"/>
      <c r="U70" s="202" t="n"/>
      <c r="V70" s="202" t="n"/>
      <c r="W70" s="202" t="n"/>
      <c r="X70" s="202" t="n"/>
      <c r="Y70" s="202" t="n"/>
      <c r="Z70" s="202" t="n"/>
      <c r="AA70" s="202" t="n"/>
    </row>
    <row r="71" ht="13.2" customHeight="1" s="405">
      <c r="A71" s="197" t="n"/>
      <c r="B71" s="197" t="n"/>
      <c r="C71" s="197" t="n"/>
      <c r="D71" s="197" t="n"/>
      <c r="E71" s="197" t="n"/>
      <c r="F71" s="198" t="n"/>
      <c r="G71" s="198" t="n"/>
      <c r="H71" s="197" t="n"/>
      <c r="I71" s="197" t="n"/>
      <c r="J71" s="197" t="n"/>
      <c r="K71" s="202" t="n"/>
      <c r="L71" s="202" t="n"/>
      <c r="M71" s="202" t="n"/>
      <c r="N71" s="202" t="n"/>
      <c r="O71" s="202" t="n"/>
      <c r="P71" s="202" t="n"/>
      <c r="Q71" s="202" t="n"/>
      <c r="R71" s="202" t="n"/>
      <c r="S71" s="202" t="n"/>
      <c r="T71" s="202" t="n"/>
      <c r="U71" s="202" t="n"/>
      <c r="V71" s="202" t="n"/>
      <c r="W71" s="202" t="n"/>
      <c r="X71" s="202" t="n"/>
      <c r="Y71" s="202" t="n"/>
      <c r="Z71" s="202" t="n"/>
      <c r="AA71" s="202" t="n"/>
    </row>
    <row r="72" ht="13.2" customHeight="1" s="405">
      <c r="A72" s="197" t="n"/>
      <c r="B72" s="197" t="n"/>
      <c r="C72" s="197" t="n"/>
      <c r="D72" s="197" t="n"/>
      <c r="E72" s="197" t="n"/>
      <c r="F72" s="198" t="n"/>
      <c r="G72" s="198" t="n"/>
      <c r="H72" s="197" t="n"/>
      <c r="I72" s="197" t="n"/>
      <c r="J72" s="197" t="n"/>
      <c r="K72" s="202" t="n"/>
      <c r="L72" s="202" t="n"/>
      <c r="M72" s="202" t="n"/>
      <c r="N72" s="202" t="n"/>
      <c r="O72" s="202" t="n"/>
      <c r="P72" s="202" t="n"/>
      <c r="Q72" s="202" t="n"/>
      <c r="R72" s="202" t="n"/>
      <c r="S72" s="202" t="n"/>
      <c r="T72" s="202" t="n"/>
      <c r="U72" s="202" t="n"/>
      <c r="V72" s="202" t="n"/>
      <c r="W72" s="202" t="n"/>
      <c r="X72" s="202" t="n"/>
      <c r="Y72" s="202" t="n"/>
      <c r="Z72" s="202" t="n"/>
      <c r="AA72" s="202" t="n"/>
    </row>
    <row r="73" ht="13.2" customHeight="1" s="405">
      <c r="A73" s="197" t="n"/>
      <c r="B73" s="197" t="n"/>
      <c r="C73" s="197" t="n"/>
      <c r="D73" s="197" t="n"/>
      <c r="E73" s="197" t="n"/>
      <c r="F73" s="198" t="n"/>
      <c r="G73" s="198" t="n"/>
      <c r="H73" s="197" t="n"/>
      <c r="I73" s="197" t="n"/>
      <c r="J73" s="197" t="n"/>
      <c r="K73" s="202" t="n"/>
      <c r="L73" s="202" t="n"/>
      <c r="M73" s="202" t="n"/>
      <c r="N73" s="202" t="n"/>
      <c r="O73" s="202" t="n"/>
      <c r="P73" s="202" t="n"/>
      <c r="Q73" s="202" t="n"/>
      <c r="R73" s="202" t="n"/>
      <c r="S73" s="202" t="n"/>
      <c r="T73" s="202" t="n"/>
      <c r="U73" s="202" t="n"/>
      <c r="V73" s="202" t="n"/>
      <c r="W73" s="202" t="n"/>
      <c r="X73" s="202" t="n"/>
      <c r="Y73" s="202" t="n"/>
      <c r="Z73" s="202" t="n"/>
      <c r="AA73" s="202" t="n"/>
    </row>
    <row r="74" ht="13.2" customHeight="1" s="405">
      <c r="A74" s="197" t="n"/>
      <c r="B74" s="197" t="n"/>
      <c r="C74" s="197" t="n"/>
      <c r="D74" s="197" t="n"/>
      <c r="E74" s="197" t="n"/>
      <c r="F74" s="198" t="n"/>
      <c r="G74" s="198" t="n"/>
      <c r="H74" s="197" t="n"/>
      <c r="I74" s="197" t="n"/>
      <c r="J74" s="197" t="n"/>
      <c r="K74" s="202" t="n"/>
      <c r="L74" s="202" t="n"/>
      <c r="M74" s="202" t="n"/>
      <c r="N74" s="202" t="n"/>
      <c r="O74" s="202" t="n"/>
      <c r="P74" s="202" t="n"/>
      <c r="Q74" s="202" t="n"/>
      <c r="R74" s="202" t="n"/>
      <c r="S74" s="202" t="n"/>
      <c r="T74" s="202" t="n"/>
      <c r="U74" s="202" t="n"/>
      <c r="V74" s="202" t="n"/>
      <c r="W74" s="202" t="n"/>
      <c r="X74" s="202" t="n"/>
      <c r="Y74" s="202" t="n"/>
      <c r="Z74" s="202" t="n"/>
      <c r="AA74" s="202" t="n"/>
    </row>
    <row r="75" ht="13.2" customHeight="1" s="405">
      <c r="A75" s="197" t="n"/>
      <c r="B75" s="197" t="n"/>
      <c r="C75" s="197" t="n"/>
      <c r="D75" s="197" t="n"/>
      <c r="E75" s="197" t="n"/>
      <c r="F75" s="198" t="n"/>
      <c r="G75" s="198" t="n"/>
      <c r="H75" s="197" t="n"/>
      <c r="I75" s="197" t="n"/>
      <c r="J75" s="197" t="n"/>
      <c r="K75" s="202" t="n"/>
      <c r="L75" s="202" t="n"/>
      <c r="M75" s="202" t="n"/>
      <c r="N75" s="202" t="n"/>
      <c r="O75" s="202" t="n"/>
      <c r="P75" s="202" t="n"/>
      <c r="Q75" s="202" t="n"/>
      <c r="R75" s="202" t="n"/>
      <c r="S75" s="202" t="n"/>
      <c r="T75" s="202" t="n"/>
      <c r="U75" s="202" t="n"/>
      <c r="V75" s="202" t="n"/>
      <c r="W75" s="202" t="n"/>
      <c r="X75" s="202" t="n"/>
      <c r="Y75" s="202" t="n"/>
      <c r="Z75" s="202" t="n"/>
      <c r="AA75" s="202" t="n"/>
    </row>
    <row r="76" ht="13.2" customHeight="1" s="405">
      <c r="A76" s="197" t="n"/>
      <c r="B76" s="197" t="n"/>
      <c r="C76" s="197" t="n"/>
      <c r="D76" s="197" t="n"/>
      <c r="E76" s="197" t="n"/>
      <c r="F76" s="198" t="n"/>
      <c r="G76" s="198" t="n"/>
      <c r="H76" s="197" t="n"/>
      <c r="I76" s="197" t="n"/>
      <c r="J76" s="197" t="n"/>
      <c r="K76" s="202" t="n"/>
      <c r="L76" s="202" t="n"/>
      <c r="M76" s="202" t="n"/>
      <c r="N76" s="202" t="n"/>
      <c r="O76" s="202" t="n"/>
      <c r="P76" s="202" t="n"/>
      <c r="Q76" s="202" t="n"/>
      <c r="R76" s="202" t="n"/>
      <c r="S76" s="202" t="n"/>
      <c r="T76" s="202" t="n"/>
      <c r="U76" s="202" t="n"/>
      <c r="V76" s="202" t="n"/>
      <c r="W76" s="202" t="n"/>
      <c r="X76" s="202" t="n"/>
      <c r="Y76" s="202" t="n"/>
      <c r="Z76" s="202" t="n"/>
      <c r="AA76" s="202" t="n"/>
    </row>
    <row r="77" ht="13.2" customHeight="1" s="405">
      <c r="A77" s="197" t="n"/>
      <c r="B77" s="197" t="n"/>
      <c r="C77" s="197" t="n"/>
      <c r="D77" s="197" t="n"/>
      <c r="E77" s="197" t="n"/>
      <c r="F77" s="198" t="n"/>
      <c r="G77" s="198" t="n"/>
      <c r="H77" s="197" t="n"/>
      <c r="I77" s="197" t="n"/>
      <c r="J77" s="197" t="n"/>
      <c r="K77" s="202" t="n"/>
      <c r="L77" s="202" t="n"/>
      <c r="M77" s="202" t="n"/>
      <c r="N77" s="202" t="n"/>
      <c r="O77" s="202" t="n"/>
      <c r="P77" s="202" t="n"/>
      <c r="Q77" s="202" t="n"/>
      <c r="R77" s="202" t="n"/>
      <c r="S77" s="202" t="n"/>
      <c r="T77" s="202" t="n"/>
      <c r="U77" s="202" t="n"/>
      <c r="V77" s="202" t="n"/>
      <c r="W77" s="202" t="n"/>
      <c r="X77" s="202" t="n"/>
      <c r="Y77" s="202" t="n"/>
      <c r="Z77" s="202" t="n"/>
      <c r="AA77" s="202" t="n"/>
    </row>
    <row r="78" ht="13.2" customHeight="1" s="405">
      <c r="A78" s="197" t="n"/>
      <c r="B78" s="197" t="n"/>
      <c r="C78" s="197" t="n"/>
      <c r="D78" s="197" t="n"/>
      <c r="E78" s="197" t="n"/>
      <c r="F78" s="198" t="n"/>
      <c r="G78" s="198" t="n"/>
      <c r="H78" s="197" t="n"/>
      <c r="I78" s="197" t="n"/>
      <c r="J78" s="197" t="n"/>
      <c r="K78" s="202" t="n"/>
      <c r="L78" s="202" t="n"/>
      <c r="M78" s="202" t="n"/>
      <c r="N78" s="202" t="n"/>
      <c r="O78" s="202" t="n"/>
      <c r="P78" s="202" t="n"/>
      <c r="Q78" s="202" t="n"/>
      <c r="R78" s="202" t="n"/>
      <c r="S78" s="202" t="n"/>
      <c r="T78" s="202" t="n"/>
      <c r="U78" s="202" t="n"/>
      <c r="V78" s="202" t="n"/>
      <c r="W78" s="202" t="n"/>
      <c r="X78" s="202" t="n"/>
      <c r="Y78" s="202" t="n"/>
      <c r="Z78" s="202" t="n"/>
      <c r="AA78" s="202" t="n"/>
    </row>
    <row r="79" ht="13.2" customHeight="1" s="405">
      <c r="A79" s="197" t="n"/>
      <c r="B79" s="197" t="n"/>
      <c r="C79" s="197" t="n"/>
      <c r="D79" s="197" t="n"/>
      <c r="E79" s="197" t="n"/>
      <c r="F79" s="198" t="n"/>
      <c r="G79" s="198" t="n"/>
      <c r="H79" s="197" t="n"/>
      <c r="I79" s="197" t="n"/>
      <c r="J79" s="197" t="n"/>
      <c r="K79" s="202" t="n"/>
      <c r="L79" s="202" t="n"/>
      <c r="M79" s="202" t="n"/>
      <c r="N79" s="202" t="n"/>
      <c r="O79" s="202" t="n"/>
      <c r="P79" s="202" t="n"/>
      <c r="Q79" s="202" t="n"/>
      <c r="R79" s="202" t="n"/>
      <c r="S79" s="202" t="n"/>
      <c r="T79" s="202" t="n"/>
      <c r="U79" s="202" t="n"/>
      <c r="V79" s="202" t="n"/>
      <c r="W79" s="202" t="n"/>
      <c r="X79" s="202" t="n"/>
      <c r="Y79" s="202" t="n"/>
      <c r="Z79" s="202" t="n"/>
      <c r="AA79" s="202" t="n"/>
    </row>
    <row r="80" ht="13.2" customHeight="1" s="405">
      <c r="A80" s="197" t="n"/>
      <c r="B80" s="197" t="n"/>
      <c r="C80" s="197" t="n"/>
      <c r="D80" s="197" t="n"/>
      <c r="E80" s="197" t="n"/>
      <c r="F80" s="198" t="n"/>
      <c r="G80" s="198" t="n"/>
      <c r="H80" s="197" t="n"/>
      <c r="I80" s="197" t="n"/>
      <c r="J80" s="197" t="n"/>
      <c r="K80" s="202" t="n"/>
      <c r="L80" s="202" t="n"/>
      <c r="M80" s="202" t="n"/>
      <c r="N80" s="202" t="n"/>
      <c r="O80" s="202" t="n"/>
      <c r="P80" s="202" t="n"/>
      <c r="Q80" s="202" t="n"/>
      <c r="R80" s="202" t="n"/>
      <c r="S80" s="202" t="n"/>
      <c r="T80" s="202" t="n"/>
      <c r="U80" s="202" t="n"/>
      <c r="V80" s="202" t="n"/>
      <c r="W80" s="202" t="n"/>
      <c r="X80" s="202" t="n"/>
      <c r="Y80" s="202" t="n"/>
      <c r="Z80" s="202" t="n"/>
      <c r="AA80" s="202" t="n"/>
    </row>
    <row r="81" ht="13.2" customHeight="1" s="405">
      <c r="A81" s="197" t="n"/>
      <c r="B81" s="197" t="n"/>
      <c r="C81" s="197" t="n"/>
      <c r="D81" s="197" t="n"/>
      <c r="E81" s="197" t="n"/>
      <c r="F81" s="198" t="n"/>
      <c r="G81" s="198" t="n"/>
      <c r="H81" s="197" t="n"/>
      <c r="I81" s="197" t="n"/>
      <c r="J81" s="197" t="n"/>
      <c r="K81" s="202" t="n"/>
      <c r="L81" s="202" t="n"/>
      <c r="M81" s="202" t="n"/>
      <c r="N81" s="202" t="n"/>
      <c r="O81" s="202" t="n"/>
      <c r="P81" s="202" t="n"/>
      <c r="Q81" s="202" t="n"/>
      <c r="R81" s="202" t="n"/>
      <c r="S81" s="202" t="n"/>
      <c r="T81" s="202" t="n"/>
      <c r="U81" s="202" t="n"/>
      <c r="V81" s="202" t="n"/>
      <c r="W81" s="202" t="n"/>
      <c r="X81" s="202" t="n"/>
      <c r="Y81" s="202" t="n"/>
      <c r="Z81" s="202" t="n"/>
      <c r="AA81" s="202" t="n"/>
    </row>
    <row r="82" ht="13.2" customHeight="1" s="405">
      <c r="A82" s="197" t="n"/>
      <c r="B82" s="197" t="n"/>
      <c r="C82" s="197" t="n"/>
      <c r="D82" s="197" t="n"/>
      <c r="E82" s="197" t="n"/>
      <c r="F82" s="198" t="n"/>
      <c r="G82" s="198" t="n"/>
      <c r="H82" s="197" t="n"/>
      <c r="I82" s="197" t="n"/>
      <c r="J82" s="197" t="n"/>
      <c r="K82" s="202" t="n"/>
      <c r="L82" s="202" t="n"/>
      <c r="M82" s="202" t="n"/>
      <c r="N82" s="202" t="n"/>
      <c r="O82" s="202" t="n"/>
      <c r="P82" s="202" t="n"/>
      <c r="Q82" s="202" t="n"/>
      <c r="R82" s="202" t="n"/>
      <c r="S82" s="202" t="n"/>
      <c r="T82" s="202" t="n"/>
      <c r="U82" s="202" t="n"/>
      <c r="V82" s="202" t="n"/>
      <c r="W82" s="202" t="n"/>
      <c r="X82" s="202" t="n"/>
      <c r="Y82" s="202" t="n"/>
      <c r="Z82" s="202" t="n"/>
      <c r="AA82" s="202" t="n"/>
    </row>
    <row r="83" ht="13.2" customHeight="1" s="405">
      <c r="A83" s="197" t="n"/>
      <c r="B83" s="197" t="n"/>
      <c r="C83" s="197" t="n"/>
      <c r="D83" s="197" t="n"/>
      <c r="E83" s="197" t="n"/>
      <c r="F83" s="198" t="n"/>
      <c r="G83" s="198" t="n"/>
      <c r="H83" s="197" t="n"/>
      <c r="I83" s="197" t="n"/>
      <c r="J83" s="197" t="n"/>
      <c r="K83" s="202" t="n"/>
      <c r="L83" s="202" t="n"/>
      <c r="M83" s="202" t="n"/>
      <c r="N83" s="202" t="n"/>
      <c r="O83" s="202" t="n"/>
      <c r="P83" s="202" t="n"/>
      <c r="Q83" s="202" t="n"/>
      <c r="R83" s="202" t="n"/>
      <c r="S83" s="202" t="n"/>
      <c r="T83" s="202" t="n"/>
      <c r="U83" s="202" t="n"/>
      <c r="V83" s="202" t="n"/>
      <c r="W83" s="202" t="n"/>
      <c r="X83" s="202" t="n"/>
      <c r="Y83" s="202" t="n"/>
      <c r="Z83" s="202" t="n"/>
      <c r="AA83" s="202" t="n"/>
    </row>
    <row r="84" ht="13.2" customHeight="1" s="405">
      <c r="A84" s="197" t="n"/>
      <c r="B84" s="197" t="n"/>
      <c r="C84" s="197" t="n"/>
      <c r="D84" s="197" t="n"/>
      <c r="E84" s="197" t="n"/>
      <c r="F84" s="198" t="n"/>
      <c r="G84" s="198" t="n"/>
      <c r="H84" s="197" t="n"/>
      <c r="I84" s="197" t="n"/>
      <c r="J84" s="197" t="n"/>
      <c r="K84" s="202" t="n"/>
      <c r="L84" s="202" t="n"/>
      <c r="M84" s="202" t="n"/>
      <c r="N84" s="202" t="n"/>
      <c r="O84" s="202" t="n"/>
      <c r="P84" s="202" t="n"/>
      <c r="Q84" s="202" t="n"/>
      <c r="R84" s="202" t="n"/>
      <c r="S84" s="202" t="n"/>
      <c r="T84" s="202" t="n"/>
      <c r="U84" s="202" t="n"/>
      <c r="V84" s="202" t="n"/>
      <c r="W84" s="202" t="n"/>
      <c r="X84" s="202" t="n"/>
      <c r="Y84" s="202" t="n"/>
      <c r="Z84" s="202" t="n"/>
      <c r="AA84" s="202" t="n"/>
    </row>
    <row r="85" ht="13.2" customHeight="1" s="405">
      <c r="A85" s="197" t="n"/>
      <c r="B85" s="197" t="n"/>
      <c r="C85" s="197" t="n"/>
      <c r="D85" s="197" t="n"/>
      <c r="E85" s="197" t="n"/>
      <c r="F85" s="198" t="n"/>
      <c r="G85" s="198" t="n"/>
      <c r="H85" s="197" t="n"/>
      <c r="I85" s="197" t="n"/>
      <c r="J85" s="197" t="n"/>
      <c r="K85" s="202" t="n"/>
      <c r="L85" s="202" t="n"/>
      <c r="M85" s="202" t="n"/>
      <c r="N85" s="202" t="n"/>
      <c r="O85" s="202" t="n"/>
      <c r="P85" s="202" t="n"/>
      <c r="Q85" s="202" t="n"/>
      <c r="R85" s="202" t="n"/>
      <c r="S85" s="202" t="n"/>
      <c r="T85" s="202" t="n"/>
      <c r="U85" s="202" t="n"/>
      <c r="V85" s="202" t="n"/>
      <c r="W85" s="202" t="n"/>
      <c r="X85" s="202" t="n"/>
      <c r="Y85" s="202" t="n"/>
      <c r="Z85" s="202" t="n"/>
      <c r="AA85" s="202" t="n"/>
    </row>
    <row r="86" ht="13.2" customHeight="1" s="405">
      <c r="A86" s="197" t="n"/>
      <c r="B86" s="197" t="n"/>
      <c r="C86" s="197" t="n"/>
      <c r="D86" s="197" t="n"/>
      <c r="E86" s="197" t="n"/>
      <c r="F86" s="198" t="n"/>
      <c r="G86" s="198" t="n"/>
      <c r="H86" s="197" t="n"/>
      <c r="I86" s="197" t="n"/>
      <c r="J86" s="197" t="n"/>
      <c r="K86" s="202" t="n"/>
      <c r="L86" s="202" t="n"/>
      <c r="M86" s="202" t="n"/>
      <c r="N86" s="202" t="n"/>
      <c r="O86" s="202" t="n"/>
      <c r="P86" s="202" t="n"/>
      <c r="Q86" s="202" t="n"/>
      <c r="R86" s="202" t="n"/>
      <c r="S86" s="202" t="n"/>
      <c r="T86" s="202" t="n"/>
      <c r="U86" s="202" t="n"/>
      <c r="V86" s="202" t="n"/>
      <c r="W86" s="202" t="n"/>
      <c r="X86" s="202" t="n"/>
      <c r="Y86" s="202" t="n"/>
      <c r="Z86" s="202" t="n"/>
      <c r="AA86" s="202" t="n"/>
    </row>
    <row r="87" ht="13.2" customHeight="1" s="405">
      <c r="A87" s="197" t="n"/>
      <c r="B87" s="197" t="n"/>
      <c r="C87" s="197" t="n"/>
      <c r="D87" s="197" t="n"/>
      <c r="E87" s="197" t="n"/>
      <c r="F87" s="198" t="n"/>
      <c r="G87" s="198" t="n"/>
      <c r="H87" s="197" t="n"/>
      <c r="I87" s="197" t="n"/>
      <c r="J87" s="197" t="n"/>
      <c r="K87" s="202" t="n"/>
      <c r="L87" s="202" t="n"/>
      <c r="M87" s="202" t="n"/>
      <c r="N87" s="202" t="n"/>
      <c r="O87" s="202" t="n"/>
      <c r="P87" s="202" t="n"/>
      <c r="Q87" s="202" t="n"/>
      <c r="R87" s="202" t="n"/>
      <c r="S87" s="202" t="n"/>
      <c r="T87" s="202" t="n"/>
      <c r="U87" s="202" t="n"/>
      <c r="V87" s="202" t="n"/>
      <c r="W87" s="202" t="n"/>
      <c r="X87" s="202" t="n"/>
      <c r="Y87" s="202" t="n"/>
      <c r="Z87" s="202" t="n"/>
      <c r="AA87" s="202" t="n"/>
    </row>
    <row r="88" ht="13.2" customHeight="1" s="405">
      <c r="A88" s="197" t="n"/>
      <c r="B88" s="197" t="n"/>
      <c r="C88" s="197" t="n"/>
      <c r="D88" s="197" t="n"/>
      <c r="E88" s="197" t="n"/>
      <c r="F88" s="198" t="n"/>
      <c r="G88" s="198" t="n"/>
      <c r="H88" s="197" t="n"/>
      <c r="I88" s="197" t="n"/>
      <c r="J88" s="197" t="n"/>
      <c r="K88" s="202" t="n"/>
      <c r="L88" s="202" t="n"/>
      <c r="M88" s="202" t="n"/>
      <c r="N88" s="202" t="n"/>
      <c r="O88" s="202" t="n"/>
      <c r="P88" s="202" t="n"/>
      <c r="Q88" s="202" t="n"/>
      <c r="R88" s="202" t="n"/>
      <c r="S88" s="202" t="n"/>
      <c r="T88" s="202" t="n"/>
      <c r="U88" s="202" t="n"/>
      <c r="V88" s="202" t="n"/>
      <c r="W88" s="202" t="n"/>
      <c r="X88" s="202" t="n"/>
      <c r="Y88" s="202" t="n"/>
      <c r="Z88" s="202" t="n"/>
      <c r="AA88" s="202" t="n"/>
    </row>
    <row r="89" ht="13.2" customHeight="1" s="405">
      <c r="A89" s="197" t="n"/>
      <c r="B89" s="197" t="n"/>
      <c r="C89" s="197" t="n"/>
      <c r="D89" s="197" t="n"/>
      <c r="E89" s="197" t="n"/>
      <c r="F89" s="198" t="n"/>
      <c r="G89" s="198" t="n"/>
      <c r="H89" s="197" t="n"/>
      <c r="I89" s="197" t="n"/>
      <c r="J89" s="197" t="n"/>
      <c r="K89" s="202" t="n"/>
      <c r="L89" s="202" t="n"/>
      <c r="M89" s="202" t="n"/>
      <c r="N89" s="202" t="n"/>
      <c r="O89" s="202" t="n"/>
      <c r="P89" s="202" t="n"/>
      <c r="Q89" s="202" t="n"/>
      <c r="R89" s="202" t="n"/>
      <c r="S89" s="202" t="n"/>
      <c r="T89" s="202" t="n"/>
      <c r="U89" s="202" t="n"/>
      <c r="V89" s="202" t="n"/>
      <c r="W89" s="202" t="n"/>
      <c r="X89" s="202" t="n"/>
      <c r="Y89" s="202" t="n"/>
      <c r="Z89" s="202" t="n"/>
      <c r="AA89" s="202" t="n"/>
    </row>
    <row r="90" ht="13.2" customHeight="1" s="405">
      <c r="A90" s="197" t="n"/>
      <c r="B90" s="197" t="n"/>
      <c r="C90" s="197" t="n"/>
      <c r="D90" s="197" t="n"/>
      <c r="E90" s="197" t="n"/>
      <c r="F90" s="198" t="n"/>
      <c r="G90" s="198" t="n"/>
      <c r="H90" s="197" t="n"/>
      <c r="I90" s="197" t="n"/>
      <c r="J90" s="197" t="n"/>
      <c r="K90" s="202" t="n"/>
      <c r="L90" s="202" t="n"/>
      <c r="M90" s="202" t="n"/>
      <c r="N90" s="202" t="n"/>
      <c r="O90" s="202" t="n"/>
      <c r="P90" s="202" t="n"/>
      <c r="Q90" s="202" t="n"/>
      <c r="R90" s="202" t="n"/>
      <c r="S90" s="202" t="n"/>
      <c r="T90" s="202" t="n"/>
      <c r="U90" s="202" t="n"/>
      <c r="V90" s="202" t="n"/>
      <c r="W90" s="202" t="n"/>
      <c r="X90" s="202" t="n"/>
      <c r="Y90" s="202" t="n"/>
      <c r="Z90" s="202" t="n"/>
      <c r="AA90" s="202" t="n"/>
    </row>
    <row r="91" ht="13.2" customHeight="1" s="405">
      <c r="A91" s="197" t="n"/>
      <c r="B91" s="197" t="n"/>
      <c r="C91" s="197" t="n"/>
      <c r="D91" s="197" t="n"/>
      <c r="E91" s="197" t="n"/>
      <c r="F91" s="198" t="n"/>
      <c r="G91" s="198" t="n"/>
      <c r="H91" s="197" t="n"/>
      <c r="I91" s="197" t="n"/>
      <c r="J91" s="197" t="n"/>
      <c r="K91" s="202" t="n"/>
      <c r="L91" s="202" t="n"/>
      <c r="M91" s="202" t="n"/>
      <c r="N91" s="202" t="n"/>
      <c r="O91" s="202" t="n"/>
      <c r="P91" s="202" t="n"/>
      <c r="Q91" s="202" t="n"/>
      <c r="R91" s="202" t="n"/>
      <c r="S91" s="202" t="n"/>
      <c r="T91" s="202" t="n"/>
      <c r="U91" s="202" t="n"/>
      <c r="V91" s="202" t="n"/>
      <c r="W91" s="202" t="n"/>
      <c r="X91" s="202" t="n"/>
      <c r="Y91" s="202" t="n"/>
      <c r="Z91" s="202" t="n"/>
      <c r="AA91" s="202" t="n"/>
    </row>
    <row r="92" ht="13.2" customHeight="1" s="405">
      <c r="A92" s="197" t="n"/>
      <c r="B92" s="197" t="n"/>
      <c r="C92" s="197" t="n"/>
      <c r="D92" s="197" t="n"/>
      <c r="E92" s="197" t="n"/>
      <c r="F92" s="198" t="n"/>
      <c r="G92" s="198" t="n"/>
      <c r="H92" s="197" t="n"/>
      <c r="I92" s="197" t="n"/>
      <c r="J92" s="197" t="n"/>
      <c r="K92" s="202" t="n"/>
      <c r="L92" s="202" t="n"/>
      <c r="M92" s="202" t="n"/>
      <c r="N92" s="202" t="n"/>
      <c r="O92" s="202" t="n"/>
      <c r="P92" s="202" t="n"/>
      <c r="Q92" s="202" t="n"/>
      <c r="R92" s="202" t="n"/>
      <c r="S92" s="202" t="n"/>
      <c r="T92" s="202" t="n"/>
      <c r="U92" s="202" t="n"/>
      <c r="V92" s="202" t="n"/>
      <c r="W92" s="202" t="n"/>
      <c r="X92" s="202" t="n"/>
      <c r="Y92" s="202" t="n"/>
      <c r="Z92" s="202" t="n"/>
      <c r="AA92" s="202" t="n"/>
    </row>
    <row r="93" ht="13.2" customHeight="1" s="405">
      <c r="A93" s="197" t="n"/>
      <c r="B93" s="197" t="n"/>
      <c r="C93" s="197" t="n"/>
      <c r="D93" s="197" t="n"/>
      <c r="E93" s="197" t="n"/>
      <c r="F93" s="198" t="n"/>
      <c r="G93" s="198" t="n"/>
      <c r="H93" s="197" t="n"/>
      <c r="I93" s="197" t="n"/>
      <c r="J93" s="197" t="n"/>
      <c r="K93" s="202" t="n"/>
      <c r="L93" s="202" t="n"/>
      <c r="M93" s="202" t="n"/>
      <c r="N93" s="202" t="n"/>
      <c r="O93" s="202" t="n"/>
      <c r="P93" s="202" t="n"/>
      <c r="Q93" s="202" t="n"/>
      <c r="R93" s="202" t="n"/>
      <c r="S93" s="202" t="n"/>
      <c r="T93" s="202" t="n"/>
      <c r="U93" s="202" t="n"/>
      <c r="V93" s="202" t="n"/>
      <c r="W93" s="202" t="n"/>
      <c r="X93" s="202" t="n"/>
      <c r="Y93" s="202" t="n"/>
      <c r="Z93" s="202" t="n"/>
      <c r="AA93" s="202" t="n"/>
    </row>
    <row r="94" ht="13.2" customHeight="1" s="405">
      <c r="A94" s="197" t="n"/>
      <c r="B94" s="197" t="n"/>
      <c r="C94" s="197" t="n"/>
      <c r="D94" s="197" t="n"/>
      <c r="E94" s="197" t="n"/>
      <c r="F94" s="198" t="n"/>
      <c r="G94" s="198" t="n"/>
      <c r="H94" s="197" t="n"/>
      <c r="I94" s="197" t="n"/>
      <c r="J94" s="197" t="n"/>
      <c r="K94" s="202" t="n"/>
      <c r="L94" s="202" t="n"/>
      <c r="M94" s="202" t="n"/>
      <c r="N94" s="202" t="n"/>
      <c r="O94" s="202" t="n"/>
      <c r="P94" s="202" t="n"/>
      <c r="Q94" s="202" t="n"/>
      <c r="R94" s="202" t="n"/>
      <c r="S94" s="202" t="n"/>
      <c r="T94" s="202" t="n"/>
      <c r="U94" s="202" t="n"/>
      <c r="V94" s="202" t="n"/>
      <c r="W94" s="202" t="n"/>
      <c r="X94" s="202" t="n"/>
      <c r="Y94" s="202" t="n"/>
      <c r="Z94" s="202" t="n"/>
      <c r="AA94" s="202" t="n"/>
    </row>
    <row r="95" ht="13.2" customHeight="1" s="405">
      <c r="A95" s="197" t="n"/>
      <c r="B95" s="197" t="n"/>
      <c r="C95" s="197" t="n"/>
      <c r="D95" s="197" t="n"/>
      <c r="E95" s="197" t="n"/>
      <c r="F95" s="198" t="n"/>
      <c r="G95" s="198" t="n"/>
      <c r="H95" s="197" t="n"/>
      <c r="I95" s="197" t="n"/>
      <c r="J95" s="197" t="n"/>
      <c r="K95" s="202" t="n"/>
      <c r="L95" s="202" t="n"/>
      <c r="M95" s="202" t="n"/>
      <c r="N95" s="202" t="n"/>
      <c r="O95" s="202" t="n"/>
      <c r="P95" s="202" t="n"/>
      <c r="Q95" s="202" t="n"/>
      <c r="R95" s="202" t="n"/>
      <c r="S95" s="202" t="n"/>
      <c r="T95" s="202" t="n"/>
      <c r="U95" s="202" t="n"/>
      <c r="V95" s="202" t="n"/>
      <c r="W95" s="202" t="n"/>
      <c r="X95" s="202" t="n"/>
      <c r="Y95" s="202" t="n"/>
      <c r="Z95" s="202" t="n"/>
      <c r="AA95" s="202" t="n"/>
    </row>
    <row r="96" ht="13.2" customHeight="1" s="405">
      <c r="A96" s="197" t="n"/>
      <c r="B96" s="197" t="n"/>
      <c r="C96" s="197" t="n"/>
      <c r="D96" s="197" t="n"/>
      <c r="E96" s="197" t="n"/>
      <c r="F96" s="198" t="n"/>
      <c r="G96" s="198" t="n"/>
      <c r="H96" s="197" t="n"/>
      <c r="I96" s="197" t="n"/>
      <c r="J96" s="197" t="n"/>
      <c r="K96" s="202" t="n"/>
      <c r="L96" s="202" t="n"/>
      <c r="M96" s="202" t="n"/>
      <c r="N96" s="202" t="n"/>
      <c r="O96" s="202" t="n"/>
      <c r="P96" s="202" t="n"/>
      <c r="Q96" s="202" t="n"/>
      <c r="R96" s="202" t="n"/>
      <c r="S96" s="202" t="n"/>
      <c r="T96" s="202" t="n"/>
      <c r="U96" s="202" t="n"/>
      <c r="V96" s="202" t="n"/>
      <c r="W96" s="202" t="n"/>
      <c r="X96" s="202" t="n"/>
      <c r="Y96" s="202" t="n"/>
      <c r="Z96" s="202" t="n"/>
      <c r="AA96" s="202" t="n"/>
    </row>
    <row r="97" ht="13.2" customHeight="1" s="405">
      <c r="A97" s="197" t="n"/>
      <c r="B97" s="197" t="n"/>
      <c r="C97" s="197" t="n"/>
      <c r="D97" s="197" t="n"/>
      <c r="E97" s="197" t="n"/>
      <c r="F97" s="198" t="n"/>
      <c r="G97" s="198" t="n"/>
      <c r="H97" s="197" t="n"/>
      <c r="I97" s="197" t="n"/>
      <c r="J97" s="197" t="n"/>
      <c r="K97" s="202" t="n"/>
      <c r="L97" s="202" t="n"/>
      <c r="M97" s="202" t="n"/>
      <c r="N97" s="202" t="n"/>
      <c r="O97" s="202" t="n"/>
      <c r="P97" s="202" t="n"/>
      <c r="Q97" s="202" t="n"/>
      <c r="R97" s="202" t="n"/>
      <c r="S97" s="202" t="n"/>
      <c r="T97" s="202" t="n"/>
      <c r="U97" s="202" t="n"/>
      <c r="V97" s="202" t="n"/>
      <c r="W97" s="202" t="n"/>
      <c r="X97" s="202" t="n"/>
      <c r="Y97" s="202" t="n"/>
      <c r="Z97" s="202" t="n"/>
      <c r="AA97" s="202" t="n"/>
    </row>
    <row r="98" ht="13.2" customHeight="1" s="405">
      <c r="A98" s="197" t="n"/>
      <c r="B98" s="197" t="n"/>
      <c r="C98" s="197" t="n"/>
      <c r="D98" s="197" t="n"/>
      <c r="E98" s="197" t="n"/>
      <c r="F98" s="198" t="n"/>
      <c r="G98" s="198" t="n"/>
      <c r="H98" s="197" t="n"/>
      <c r="I98" s="197" t="n"/>
      <c r="J98" s="197" t="n"/>
      <c r="K98" s="202" t="n"/>
      <c r="L98" s="202" t="n"/>
      <c r="M98" s="202" t="n"/>
      <c r="N98" s="202" t="n"/>
      <c r="O98" s="202" t="n"/>
      <c r="P98" s="202" t="n"/>
      <c r="Q98" s="202" t="n"/>
      <c r="R98" s="202" t="n"/>
      <c r="S98" s="202" t="n"/>
      <c r="T98" s="202" t="n"/>
      <c r="U98" s="202" t="n"/>
      <c r="V98" s="202" t="n"/>
      <c r="W98" s="202" t="n"/>
      <c r="X98" s="202" t="n"/>
      <c r="Y98" s="202" t="n"/>
      <c r="Z98" s="202" t="n"/>
      <c r="AA98" s="202" t="n"/>
    </row>
    <row r="99" ht="13.2" customHeight="1" s="405">
      <c r="A99" s="197" t="n"/>
      <c r="B99" s="197" t="n"/>
      <c r="C99" s="197" t="n"/>
      <c r="D99" s="197" t="n"/>
      <c r="E99" s="197" t="n"/>
      <c r="F99" s="198" t="n"/>
      <c r="G99" s="198" t="n"/>
      <c r="H99" s="197" t="n"/>
      <c r="I99" s="197" t="n"/>
      <c r="J99" s="197" t="n"/>
      <c r="K99" s="202" t="n"/>
      <c r="L99" s="202" t="n"/>
      <c r="M99" s="202" t="n"/>
      <c r="N99" s="202" t="n"/>
      <c r="O99" s="202" t="n"/>
      <c r="P99" s="202" t="n"/>
      <c r="Q99" s="202" t="n"/>
      <c r="R99" s="202" t="n"/>
      <c r="S99" s="202" t="n"/>
      <c r="T99" s="202" t="n"/>
      <c r="U99" s="202" t="n"/>
      <c r="V99" s="202" t="n"/>
      <c r="W99" s="202" t="n"/>
      <c r="X99" s="202" t="n"/>
      <c r="Y99" s="202" t="n"/>
      <c r="Z99" s="202" t="n"/>
      <c r="AA99" s="202" t="n"/>
    </row>
    <row r="100" ht="13.2" customHeight="1" s="405">
      <c r="A100" s="197" t="n"/>
      <c r="B100" s="197" t="n"/>
      <c r="C100" s="197" t="n"/>
      <c r="D100" s="197" t="n"/>
      <c r="E100" s="197" t="n"/>
      <c r="F100" s="198" t="n"/>
      <c r="G100" s="198" t="n"/>
      <c r="H100" s="197" t="n"/>
      <c r="I100" s="197" t="n"/>
      <c r="J100" s="197" t="n"/>
      <c r="K100" s="202" t="n"/>
      <c r="L100" s="202" t="n"/>
      <c r="M100" s="202" t="n"/>
      <c r="N100" s="202" t="n"/>
      <c r="O100" s="202" t="n"/>
      <c r="P100" s="202" t="n"/>
      <c r="Q100" s="202" t="n"/>
      <c r="R100" s="202" t="n"/>
      <c r="S100" s="202" t="n"/>
      <c r="T100" s="202" t="n"/>
      <c r="U100" s="202" t="n"/>
      <c r="V100" s="202" t="n"/>
      <c r="W100" s="202" t="n"/>
      <c r="X100" s="202" t="n"/>
      <c r="Y100" s="202" t="n"/>
      <c r="Z100" s="202" t="n"/>
      <c r="AA100" s="202" t="n"/>
    </row>
    <row r="101" ht="13.2" customHeight="1" s="405">
      <c r="A101" s="197" t="n"/>
      <c r="B101" s="197" t="n"/>
      <c r="C101" s="197" t="n"/>
      <c r="D101" s="197" t="n"/>
      <c r="E101" s="197" t="n"/>
      <c r="F101" s="198" t="n"/>
      <c r="G101" s="198" t="n"/>
      <c r="H101" s="197" t="n"/>
      <c r="I101" s="197" t="n"/>
      <c r="J101" s="197" t="n"/>
      <c r="K101" s="202" t="n"/>
      <c r="L101" s="202" t="n"/>
      <c r="M101" s="202" t="n"/>
      <c r="N101" s="202" t="n"/>
      <c r="O101" s="202" t="n"/>
      <c r="P101" s="202" t="n"/>
      <c r="Q101" s="202" t="n"/>
      <c r="R101" s="202" t="n"/>
      <c r="S101" s="202" t="n"/>
      <c r="T101" s="202" t="n"/>
      <c r="U101" s="202" t="n"/>
      <c r="V101" s="202" t="n"/>
      <c r="W101" s="202" t="n"/>
      <c r="X101" s="202" t="n"/>
      <c r="Y101" s="202" t="n"/>
      <c r="Z101" s="202" t="n"/>
      <c r="AA101" s="202" t="n"/>
    </row>
    <row r="102" ht="13.2" customHeight="1" s="405">
      <c r="A102" s="197" t="n"/>
      <c r="B102" s="197" t="n"/>
      <c r="C102" s="197" t="n"/>
      <c r="D102" s="197" t="n"/>
      <c r="E102" s="197" t="n"/>
      <c r="F102" s="198" t="n"/>
      <c r="G102" s="198" t="n"/>
      <c r="H102" s="197" t="n"/>
      <c r="I102" s="197" t="n"/>
      <c r="J102" s="197" t="n"/>
      <c r="K102" s="202" t="n"/>
      <c r="L102" s="202" t="n"/>
      <c r="M102" s="202" t="n"/>
      <c r="N102" s="202" t="n"/>
      <c r="O102" s="202" t="n"/>
      <c r="P102" s="202" t="n"/>
      <c r="Q102" s="202" t="n"/>
      <c r="R102" s="202" t="n"/>
      <c r="S102" s="202" t="n"/>
      <c r="T102" s="202" t="n"/>
      <c r="U102" s="202" t="n"/>
      <c r="V102" s="202" t="n"/>
      <c r="W102" s="202" t="n"/>
      <c r="X102" s="202" t="n"/>
      <c r="Y102" s="202" t="n"/>
      <c r="Z102" s="202" t="n"/>
      <c r="AA102" s="202" t="n"/>
    </row>
    <row r="103" ht="13.2" customHeight="1" s="405">
      <c r="A103" s="197" t="n"/>
      <c r="B103" s="197" t="n"/>
      <c r="C103" s="197" t="n"/>
      <c r="D103" s="197" t="n"/>
      <c r="E103" s="197" t="n"/>
      <c r="F103" s="198" t="n"/>
      <c r="G103" s="198" t="n"/>
      <c r="H103" s="197" t="n"/>
      <c r="I103" s="197" t="n"/>
      <c r="J103" s="197" t="n"/>
      <c r="K103" s="202" t="n"/>
      <c r="L103" s="202" t="n"/>
      <c r="M103" s="202" t="n"/>
      <c r="N103" s="202" t="n"/>
      <c r="O103" s="202" t="n"/>
      <c r="P103" s="202" t="n"/>
      <c r="Q103" s="202" t="n"/>
      <c r="R103" s="202" t="n"/>
      <c r="S103" s="202" t="n"/>
      <c r="T103" s="202" t="n"/>
      <c r="U103" s="202" t="n"/>
      <c r="V103" s="202" t="n"/>
      <c r="W103" s="202" t="n"/>
      <c r="X103" s="202" t="n"/>
      <c r="Y103" s="202" t="n"/>
      <c r="Z103" s="202" t="n"/>
      <c r="AA103" s="202" t="n"/>
    </row>
    <row r="104" ht="13.2" customHeight="1" s="405">
      <c r="A104" s="197" t="n"/>
      <c r="B104" s="197" t="n"/>
      <c r="C104" s="197" t="n"/>
      <c r="D104" s="197" t="n"/>
      <c r="E104" s="197" t="n"/>
      <c r="F104" s="198" t="n"/>
      <c r="G104" s="198" t="n"/>
      <c r="H104" s="197" t="n"/>
      <c r="I104" s="197" t="n"/>
      <c r="J104" s="197" t="n"/>
      <c r="K104" s="202" t="n"/>
      <c r="L104" s="202" t="n"/>
      <c r="M104" s="202" t="n"/>
      <c r="N104" s="202" t="n"/>
      <c r="O104" s="202" t="n"/>
      <c r="P104" s="202" t="n"/>
      <c r="Q104" s="202" t="n"/>
      <c r="R104" s="202" t="n"/>
      <c r="S104" s="202" t="n"/>
      <c r="T104" s="202" t="n"/>
      <c r="U104" s="202" t="n"/>
      <c r="V104" s="202" t="n"/>
      <c r="W104" s="202" t="n"/>
      <c r="X104" s="202" t="n"/>
      <c r="Y104" s="202" t="n"/>
      <c r="Z104" s="202" t="n"/>
      <c r="AA104" s="202" t="n"/>
    </row>
    <row r="105" ht="13.2" customHeight="1" s="405">
      <c r="A105" s="197" t="n"/>
      <c r="B105" s="197" t="n"/>
      <c r="C105" s="197" t="n"/>
      <c r="D105" s="197" t="n"/>
      <c r="E105" s="197" t="n"/>
      <c r="F105" s="198" t="n"/>
      <c r="G105" s="198" t="n"/>
      <c r="H105" s="197" t="n"/>
      <c r="I105" s="197" t="n"/>
      <c r="J105" s="197" t="n"/>
      <c r="K105" s="202" t="n"/>
      <c r="L105" s="202" t="n"/>
      <c r="M105" s="202" t="n"/>
      <c r="N105" s="202" t="n"/>
      <c r="O105" s="202" t="n"/>
      <c r="P105" s="202" t="n"/>
      <c r="Q105" s="202" t="n"/>
      <c r="R105" s="202" t="n"/>
      <c r="S105" s="202" t="n"/>
      <c r="T105" s="202" t="n"/>
      <c r="U105" s="202" t="n"/>
      <c r="V105" s="202" t="n"/>
      <c r="W105" s="202" t="n"/>
      <c r="X105" s="202" t="n"/>
      <c r="Y105" s="202" t="n"/>
      <c r="Z105" s="202" t="n"/>
      <c r="AA105" s="202" t="n"/>
    </row>
    <row r="106" ht="13.2" customHeight="1" s="405">
      <c r="A106" s="197" t="n"/>
      <c r="B106" s="197" t="n"/>
      <c r="C106" s="197" t="n"/>
      <c r="D106" s="197" t="n"/>
      <c r="E106" s="197" t="n"/>
      <c r="F106" s="198" t="n"/>
      <c r="G106" s="198" t="n"/>
      <c r="H106" s="197" t="n"/>
      <c r="I106" s="197" t="n"/>
      <c r="J106" s="197" t="n"/>
      <c r="K106" s="202" t="n"/>
      <c r="L106" s="202" t="n"/>
      <c r="M106" s="202" t="n"/>
      <c r="N106" s="202" t="n"/>
      <c r="O106" s="202" t="n"/>
      <c r="P106" s="202" t="n"/>
      <c r="Q106" s="202" t="n"/>
      <c r="R106" s="202" t="n"/>
      <c r="S106" s="202" t="n"/>
      <c r="T106" s="202" t="n"/>
      <c r="U106" s="202" t="n"/>
      <c r="V106" s="202" t="n"/>
      <c r="W106" s="202" t="n"/>
      <c r="X106" s="202" t="n"/>
      <c r="Y106" s="202" t="n"/>
      <c r="Z106" s="202" t="n"/>
      <c r="AA106" s="202" t="n"/>
    </row>
    <row r="107" ht="13.2" customHeight="1" s="405">
      <c r="A107" s="197" t="n"/>
      <c r="B107" s="197" t="n"/>
      <c r="C107" s="197" t="n"/>
      <c r="D107" s="197" t="n"/>
      <c r="E107" s="197" t="n"/>
      <c r="F107" s="198" t="n"/>
      <c r="G107" s="198" t="n"/>
      <c r="H107" s="197" t="n"/>
      <c r="I107" s="197" t="n"/>
      <c r="J107" s="197" t="n"/>
      <c r="K107" s="202" t="n"/>
      <c r="L107" s="202" t="n"/>
      <c r="M107" s="202" t="n"/>
      <c r="N107" s="202" t="n"/>
      <c r="O107" s="202" t="n"/>
      <c r="P107" s="202" t="n"/>
      <c r="Q107" s="202" t="n"/>
      <c r="R107" s="202" t="n"/>
      <c r="S107" s="202" t="n"/>
      <c r="T107" s="202" t="n"/>
      <c r="U107" s="202" t="n"/>
      <c r="V107" s="202" t="n"/>
      <c r="W107" s="202" t="n"/>
      <c r="X107" s="202" t="n"/>
      <c r="Y107" s="202" t="n"/>
      <c r="Z107" s="202" t="n"/>
      <c r="AA107" s="202" t="n"/>
    </row>
    <row r="108" ht="13.2" customHeight="1" s="405">
      <c r="A108" s="197" t="n"/>
      <c r="B108" s="197" t="n"/>
      <c r="C108" s="197" t="n"/>
      <c r="D108" s="197" t="n"/>
      <c r="E108" s="197" t="n"/>
      <c r="F108" s="198" t="n"/>
      <c r="G108" s="198" t="n"/>
      <c r="H108" s="197" t="n"/>
      <c r="I108" s="197" t="n"/>
      <c r="J108" s="197" t="n"/>
      <c r="K108" s="202" t="n"/>
      <c r="L108" s="202" t="n"/>
      <c r="M108" s="202" t="n"/>
      <c r="N108" s="202" t="n"/>
      <c r="O108" s="202" t="n"/>
      <c r="P108" s="202" t="n"/>
      <c r="Q108" s="202" t="n"/>
      <c r="R108" s="202" t="n"/>
      <c r="S108" s="202" t="n"/>
      <c r="T108" s="202" t="n"/>
      <c r="U108" s="202" t="n"/>
      <c r="V108" s="202" t="n"/>
      <c r="W108" s="202" t="n"/>
      <c r="X108" s="202" t="n"/>
      <c r="Y108" s="202" t="n"/>
      <c r="Z108" s="202" t="n"/>
      <c r="AA108" s="202" t="n"/>
    </row>
    <row r="109" ht="13.2" customHeight="1" s="405">
      <c r="A109" s="197" t="n"/>
      <c r="B109" s="197" t="n"/>
      <c r="C109" s="197" t="n"/>
      <c r="D109" s="197" t="n"/>
      <c r="E109" s="197" t="n"/>
      <c r="F109" s="198" t="n"/>
      <c r="G109" s="198" t="n"/>
      <c r="H109" s="197" t="n"/>
      <c r="I109" s="197" t="n"/>
      <c r="J109" s="197" t="n"/>
      <c r="K109" s="202" t="n"/>
      <c r="L109" s="202" t="n"/>
      <c r="M109" s="202" t="n"/>
      <c r="N109" s="202" t="n"/>
      <c r="O109" s="202" t="n"/>
      <c r="P109" s="202" t="n"/>
      <c r="Q109" s="202" t="n"/>
      <c r="R109" s="202" t="n"/>
      <c r="S109" s="202" t="n"/>
      <c r="T109" s="202" t="n"/>
      <c r="U109" s="202" t="n"/>
      <c r="V109" s="202" t="n"/>
      <c r="W109" s="202" t="n"/>
      <c r="X109" s="202" t="n"/>
      <c r="Y109" s="202" t="n"/>
      <c r="Z109" s="202" t="n"/>
      <c r="AA109" s="202" t="n"/>
    </row>
    <row r="110" ht="13.2" customHeight="1" s="405">
      <c r="A110" s="197" t="n"/>
      <c r="B110" s="197" t="n"/>
      <c r="C110" s="197" t="n"/>
      <c r="D110" s="197" t="n"/>
      <c r="E110" s="197" t="n"/>
      <c r="F110" s="198" t="n"/>
      <c r="G110" s="198" t="n"/>
      <c r="H110" s="197" t="n"/>
      <c r="I110" s="197" t="n"/>
      <c r="J110" s="197" t="n"/>
      <c r="K110" s="202" t="n"/>
      <c r="L110" s="202" t="n"/>
      <c r="M110" s="202" t="n"/>
      <c r="N110" s="202" t="n"/>
      <c r="O110" s="202" t="n"/>
      <c r="P110" s="202" t="n"/>
      <c r="Q110" s="202" t="n"/>
      <c r="R110" s="202" t="n"/>
      <c r="S110" s="202" t="n"/>
      <c r="T110" s="202" t="n"/>
      <c r="U110" s="202" t="n"/>
      <c r="V110" s="202" t="n"/>
      <c r="W110" s="202" t="n"/>
      <c r="X110" s="202" t="n"/>
      <c r="Y110" s="202" t="n"/>
      <c r="Z110" s="202" t="n"/>
      <c r="AA110" s="202" t="n"/>
    </row>
    <row r="111" ht="13.2" customHeight="1" s="405">
      <c r="A111" s="197" t="n"/>
      <c r="B111" s="197" t="n"/>
      <c r="C111" s="197" t="n"/>
      <c r="D111" s="197" t="n"/>
      <c r="E111" s="197" t="n"/>
      <c r="F111" s="198" t="n"/>
      <c r="G111" s="198" t="n"/>
      <c r="H111" s="197" t="n"/>
      <c r="I111" s="197" t="n"/>
      <c r="J111" s="197" t="n"/>
      <c r="K111" s="202" t="n"/>
      <c r="L111" s="202" t="n"/>
      <c r="M111" s="202" t="n"/>
      <c r="N111" s="202" t="n"/>
      <c r="O111" s="202" t="n"/>
      <c r="P111" s="202" t="n"/>
      <c r="Q111" s="202" t="n"/>
      <c r="R111" s="202" t="n"/>
      <c r="S111" s="202" t="n"/>
      <c r="T111" s="202" t="n"/>
      <c r="U111" s="202" t="n"/>
      <c r="V111" s="202" t="n"/>
      <c r="W111" s="202" t="n"/>
      <c r="X111" s="202" t="n"/>
      <c r="Y111" s="202" t="n"/>
      <c r="Z111" s="202" t="n"/>
      <c r="AA111" s="202" t="n"/>
    </row>
    <row r="112" ht="13.2" customHeight="1" s="405">
      <c r="A112" s="197" t="n"/>
      <c r="B112" s="197" t="n"/>
      <c r="C112" s="197" t="n"/>
      <c r="D112" s="197" t="n"/>
      <c r="E112" s="197" t="n"/>
      <c r="F112" s="198" t="n"/>
      <c r="G112" s="198" t="n"/>
      <c r="H112" s="197" t="n"/>
      <c r="I112" s="197" t="n"/>
      <c r="J112" s="197" t="n"/>
      <c r="K112" s="202" t="n"/>
      <c r="L112" s="202" t="n"/>
      <c r="M112" s="202" t="n"/>
      <c r="N112" s="202" t="n"/>
      <c r="O112" s="202" t="n"/>
      <c r="P112" s="202" t="n"/>
      <c r="Q112" s="202" t="n"/>
      <c r="R112" s="202" t="n"/>
      <c r="S112" s="202" t="n"/>
      <c r="T112" s="202" t="n"/>
      <c r="U112" s="202" t="n"/>
      <c r="V112" s="202" t="n"/>
      <c r="W112" s="202" t="n"/>
      <c r="X112" s="202" t="n"/>
      <c r="Y112" s="202" t="n"/>
      <c r="Z112" s="202" t="n"/>
      <c r="AA112" s="202" t="n"/>
    </row>
    <row r="113" ht="13.2" customHeight="1" s="405">
      <c r="A113" s="197" t="n"/>
      <c r="B113" s="197" t="n"/>
      <c r="C113" s="197" t="n"/>
      <c r="D113" s="197" t="n"/>
      <c r="E113" s="197" t="n"/>
      <c r="F113" s="198" t="n"/>
      <c r="G113" s="198" t="n"/>
      <c r="H113" s="197" t="n"/>
      <c r="I113" s="197" t="n"/>
      <c r="J113" s="197" t="n"/>
      <c r="K113" s="202" t="n"/>
      <c r="L113" s="202" t="n"/>
      <c r="M113" s="202" t="n"/>
      <c r="N113" s="202" t="n"/>
      <c r="O113" s="202" t="n"/>
      <c r="P113" s="202" t="n"/>
      <c r="Q113" s="202" t="n"/>
      <c r="R113" s="202" t="n"/>
      <c r="S113" s="202" t="n"/>
      <c r="T113" s="202" t="n"/>
      <c r="U113" s="202" t="n"/>
      <c r="V113" s="202" t="n"/>
      <c r="W113" s="202" t="n"/>
      <c r="X113" s="202" t="n"/>
      <c r="Y113" s="202" t="n"/>
      <c r="Z113" s="202" t="n"/>
      <c r="AA113" s="202" t="n"/>
    </row>
    <row r="114" ht="13.2" customHeight="1" s="405">
      <c r="A114" s="94" t="n"/>
      <c r="B114" s="94" t="n"/>
      <c r="C114" s="94" t="n"/>
      <c r="D114" s="94" t="n"/>
      <c r="E114" s="94" t="n"/>
      <c r="F114" s="367" t="n"/>
      <c r="G114" s="367" t="n"/>
      <c r="H114" s="94" t="n"/>
      <c r="I114" s="94" t="n"/>
      <c r="J114" s="94" t="n"/>
    </row>
    <row r="115" ht="13.2" customHeight="1" s="405">
      <c r="A115" s="94" t="n"/>
      <c r="B115" s="94" t="n"/>
      <c r="C115" s="94" t="n"/>
      <c r="D115" s="94" t="n"/>
      <c r="E115" s="94" t="n"/>
      <c r="F115" s="367" t="n"/>
      <c r="G115" s="367" t="n"/>
      <c r="H115" s="94" t="n"/>
      <c r="I115" s="94" t="n"/>
      <c r="J115" s="94" t="n"/>
    </row>
    <row r="116" ht="13.2" customHeight="1" s="405">
      <c r="A116" s="94" t="n"/>
      <c r="B116" s="94" t="n"/>
      <c r="C116" s="94" t="n"/>
      <c r="D116" s="94" t="n"/>
      <c r="E116" s="94" t="n"/>
      <c r="F116" s="367" t="n"/>
      <c r="G116" s="367" t="n"/>
      <c r="H116" s="94" t="n"/>
      <c r="I116" s="94" t="n"/>
      <c r="J116" s="94" t="n"/>
    </row>
    <row r="117" ht="13.2" customHeight="1" s="405">
      <c r="A117" s="94" t="n"/>
      <c r="B117" s="94" t="n"/>
      <c r="C117" s="94" t="n"/>
      <c r="D117" s="94" t="n"/>
      <c r="E117" s="94" t="n"/>
      <c r="F117" s="367" t="n"/>
      <c r="G117" s="367" t="n"/>
      <c r="H117" s="94" t="n"/>
      <c r="I117" s="94" t="n"/>
      <c r="J117" s="94" t="n"/>
    </row>
    <row r="118" ht="13.2" customHeight="1" s="405">
      <c r="A118" s="94" t="n"/>
      <c r="B118" s="94" t="n"/>
      <c r="C118" s="94" t="n"/>
      <c r="D118" s="94" t="n"/>
      <c r="E118" s="94" t="n"/>
      <c r="F118" s="367" t="n"/>
      <c r="G118" s="367" t="n"/>
      <c r="H118" s="94" t="n"/>
      <c r="I118" s="94" t="n"/>
      <c r="J118" s="94" t="n"/>
    </row>
    <row r="119" ht="13.2" customHeight="1" s="405">
      <c r="A119" s="94" t="n"/>
      <c r="B119" s="94" t="n"/>
      <c r="C119" s="94" t="n"/>
      <c r="D119" s="94" t="n"/>
      <c r="E119" s="94" t="n"/>
      <c r="F119" s="367" t="n"/>
      <c r="G119" s="367" t="n"/>
      <c r="H119" s="94" t="n"/>
      <c r="I119" s="94" t="n"/>
      <c r="J119" s="94" t="n"/>
    </row>
    <row r="120" ht="13.2" customHeight="1" s="405">
      <c r="A120" s="94" t="n"/>
      <c r="B120" s="94" t="n"/>
      <c r="C120" s="94" t="n"/>
      <c r="D120" s="94" t="n"/>
      <c r="E120" s="94" t="n"/>
      <c r="F120" s="367" t="n"/>
      <c r="G120" s="367" t="n"/>
      <c r="H120" s="94" t="n"/>
      <c r="I120" s="94" t="n"/>
      <c r="J120" s="94" t="n"/>
    </row>
    <row r="121" ht="13.2" customHeight="1" s="405">
      <c r="A121" s="94" t="n"/>
      <c r="B121" s="94" t="n"/>
      <c r="C121" s="94" t="n"/>
      <c r="D121" s="94" t="n"/>
      <c r="E121" s="94" t="n"/>
      <c r="F121" s="367" t="n"/>
      <c r="G121" s="367" t="n"/>
      <c r="H121" s="94" t="n"/>
      <c r="I121" s="94" t="n"/>
      <c r="J121" s="94" t="n"/>
    </row>
    <row r="122" ht="13.2" customHeight="1" s="405">
      <c r="A122" s="94" t="n"/>
      <c r="B122" s="94" t="n"/>
      <c r="C122" s="94" t="n"/>
      <c r="D122" s="94" t="n"/>
      <c r="E122" s="94" t="n"/>
      <c r="F122" s="367" t="n"/>
      <c r="G122" s="367" t="n"/>
      <c r="H122" s="94" t="n"/>
      <c r="I122" s="94" t="n"/>
      <c r="J122" s="94" t="n"/>
    </row>
    <row r="123" ht="13.2" customHeight="1" s="405">
      <c r="A123" s="94" t="n"/>
      <c r="B123" s="94" t="n"/>
      <c r="C123" s="94" t="n"/>
      <c r="D123" s="94" t="n"/>
      <c r="E123" s="94" t="n"/>
      <c r="F123" s="367" t="n"/>
      <c r="G123" s="367" t="n"/>
      <c r="H123" s="94" t="n"/>
      <c r="I123" s="94" t="n"/>
      <c r="J123" s="94" t="n"/>
    </row>
    <row r="124" ht="13.2" customHeight="1" s="405">
      <c r="A124" s="94" t="n"/>
      <c r="B124" s="94" t="n"/>
      <c r="C124" s="94" t="n"/>
      <c r="D124" s="94" t="n"/>
      <c r="E124" s="94" t="n"/>
      <c r="F124" s="367" t="n"/>
      <c r="G124" s="367" t="n"/>
      <c r="H124" s="94" t="n"/>
      <c r="I124" s="94" t="n"/>
      <c r="J124" s="94" t="n"/>
    </row>
    <row r="125" ht="13.2" customHeight="1" s="405">
      <c r="A125" s="94" t="n"/>
      <c r="B125" s="94" t="n"/>
      <c r="C125" s="94" t="n"/>
      <c r="D125" s="94" t="n"/>
      <c r="E125" s="94" t="n"/>
      <c r="F125" s="367" t="n"/>
      <c r="G125" s="367" t="n"/>
      <c r="H125" s="94" t="n"/>
      <c r="I125" s="94" t="n"/>
      <c r="J125" s="94" t="n"/>
    </row>
    <row r="126" ht="13.2" customHeight="1" s="405">
      <c r="A126" s="94" t="n"/>
      <c r="B126" s="94" t="n"/>
      <c r="C126" s="94" t="n"/>
      <c r="D126" s="94" t="n"/>
      <c r="E126" s="94" t="n"/>
      <c r="F126" s="367" t="n"/>
      <c r="G126" s="367" t="n"/>
      <c r="H126" s="94" t="n"/>
      <c r="I126" s="94" t="n"/>
      <c r="J126" s="94" t="n"/>
    </row>
    <row r="127" ht="13.2" customHeight="1" s="405">
      <c r="A127" s="94" t="n"/>
      <c r="B127" s="94" t="n"/>
      <c r="C127" s="94" t="n"/>
      <c r="D127" s="94" t="n"/>
      <c r="E127" s="94" t="n"/>
      <c r="F127" s="367" t="n"/>
      <c r="G127" s="367" t="n"/>
      <c r="H127" s="94" t="n"/>
      <c r="I127" s="94" t="n"/>
      <c r="J127" s="94" t="n"/>
    </row>
    <row r="128" ht="13.2" customHeight="1" s="405">
      <c r="A128" s="94" t="n"/>
      <c r="B128" s="94" t="n"/>
      <c r="C128" s="94" t="n"/>
      <c r="D128" s="94" t="n"/>
      <c r="E128" s="94" t="n"/>
      <c r="F128" s="367" t="n"/>
      <c r="G128" s="367" t="n"/>
      <c r="H128" s="94" t="n"/>
      <c r="I128" s="94" t="n"/>
      <c r="J128" s="94" t="n"/>
    </row>
    <row r="129" ht="13.2" customHeight="1" s="405">
      <c r="A129" s="94" t="n"/>
      <c r="B129" s="94" t="n"/>
      <c r="C129" s="94" t="n"/>
      <c r="D129" s="94" t="n"/>
      <c r="E129" s="94" t="n"/>
      <c r="F129" s="367" t="n"/>
      <c r="G129" s="367" t="n"/>
      <c r="H129" s="94" t="n"/>
      <c r="I129" s="94" t="n"/>
      <c r="J129" s="94" t="n"/>
    </row>
    <row r="130" ht="13.2" customHeight="1" s="405">
      <c r="A130" s="94" t="n"/>
      <c r="B130" s="94" t="n"/>
      <c r="C130" s="94" t="n"/>
      <c r="D130" s="94" t="n"/>
      <c r="E130" s="94" t="n"/>
      <c r="F130" s="367" t="n"/>
      <c r="G130" s="367" t="n"/>
      <c r="H130" s="94" t="n"/>
      <c r="I130" s="94" t="n"/>
      <c r="J130" s="94" t="n"/>
    </row>
    <row r="131" ht="13.2" customHeight="1" s="405">
      <c r="A131" s="94" t="n"/>
      <c r="B131" s="94" t="n"/>
      <c r="C131" s="94" t="n"/>
      <c r="D131" s="94" t="n"/>
      <c r="E131" s="94" t="n"/>
      <c r="F131" s="367" t="n"/>
      <c r="G131" s="367" t="n"/>
      <c r="H131" s="94" t="n"/>
      <c r="I131" s="94" t="n"/>
      <c r="J131" s="94" t="n"/>
    </row>
    <row r="132" ht="13.2" customHeight="1" s="405">
      <c r="A132" s="94" t="n"/>
      <c r="B132" s="94" t="n"/>
      <c r="C132" s="94" t="n"/>
      <c r="D132" s="94" t="n"/>
      <c r="E132" s="94" t="n"/>
      <c r="F132" s="367" t="n"/>
      <c r="G132" s="367" t="n"/>
      <c r="H132" s="94" t="n"/>
      <c r="I132" s="94" t="n"/>
      <c r="J132" s="94" t="n"/>
    </row>
    <row r="133" ht="13.2" customHeight="1" s="405">
      <c r="A133" s="94" t="n"/>
      <c r="B133" s="94" t="n"/>
      <c r="C133" s="94" t="n"/>
      <c r="D133" s="94" t="n"/>
      <c r="E133" s="94" t="n"/>
      <c r="F133" s="367" t="n"/>
      <c r="G133" s="367" t="n"/>
      <c r="H133" s="94" t="n"/>
      <c r="I133" s="94" t="n"/>
      <c r="J133" s="94" t="n"/>
    </row>
    <row r="134" ht="13.2" customHeight="1" s="405">
      <c r="A134" s="94" t="n"/>
      <c r="B134" s="94" t="n"/>
      <c r="C134" s="94" t="n"/>
      <c r="D134" s="94" t="n"/>
      <c r="E134" s="94" t="n"/>
      <c r="F134" s="367" t="n"/>
      <c r="G134" s="367" t="n"/>
      <c r="H134" s="94" t="n"/>
      <c r="I134" s="94" t="n"/>
      <c r="J134" s="94" t="n"/>
    </row>
    <row r="135" ht="13.2" customHeight="1" s="405">
      <c r="A135" s="94" t="n"/>
      <c r="B135" s="94" t="n"/>
      <c r="C135" s="94" t="n"/>
      <c r="D135" s="94" t="n"/>
      <c r="E135" s="94" t="n"/>
      <c r="F135" s="367" t="n"/>
      <c r="G135" s="367" t="n"/>
      <c r="H135" s="94" t="n"/>
      <c r="I135" s="94" t="n"/>
      <c r="J135" s="94" t="n"/>
    </row>
    <row r="136" ht="13.2" customHeight="1" s="405">
      <c r="A136" s="94" t="n"/>
      <c r="B136" s="94" t="n"/>
      <c r="C136" s="94" t="n"/>
      <c r="D136" s="94" t="n"/>
      <c r="E136" s="94" t="n"/>
      <c r="F136" s="367" t="n"/>
      <c r="G136" s="367" t="n"/>
      <c r="H136" s="94" t="n"/>
      <c r="I136" s="94" t="n"/>
      <c r="J136" s="94" t="n"/>
    </row>
    <row r="137" ht="13.2" customHeight="1" s="405">
      <c r="A137" s="94" t="n"/>
      <c r="B137" s="94" t="n"/>
      <c r="C137" s="94" t="n"/>
      <c r="D137" s="94" t="n"/>
      <c r="E137" s="94" t="n"/>
      <c r="F137" s="367" t="n"/>
      <c r="G137" s="367" t="n"/>
      <c r="H137" s="94" t="n"/>
      <c r="I137" s="94" t="n"/>
      <c r="J137" s="94" t="n"/>
    </row>
    <row r="138" ht="13.2" customHeight="1" s="405">
      <c r="A138" s="94" t="n"/>
      <c r="B138" s="94" t="n"/>
      <c r="C138" s="94" t="n"/>
      <c r="D138" s="94" t="n"/>
      <c r="E138" s="94" t="n"/>
      <c r="F138" s="367" t="n"/>
      <c r="G138" s="367" t="n"/>
      <c r="H138" s="94" t="n"/>
      <c r="I138" s="94" t="n"/>
      <c r="J138" s="94" t="n"/>
    </row>
    <row r="139" ht="13.2" customHeight="1" s="405">
      <c r="A139" s="94" t="n"/>
      <c r="B139" s="94" t="n"/>
      <c r="C139" s="94" t="n"/>
      <c r="D139" s="94" t="n"/>
      <c r="E139" s="94" t="n"/>
      <c r="F139" s="367" t="n"/>
      <c r="G139" s="367" t="n"/>
      <c r="H139" s="94" t="n"/>
      <c r="I139" s="94" t="n"/>
      <c r="J139" s="94" t="n"/>
    </row>
    <row r="140" ht="13.2" customHeight="1" s="405">
      <c r="A140" s="94" t="n"/>
      <c r="B140" s="94" t="n"/>
      <c r="C140" s="94" t="n"/>
      <c r="D140" s="94" t="n"/>
      <c r="E140" s="94" t="n"/>
      <c r="F140" s="367" t="n"/>
      <c r="G140" s="367" t="n"/>
      <c r="H140" s="94" t="n"/>
      <c r="I140" s="94" t="n"/>
      <c r="J140" s="94" t="n"/>
    </row>
    <row r="141" ht="13.2" customHeight="1" s="405">
      <c r="A141" s="94" t="n"/>
      <c r="B141" s="94" t="n"/>
      <c r="C141" s="94" t="n"/>
      <c r="D141" s="94" t="n"/>
      <c r="E141" s="94" t="n"/>
      <c r="F141" s="367" t="n"/>
      <c r="G141" s="367" t="n"/>
      <c r="H141" s="94" t="n"/>
      <c r="I141" s="94" t="n"/>
      <c r="J141" s="94" t="n"/>
    </row>
    <row r="142" ht="13.2" customHeight="1" s="405">
      <c r="A142" s="94" t="n"/>
      <c r="B142" s="94" t="n"/>
      <c r="C142" s="94" t="n"/>
      <c r="D142" s="94" t="n"/>
      <c r="E142" s="94" t="n"/>
      <c r="F142" s="367" t="n"/>
      <c r="G142" s="367" t="n"/>
      <c r="H142" s="94" t="n"/>
      <c r="I142" s="94" t="n"/>
      <c r="J142" s="94" t="n"/>
    </row>
    <row r="143" ht="13.2" customHeight="1" s="405">
      <c r="A143" s="94" t="n"/>
      <c r="B143" s="94" t="n"/>
      <c r="C143" s="94" t="n"/>
      <c r="D143" s="94" t="n"/>
      <c r="E143" s="94" t="n"/>
      <c r="F143" s="367" t="n"/>
      <c r="G143" s="367" t="n"/>
      <c r="H143" s="94" t="n"/>
      <c r="I143" s="94" t="n"/>
      <c r="J143" s="94" t="n"/>
    </row>
    <row r="144" ht="13.2" customHeight="1" s="405">
      <c r="A144" s="94" t="n"/>
      <c r="B144" s="94" t="n"/>
      <c r="C144" s="94" t="n"/>
      <c r="D144" s="94" t="n"/>
      <c r="E144" s="94" t="n"/>
      <c r="F144" s="367" t="n"/>
      <c r="G144" s="367" t="n"/>
      <c r="H144" s="94" t="n"/>
      <c r="I144" s="94" t="n"/>
      <c r="J144" s="94" t="n"/>
    </row>
    <row r="145" ht="13.2" customHeight="1" s="405">
      <c r="A145" s="94" t="n"/>
      <c r="B145" s="94" t="n"/>
      <c r="C145" s="94" t="n"/>
      <c r="D145" s="94" t="n"/>
      <c r="E145" s="94" t="n"/>
      <c r="F145" s="367" t="n"/>
      <c r="G145" s="367" t="n"/>
      <c r="H145" s="94" t="n"/>
      <c r="I145" s="94" t="n"/>
      <c r="J145" s="94" t="n"/>
    </row>
    <row r="146" ht="13.2" customHeight="1" s="405">
      <c r="A146" s="94" t="n"/>
      <c r="B146" s="94" t="n"/>
      <c r="C146" s="94" t="n"/>
      <c r="D146" s="94" t="n"/>
      <c r="E146" s="94" t="n"/>
      <c r="F146" s="367" t="n"/>
      <c r="G146" s="367" t="n"/>
      <c r="H146" s="94" t="n"/>
      <c r="I146" s="94" t="n"/>
      <c r="J146" s="94" t="n"/>
    </row>
    <row r="147" ht="13.2" customHeight="1" s="405">
      <c r="A147" s="94" t="n"/>
      <c r="B147" s="94" t="n"/>
      <c r="C147" s="94" t="n"/>
      <c r="D147" s="94" t="n"/>
      <c r="E147" s="94" t="n"/>
      <c r="F147" s="367" t="n"/>
      <c r="G147" s="367" t="n"/>
      <c r="H147" s="94" t="n"/>
      <c r="I147" s="94" t="n"/>
      <c r="J147" s="94" t="n"/>
    </row>
    <row r="148" ht="13.2" customHeight="1" s="405">
      <c r="A148" s="94" t="n"/>
      <c r="B148" s="94" t="n"/>
      <c r="C148" s="94" t="n"/>
      <c r="D148" s="94" t="n"/>
      <c r="E148" s="94" t="n"/>
      <c r="F148" s="367" t="n"/>
      <c r="G148" s="367" t="n"/>
      <c r="H148" s="94" t="n"/>
      <c r="I148" s="94" t="n"/>
      <c r="J148" s="94" t="n"/>
    </row>
    <row r="149" ht="13.2" customHeight="1" s="405">
      <c r="A149" s="94" t="n"/>
      <c r="B149" s="94" t="n"/>
      <c r="C149" s="94" t="n"/>
      <c r="D149" s="94" t="n"/>
      <c r="E149" s="94" t="n"/>
      <c r="F149" s="367" t="n"/>
      <c r="G149" s="367" t="n"/>
      <c r="H149" s="94" t="n"/>
      <c r="I149" s="94" t="n"/>
      <c r="J149" s="94" t="n"/>
    </row>
    <row r="150" ht="13.2" customHeight="1" s="405">
      <c r="A150" s="94" t="n"/>
      <c r="B150" s="94" t="n"/>
      <c r="C150" s="94" t="n"/>
      <c r="D150" s="94" t="n"/>
      <c r="E150" s="94" t="n"/>
      <c r="F150" s="367" t="n"/>
      <c r="G150" s="367" t="n"/>
      <c r="H150" s="94" t="n"/>
      <c r="I150" s="94" t="n"/>
      <c r="J150" s="94" t="n"/>
    </row>
    <row r="151" ht="13.2" customHeight="1" s="405">
      <c r="A151" s="94" t="n"/>
      <c r="B151" s="94" t="n"/>
      <c r="C151" s="94" t="n"/>
      <c r="D151" s="94" t="n"/>
      <c r="E151" s="94" t="n"/>
      <c r="F151" s="367" t="n"/>
      <c r="G151" s="367" t="n"/>
      <c r="H151" s="94" t="n"/>
      <c r="I151" s="94" t="n"/>
      <c r="J151" s="94" t="n"/>
    </row>
    <row r="152" ht="13.2" customHeight="1" s="405">
      <c r="A152" s="94" t="n"/>
      <c r="B152" s="94" t="n"/>
      <c r="C152" s="94" t="n"/>
      <c r="D152" s="94" t="n"/>
      <c r="E152" s="94" t="n"/>
      <c r="F152" s="367" t="n"/>
      <c r="G152" s="367" t="n"/>
      <c r="H152" s="94" t="n"/>
      <c r="I152" s="94" t="n"/>
      <c r="J152" s="94" t="n"/>
    </row>
    <row r="153" ht="13.2" customHeight="1" s="405">
      <c r="A153" s="94" t="n"/>
      <c r="B153" s="94" t="n"/>
      <c r="C153" s="94" t="n"/>
      <c r="D153" s="94" t="n"/>
      <c r="E153" s="94" t="n"/>
      <c r="F153" s="367" t="n"/>
      <c r="G153" s="367" t="n"/>
      <c r="H153" s="94" t="n"/>
      <c r="I153" s="94" t="n"/>
      <c r="J153" s="94" t="n"/>
    </row>
    <row r="154" ht="13.2" customHeight="1" s="405">
      <c r="A154" s="94" t="n"/>
      <c r="B154" s="94" t="n"/>
      <c r="C154" s="94" t="n"/>
      <c r="D154" s="94" t="n"/>
      <c r="E154" s="94" t="n"/>
      <c r="F154" s="367" t="n"/>
      <c r="G154" s="367" t="n"/>
      <c r="H154" s="94" t="n"/>
      <c r="I154" s="94" t="n"/>
      <c r="J154" s="94" t="n"/>
    </row>
    <row r="155" ht="13.2" customHeight="1" s="405">
      <c r="A155" s="94" t="n"/>
      <c r="B155" s="94" t="n"/>
      <c r="C155" s="94" t="n"/>
      <c r="D155" s="94" t="n"/>
      <c r="E155" s="94" t="n"/>
      <c r="F155" s="367" t="n"/>
      <c r="G155" s="367" t="n"/>
      <c r="H155" s="94" t="n"/>
      <c r="I155" s="94" t="n"/>
      <c r="J155" s="94" t="n"/>
    </row>
    <row r="156" ht="13.2" customHeight="1" s="405">
      <c r="A156" s="94" t="n"/>
      <c r="B156" s="94" t="n"/>
      <c r="C156" s="94" t="n"/>
      <c r="D156" s="94" t="n"/>
      <c r="E156" s="94" t="n"/>
      <c r="F156" s="367" t="n"/>
      <c r="G156" s="367" t="n"/>
      <c r="H156" s="94" t="n"/>
      <c r="I156" s="94" t="n"/>
      <c r="J156" s="94" t="n"/>
    </row>
    <row r="157" ht="13.2" customHeight="1" s="405">
      <c r="A157" s="94" t="n"/>
      <c r="B157" s="94" t="n"/>
      <c r="C157" s="94" t="n"/>
      <c r="D157" s="94" t="n"/>
      <c r="E157" s="94" t="n"/>
      <c r="F157" s="367" t="n"/>
      <c r="G157" s="367" t="n"/>
      <c r="H157" s="94" t="n"/>
      <c r="I157" s="94" t="n"/>
      <c r="J157" s="94" t="n"/>
    </row>
    <row r="158" ht="13.2" customHeight="1" s="405">
      <c r="A158" s="94" t="n"/>
      <c r="B158" s="94" t="n"/>
      <c r="C158" s="94" t="n"/>
      <c r="D158" s="94" t="n"/>
      <c r="E158" s="94" t="n"/>
      <c r="F158" s="367" t="n"/>
      <c r="G158" s="367" t="n"/>
      <c r="H158" s="94" t="n"/>
      <c r="I158" s="94" t="n"/>
      <c r="J158" s="94" t="n"/>
    </row>
    <row r="159" ht="13.2" customHeight="1" s="405">
      <c r="A159" s="94" t="n"/>
      <c r="B159" s="94" t="n"/>
      <c r="C159" s="94" t="n"/>
      <c r="D159" s="94" t="n"/>
      <c r="E159" s="94" t="n"/>
      <c r="F159" s="367" t="n"/>
      <c r="G159" s="367" t="n"/>
      <c r="H159" s="94" t="n"/>
      <c r="I159" s="94" t="n"/>
      <c r="J159" s="94" t="n"/>
    </row>
    <row r="160" ht="13.2" customHeight="1" s="405">
      <c r="A160" s="94" t="n"/>
      <c r="B160" s="94" t="n"/>
      <c r="C160" s="94" t="n"/>
      <c r="D160" s="94" t="n"/>
      <c r="E160" s="94" t="n"/>
      <c r="F160" s="367" t="n"/>
      <c r="G160" s="367" t="n"/>
      <c r="H160" s="94" t="n"/>
      <c r="I160" s="94" t="n"/>
      <c r="J160" s="94" t="n"/>
    </row>
    <row r="161" ht="13.2" customHeight="1" s="405">
      <c r="A161" s="94" t="n"/>
      <c r="B161" s="94" t="n"/>
      <c r="C161" s="94" t="n"/>
      <c r="D161" s="94" t="n"/>
      <c r="E161" s="94" t="n"/>
      <c r="F161" s="367" t="n"/>
      <c r="G161" s="367" t="n"/>
      <c r="H161" s="94" t="n"/>
      <c r="I161" s="94" t="n"/>
      <c r="J161" s="94" t="n"/>
    </row>
    <row r="162" ht="13.2" customHeight="1" s="405">
      <c r="A162" s="94" t="n"/>
      <c r="B162" s="94" t="n"/>
      <c r="C162" s="94" t="n"/>
      <c r="D162" s="94" t="n"/>
      <c r="E162" s="94" t="n"/>
      <c r="F162" s="367" t="n"/>
      <c r="G162" s="367" t="n"/>
      <c r="H162" s="94" t="n"/>
      <c r="I162" s="94" t="n"/>
      <c r="J162" s="94" t="n"/>
    </row>
    <row r="163" ht="13.2" customHeight="1" s="405">
      <c r="A163" s="94" t="n"/>
      <c r="B163" s="94" t="n"/>
      <c r="C163" s="94" t="n"/>
      <c r="D163" s="94" t="n"/>
      <c r="E163" s="94" t="n"/>
      <c r="F163" s="367" t="n"/>
      <c r="G163" s="367" t="n"/>
      <c r="H163" s="94" t="n"/>
      <c r="I163" s="94" t="n"/>
      <c r="J163" s="94" t="n"/>
    </row>
    <row r="164" ht="13.2" customHeight="1" s="405">
      <c r="A164" s="94" t="n"/>
      <c r="B164" s="94" t="n"/>
      <c r="C164" s="94" t="n"/>
      <c r="D164" s="94" t="n"/>
      <c r="E164" s="94" t="n"/>
      <c r="F164" s="367" t="n"/>
      <c r="G164" s="367" t="n"/>
      <c r="H164" s="94" t="n"/>
      <c r="I164" s="94" t="n"/>
      <c r="J164" s="94" t="n"/>
    </row>
    <row r="165" ht="13.2" customHeight="1" s="405">
      <c r="A165" s="94" t="n"/>
      <c r="B165" s="94" t="n"/>
      <c r="C165" s="94" t="n"/>
      <c r="D165" s="94" t="n"/>
      <c r="E165" s="94" t="n"/>
      <c r="F165" s="367" t="n"/>
      <c r="G165" s="367" t="n"/>
      <c r="H165" s="94" t="n"/>
      <c r="I165" s="94" t="n"/>
      <c r="J165" s="94" t="n"/>
    </row>
    <row r="166" ht="13.2" customHeight="1" s="405">
      <c r="A166" s="94" t="n"/>
      <c r="B166" s="94" t="n"/>
      <c r="C166" s="94" t="n"/>
      <c r="D166" s="94" t="n"/>
      <c r="E166" s="94" t="n"/>
      <c r="F166" s="367" t="n"/>
      <c r="G166" s="367" t="n"/>
      <c r="H166" s="94" t="n"/>
      <c r="I166" s="94" t="n"/>
      <c r="J166" s="94" t="n"/>
    </row>
    <row r="167" ht="13.2" customHeight="1" s="405">
      <c r="A167" s="94" t="n"/>
      <c r="B167" s="94" t="n"/>
      <c r="C167" s="94" t="n"/>
      <c r="D167" s="94" t="n"/>
      <c r="E167" s="94" t="n"/>
      <c r="F167" s="367" t="n"/>
      <c r="G167" s="367" t="n"/>
      <c r="H167" s="94" t="n"/>
      <c r="I167" s="94" t="n"/>
      <c r="J167" s="94" t="n"/>
    </row>
    <row r="168" ht="13.2" customHeight="1" s="405">
      <c r="A168" s="94" t="n"/>
      <c r="B168" s="94" t="n"/>
      <c r="C168" s="94" t="n"/>
      <c r="D168" s="94" t="n"/>
      <c r="E168" s="94" t="n"/>
      <c r="F168" s="367" t="n"/>
      <c r="G168" s="367" t="n"/>
      <c r="H168" s="94" t="n"/>
      <c r="I168" s="94" t="n"/>
      <c r="J168" s="94" t="n"/>
    </row>
    <row r="169" ht="13.2" customHeight="1" s="405">
      <c r="A169" s="94" t="n"/>
      <c r="B169" s="94" t="n"/>
      <c r="C169" s="94" t="n"/>
      <c r="D169" s="94" t="n"/>
      <c r="E169" s="94" t="n"/>
      <c r="F169" s="367" t="n"/>
      <c r="G169" s="367" t="n"/>
      <c r="H169" s="94" t="n"/>
      <c r="I169" s="94" t="n"/>
      <c r="J169" s="94" t="n"/>
    </row>
    <row r="170" ht="13.2" customHeight="1" s="405">
      <c r="A170" s="94" t="n"/>
      <c r="B170" s="94" t="n"/>
      <c r="C170" s="94" t="n"/>
      <c r="D170" s="94" t="n"/>
      <c r="E170" s="94" t="n"/>
      <c r="F170" s="367" t="n"/>
      <c r="G170" s="367" t="n"/>
      <c r="H170" s="94" t="n"/>
      <c r="I170" s="94" t="n"/>
      <c r="J170" s="94" t="n"/>
    </row>
    <row r="171" ht="13.2" customHeight="1" s="405">
      <c r="A171" s="94" t="n"/>
      <c r="B171" s="94" t="n"/>
      <c r="C171" s="94" t="n"/>
      <c r="D171" s="94" t="n"/>
      <c r="E171" s="94" t="n"/>
      <c r="F171" s="367" t="n"/>
      <c r="G171" s="367" t="n"/>
      <c r="H171" s="94" t="n"/>
      <c r="I171" s="94" t="n"/>
      <c r="J171" s="94" t="n"/>
    </row>
    <row r="172" ht="13.2" customHeight="1" s="405">
      <c r="A172" s="94" t="n"/>
      <c r="B172" s="94" t="n"/>
      <c r="C172" s="94" t="n"/>
      <c r="D172" s="94" t="n"/>
      <c r="E172" s="94" t="n"/>
      <c r="F172" s="367" t="n"/>
      <c r="G172" s="367" t="n"/>
      <c r="H172" s="94" t="n"/>
      <c r="I172" s="94" t="n"/>
      <c r="J172" s="94" t="n"/>
    </row>
    <row r="173" ht="13.2" customHeight="1" s="405">
      <c r="A173" s="94" t="n"/>
      <c r="B173" s="94" t="n"/>
      <c r="C173" s="94" t="n"/>
      <c r="D173" s="94" t="n"/>
      <c r="E173" s="94" t="n"/>
      <c r="F173" s="367" t="n"/>
      <c r="G173" s="367" t="n"/>
      <c r="H173" s="94" t="n"/>
      <c r="I173" s="94" t="n"/>
      <c r="J173" s="94" t="n"/>
    </row>
    <row r="174" ht="13.2" customHeight="1" s="405">
      <c r="A174" s="94" t="n"/>
      <c r="B174" s="94" t="n"/>
      <c r="C174" s="94" t="n"/>
      <c r="D174" s="94" t="n"/>
      <c r="E174" s="94" t="n"/>
      <c r="F174" s="367" t="n"/>
      <c r="G174" s="367" t="n"/>
      <c r="H174" s="94" t="n"/>
      <c r="I174" s="94" t="n"/>
      <c r="J174" s="94" t="n"/>
    </row>
    <row r="175" ht="13.2" customHeight="1" s="405">
      <c r="A175" s="94" t="n"/>
      <c r="B175" s="94" t="n"/>
      <c r="C175" s="94" t="n"/>
      <c r="D175" s="94" t="n"/>
      <c r="E175" s="94" t="n"/>
      <c r="F175" s="367" t="n"/>
      <c r="G175" s="367" t="n"/>
      <c r="H175" s="94" t="n"/>
      <c r="I175" s="94" t="n"/>
      <c r="J175" s="94" t="n"/>
    </row>
    <row r="176" ht="13.2" customHeight="1" s="405">
      <c r="A176" s="94" t="n"/>
      <c r="B176" s="94" t="n"/>
      <c r="C176" s="94" t="n"/>
      <c r="D176" s="94" t="n"/>
      <c r="E176" s="94" t="n"/>
      <c r="F176" s="367" t="n"/>
      <c r="G176" s="367" t="n"/>
      <c r="H176" s="94" t="n"/>
      <c r="I176" s="94" t="n"/>
      <c r="J176" s="94" t="n"/>
    </row>
    <row r="177" ht="13.2" customHeight="1" s="405">
      <c r="A177" s="94" t="n"/>
      <c r="B177" s="94" t="n"/>
      <c r="C177" s="94" t="n"/>
      <c r="D177" s="94" t="n"/>
      <c r="E177" s="94" t="n"/>
      <c r="F177" s="367" t="n"/>
      <c r="G177" s="367" t="n"/>
      <c r="H177" s="94" t="n"/>
      <c r="I177" s="94" t="n"/>
      <c r="J177" s="94" t="n"/>
    </row>
    <row r="178" ht="13.2" customHeight="1" s="405">
      <c r="A178" s="94" t="n"/>
      <c r="B178" s="94" t="n"/>
      <c r="C178" s="94" t="n"/>
      <c r="D178" s="94" t="n"/>
      <c r="E178" s="94" t="n"/>
      <c r="F178" s="367" t="n"/>
      <c r="G178" s="367" t="n"/>
      <c r="H178" s="94" t="n"/>
      <c r="I178" s="94" t="n"/>
      <c r="J178" s="94" t="n"/>
    </row>
    <row r="179" ht="13.2" customHeight="1" s="405">
      <c r="A179" s="94" t="n"/>
      <c r="B179" s="94" t="n"/>
      <c r="C179" s="94" t="n"/>
      <c r="D179" s="94" t="n"/>
      <c r="E179" s="94" t="n"/>
      <c r="F179" s="367" t="n"/>
      <c r="G179" s="367" t="n"/>
      <c r="H179" s="94" t="n"/>
      <c r="I179" s="94" t="n"/>
      <c r="J179" s="94" t="n"/>
    </row>
    <row r="180" ht="13.2" customHeight="1" s="405">
      <c r="A180" s="94" t="n"/>
      <c r="B180" s="94" t="n"/>
      <c r="C180" s="94" t="n"/>
      <c r="D180" s="94" t="n"/>
      <c r="E180" s="94" t="n"/>
      <c r="F180" s="367" t="n"/>
      <c r="G180" s="367" t="n"/>
      <c r="H180" s="94" t="n"/>
      <c r="I180" s="94" t="n"/>
      <c r="J180" s="94" t="n"/>
    </row>
    <row r="181" ht="13.2" customHeight="1" s="405">
      <c r="A181" s="94" t="n"/>
      <c r="B181" s="94" t="n"/>
      <c r="C181" s="94" t="n"/>
      <c r="D181" s="94" t="n"/>
      <c r="E181" s="94" t="n"/>
      <c r="F181" s="367" t="n"/>
      <c r="G181" s="367" t="n"/>
      <c r="H181" s="94" t="n"/>
      <c r="I181" s="94" t="n"/>
      <c r="J181" s="94" t="n"/>
    </row>
    <row r="182" ht="13.2" customHeight="1" s="405">
      <c r="A182" s="94" t="n"/>
      <c r="B182" s="94" t="n"/>
      <c r="C182" s="94" t="n"/>
      <c r="D182" s="94" t="n"/>
      <c r="E182" s="94" t="n"/>
      <c r="F182" s="367" t="n"/>
      <c r="G182" s="367" t="n"/>
      <c r="H182" s="94" t="n"/>
      <c r="I182" s="94" t="n"/>
      <c r="J182" s="94" t="n"/>
    </row>
    <row r="183" ht="13.2" customHeight="1" s="405">
      <c r="A183" s="94" t="n"/>
      <c r="B183" s="94" t="n"/>
      <c r="C183" s="94" t="n"/>
      <c r="D183" s="94" t="n"/>
      <c r="E183" s="94" t="n"/>
      <c r="F183" s="367" t="n"/>
      <c r="G183" s="367" t="n"/>
      <c r="H183" s="94" t="n"/>
      <c r="I183" s="94" t="n"/>
      <c r="J183" s="94" t="n"/>
    </row>
    <row r="184" ht="13.2" customHeight="1" s="405">
      <c r="A184" s="94" t="n"/>
      <c r="B184" s="94" t="n"/>
      <c r="C184" s="94" t="n"/>
      <c r="D184" s="94" t="n"/>
      <c r="E184" s="94" t="n"/>
      <c r="F184" s="367" t="n"/>
      <c r="G184" s="367" t="n"/>
      <c r="H184" s="94" t="n"/>
      <c r="I184" s="94" t="n"/>
      <c r="J184" s="94" t="n"/>
    </row>
    <row r="185" ht="13.2" customHeight="1" s="405">
      <c r="A185" s="94" t="n"/>
      <c r="B185" s="94" t="n"/>
      <c r="C185" s="94" t="n"/>
      <c r="D185" s="94" t="n"/>
      <c r="E185" s="94" t="n"/>
      <c r="F185" s="367" t="n"/>
      <c r="G185" s="367" t="n"/>
      <c r="H185" s="94" t="n"/>
      <c r="I185" s="94" t="n"/>
      <c r="J185" s="94" t="n"/>
    </row>
    <row r="186" ht="13.2" customHeight="1" s="405">
      <c r="A186" s="94" t="n"/>
      <c r="B186" s="94" t="n"/>
      <c r="C186" s="94" t="n"/>
      <c r="D186" s="94" t="n"/>
      <c r="E186" s="94" t="n"/>
      <c r="F186" s="367" t="n"/>
      <c r="G186" s="367" t="n"/>
      <c r="H186" s="94" t="n"/>
      <c r="I186" s="94" t="n"/>
      <c r="J186" s="94" t="n"/>
    </row>
    <row r="187" ht="13.2" customHeight="1" s="405">
      <c r="A187" s="94" t="n"/>
      <c r="B187" s="94" t="n"/>
      <c r="C187" s="94" t="n"/>
      <c r="D187" s="94" t="n"/>
      <c r="E187" s="94" t="n"/>
      <c r="F187" s="367" t="n"/>
      <c r="G187" s="367" t="n"/>
      <c r="H187" s="94" t="n"/>
      <c r="I187" s="94" t="n"/>
      <c r="J187" s="94" t="n"/>
    </row>
    <row r="188" ht="13.2" customHeight="1" s="405">
      <c r="A188" s="94" t="n"/>
      <c r="B188" s="94" t="n"/>
      <c r="C188" s="94" t="n"/>
      <c r="D188" s="94" t="n"/>
      <c r="E188" s="94" t="n"/>
      <c r="F188" s="367" t="n"/>
      <c r="G188" s="367" t="n"/>
      <c r="H188" s="94" t="n"/>
      <c r="I188" s="94" t="n"/>
      <c r="J188" s="94" t="n"/>
    </row>
    <row r="189" ht="13.2" customHeight="1" s="405">
      <c r="A189" s="94" t="n"/>
      <c r="B189" s="94" t="n"/>
      <c r="C189" s="94" t="n"/>
      <c r="D189" s="94" t="n"/>
      <c r="E189" s="94" t="n"/>
      <c r="F189" s="367" t="n"/>
      <c r="G189" s="367" t="n"/>
      <c r="H189" s="94" t="n"/>
      <c r="I189" s="94" t="n"/>
      <c r="J189" s="94" t="n"/>
    </row>
    <row r="190" ht="13.2" customHeight="1" s="405">
      <c r="A190" s="94" t="n"/>
      <c r="B190" s="94" t="n"/>
      <c r="C190" s="94" t="n"/>
      <c r="D190" s="94" t="n"/>
      <c r="E190" s="94" t="n"/>
      <c r="F190" s="367" t="n"/>
      <c r="G190" s="367" t="n"/>
      <c r="H190" s="94" t="n"/>
      <c r="I190" s="94" t="n"/>
      <c r="J190" s="94" t="n"/>
    </row>
    <row r="191" ht="13.2" customHeight="1" s="405">
      <c r="A191" s="94" t="n"/>
      <c r="B191" s="94" t="n"/>
      <c r="C191" s="94" t="n"/>
      <c r="D191" s="94" t="n"/>
      <c r="E191" s="94" t="n"/>
      <c r="F191" s="367" t="n"/>
      <c r="G191" s="367" t="n"/>
      <c r="H191" s="94" t="n"/>
      <c r="I191" s="94" t="n"/>
      <c r="J191" s="94" t="n"/>
    </row>
    <row r="192" ht="13.2" customHeight="1" s="405">
      <c r="A192" s="94" t="n"/>
      <c r="B192" s="94" t="n"/>
      <c r="C192" s="94" t="n"/>
      <c r="D192" s="94" t="n"/>
      <c r="E192" s="94" t="n"/>
      <c r="F192" s="367" t="n"/>
      <c r="G192" s="367" t="n"/>
      <c r="H192" s="94" t="n"/>
      <c r="I192" s="94" t="n"/>
      <c r="J192" s="94" t="n"/>
    </row>
    <row r="193" ht="13.2" customHeight="1" s="405">
      <c r="A193" s="94" t="n"/>
      <c r="B193" s="94" t="n"/>
      <c r="C193" s="94" t="n"/>
      <c r="D193" s="94" t="n"/>
      <c r="E193" s="94" t="n"/>
      <c r="F193" s="367" t="n"/>
      <c r="G193" s="367" t="n"/>
      <c r="H193" s="94" t="n"/>
      <c r="I193" s="94" t="n"/>
      <c r="J193" s="94" t="n"/>
    </row>
    <row r="194" ht="13.2" customHeight="1" s="405">
      <c r="A194" s="94" t="n"/>
      <c r="B194" s="94" t="n"/>
      <c r="C194" s="94" t="n"/>
      <c r="D194" s="94" t="n"/>
      <c r="E194" s="94" t="n"/>
      <c r="F194" s="367" t="n"/>
      <c r="G194" s="367" t="n"/>
      <c r="H194" s="94" t="n"/>
      <c r="I194" s="94" t="n"/>
      <c r="J194" s="94" t="n"/>
    </row>
    <row r="195" ht="13.2" customHeight="1" s="405">
      <c r="A195" s="94" t="n"/>
      <c r="B195" s="94" t="n"/>
      <c r="C195" s="94" t="n"/>
      <c r="D195" s="94" t="n"/>
      <c r="E195" s="94" t="n"/>
      <c r="F195" s="367" t="n"/>
      <c r="G195" s="367" t="n"/>
      <c r="H195" s="94" t="n"/>
      <c r="I195" s="94" t="n"/>
      <c r="J195" s="94" t="n"/>
    </row>
    <row r="196" ht="13.2" customHeight="1" s="405">
      <c r="A196" s="94" t="n"/>
      <c r="B196" s="94" t="n"/>
      <c r="C196" s="94" t="n"/>
      <c r="D196" s="94" t="n"/>
      <c r="E196" s="94" t="n"/>
      <c r="F196" s="367" t="n"/>
      <c r="G196" s="367" t="n"/>
      <c r="H196" s="94" t="n"/>
      <c r="I196" s="94" t="n"/>
      <c r="J196" s="94" t="n"/>
    </row>
    <row r="197" ht="13.2" customHeight="1" s="405">
      <c r="A197" s="94" t="n"/>
      <c r="B197" s="94" t="n"/>
      <c r="C197" s="94" t="n"/>
      <c r="D197" s="94" t="n"/>
      <c r="E197" s="94" t="n"/>
      <c r="F197" s="367" t="n"/>
      <c r="G197" s="367" t="n"/>
      <c r="H197" s="94" t="n"/>
      <c r="I197" s="94" t="n"/>
      <c r="J197" s="94" t="n"/>
    </row>
    <row r="198" ht="13.2" customHeight="1" s="405">
      <c r="A198" s="94" t="n"/>
      <c r="B198" s="94" t="n"/>
      <c r="C198" s="94" t="n"/>
      <c r="D198" s="94" t="n"/>
      <c r="E198" s="94" t="n"/>
      <c r="F198" s="367" t="n"/>
      <c r="G198" s="367" t="n"/>
      <c r="H198" s="94" t="n"/>
      <c r="I198" s="94" t="n"/>
      <c r="J198" s="94" t="n"/>
    </row>
    <row r="199" ht="13.2" customHeight="1" s="405">
      <c r="A199" s="94" t="n"/>
      <c r="B199" s="94" t="n"/>
      <c r="C199" s="94" t="n"/>
      <c r="D199" s="94" t="n"/>
      <c r="E199" s="94" t="n"/>
      <c r="F199" s="367" t="n"/>
      <c r="G199" s="367" t="n"/>
      <c r="H199" s="94" t="n"/>
      <c r="I199" s="94" t="n"/>
      <c r="J199" s="94" t="n"/>
    </row>
    <row r="200" ht="13.2" customHeight="1" s="405">
      <c r="A200" s="94" t="n"/>
      <c r="B200" s="94" t="n"/>
      <c r="C200" s="94" t="n"/>
      <c r="D200" s="94" t="n"/>
      <c r="E200" s="94" t="n"/>
      <c r="F200" s="367" t="n"/>
      <c r="G200" s="367" t="n"/>
      <c r="H200" s="94" t="n"/>
      <c r="I200" s="94" t="n"/>
      <c r="J200" s="94" t="n"/>
    </row>
    <row r="201" ht="13.2" customHeight="1" s="405">
      <c r="A201" s="94" t="n"/>
      <c r="B201" s="94" t="n"/>
      <c r="C201" s="94" t="n"/>
      <c r="D201" s="94" t="n"/>
      <c r="E201" s="94" t="n"/>
      <c r="F201" s="367" t="n"/>
      <c r="G201" s="367" t="n"/>
      <c r="H201" s="94" t="n"/>
      <c r="I201" s="94" t="n"/>
      <c r="J201" s="94" t="n"/>
    </row>
    <row r="202" ht="13.2" customHeight="1" s="405">
      <c r="A202" s="94" t="n"/>
      <c r="B202" s="94" t="n"/>
      <c r="C202" s="94" t="n"/>
      <c r="D202" s="94" t="n"/>
      <c r="E202" s="94" t="n"/>
      <c r="F202" s="367" t="n"/>
      <c r="G202" s="367" t="n"/>
      <c r="H202" s="94" t="n"/>
      <c r="I202" s="94" t="n"/>
      <c r="J202" s="94" t="n"/>
    </row>
    <row r="203" ht="13.2" customHeight="1" s="405">
      <c r="A203" s="94" t="n"/>
      <c r="B203" s="94" t="n"/>
      <c r="C203" s="94" t="n"/>
      <c r="D203" s="94" t="n"/>
      <c r="E203" s="94" t="n"/>
      <c r="F203" s="367" t="n"/>
      <c r="G203" s="367" t="n"/>
      <c r="H203" s="94" t="n"/>
      <c r="I203" s="94" t="n"/>
      <c r="J203" s="94" t="n"/>
    </row>
    <row r="204" ht="13.2" customHeight="1" s="405">
      <c r="A204" s="94" t="n"/>
      <c r="B204" s="94" t="n"/>
      <c r="C204" s="94" t="n"/>
      <c r="D204" s="94" t="n"/>
      <c r="E204" s="94" t="n"/>
      <c r="F204" s="367" t="n"/>
      <c r="G204" s="367" t="n"/>
      <c r="H204" s="94" t="n"/>
      <c r="I204" s="94" t="n"/>
      <c r="J204" s="94" t="n"/>
    </row>
    <row r="205" ht="13.2" customHeight="1" s="405">
      <c r="A205" s="94" t="n"/>
      <c r="B205" s="94" t="n"/>
      <c r="C205" s="94" t="n"/>
      <c r="D205" s="94" t="n"/>
      <c r="E205" s="94" t="n"/>
      <c r="F205" s="367" t="n"/>
      <c r="G205" s="367" t="n"/>
      <c r="H205" s="94" t="n"/>
      <c r="I205" s="94" t="n"/>
      <c r="J205" s="94" t="n"/>
    </row>
    <row r="206" ht="13.2" customHeight="1" s="405">
      <c r="A206" s="94" t="n"/>
      <c r="B206" s="94" t="n"/>
      <c r="C206" s="94" t="n"/>
      <c r="D206" s="94" t="n"/>
      <c r="E206" s="94" t="n"/>
      <c r="F206" s="367" t="n"/>
      <c r="G206" s="367" t="n"/>
      <c r="H206" s="94" t="n"/>
      <c r="I206" s="94" t="n"/>
      <c r="J206" s="94" t="n"/>
    </row>
    <row r="207" ht="13.2" customHeight="1" s="405">
      <c r="A207" s="94" t="n"/>
      <c r="B207" s="94" t="n"/>
      <c r="C207" s="94" t="n"/>
      <c r="D207" s="94" t="n"/>
      <c r="E207" s="94" t="n"/>
      <c r="F207" s="367" t="n"/>
      <c r="G207" s="367" t="n"/>
      <c r="H207" s="94" t="n"/>
      <c r="I207" s="94" t="n"/>
      <c r="J207" s="94" t="n"/>
    </row>
    <row r="208" ht="13.2" customHeight="1" s="405">
      <c r="A208" s="94" t="n"/>
      <c r="B208" s="94" t="n"/>
      <c r="C208" s="94" t="n"/>
      <c r="D208" s="94" t="n"/>
      <c r="E208" s="94" t="n"/>
      <c r="F208" s="367" t="n"/>
      <c r="G208" s="367" t="n"/>
      <c r="H208" s="94" t="n"/>
      <c r="I208" s="94" t="n"/>
      <c r="J208" s="94" t="n"/>
    </row>
    <row r="209" ht="13.2" customHeight="1" s="405">
      <c r="A209" s="94" t="n"/>
      <c r="B209" s="94" t="n"/>
      <c r="C209" s="94" t="n"/>
      <c r="D209" s="94" t="n"/>
      <c r="E209" s="94" t="n"/>
      <c r="F209" s="367" t="n"/>
      <c r="G209" s="367" t="n"/>
      <c r="H209" s="94" t="n"/>
      <c r="I209" s="94" t="n"/>
      <c r="J209" s="94" t="n"/>
    </row>
    <row r="210" ht="13.2" customHeight="1" s="405">
      <c r="A210" s="94" t="n"/>
      <c r="B210" s="94" t="n"/>
      <c r="C210" s="94" t="n"/>
      <c r="D210" s="94" t="n"/>
      <c r="E210" s="94" t="n"/>
      <c r="F210" s="367" t="n"/>
      <c r="G210" s="367" t="n"/>
      <c r="H210" s="94" t="n"/>
      <c r="I210" s="94" t="n"/>
      <c r="J210" s="94" t="n"/>
    </row>
    <row r="211" ht="13.2" customHeight="1" s="405">
      <c r="A211" s="94" t="n"/>
      <c r="B211" s="94" t="n"/>
      <c r="C211" s="94" t="n"/>
      <c r="D211" s="94" t="n"/>
      <c r="E211" s="94" t="n"/>
      <c r="F211" s="367" t="n"/>
      <c r="G211" s="367" t="n"/>
      <c r="H211" s="94" t="n"/>
      <c r="I211" s="94" t="n"/>
      <c r="J211" s="94" t="n"/>
    </row>
    <row r="212" ht="13.2" customHeight="1" s="405">
      <c r="A212" s="94" t="n"/>
      <c r="B212" s="94" t="n"/>
      <c r="C212" s="94" t="n"/>
      <c r="D212" s="94" t="n"/>
      <c r="E212" s="94" t="n"/>
      <c r="F212" s="367" t="n"/>
      <c r="G212" s="367" t="n"/>
      <c r="H212" s="94" t="n"/>
      <c r="I212" s="94" t="n"/>
      <c r="J212" s="94" t="n"/>
    </row>
    <row r="213" ht="13.2" customHeight="1" s="405">
      <c r="A213" s="94" t="n"/>
      <c r="B213" s="94" t="n"/>
      <c r="C213" s="94" t="n"/>
      <c r="D213" s="94" t="n"/>
      <c r="E213" s="94" t="n"/>
      <c r="F213" s="367" t="n"/>
      <c r="G213" s="367" t="n"/>
      <c r="H213" s="94" t="n"/>
      <c r="I213" s="94" t="n"/>
      <c r="J213" s="94" t="n"/>
    </row>
    <row r="214" ht="13.2" customHeight="1" s="405">
      <c r="A214" s="94" t="n"/>
      <c r="B214" s="94" t="n"/>
      <c r="C214" s="94" t="n"/>
      <c r="D214" s="94" t="n"/>
      <c r="E214" s="94" t="n"/>
      <c r="F214" s="367" t="n"/>
      <c r="G214" s="367" t="n"/>
      <c r="H214" s="94" t="n"/>
      <c r="I214" s="94" t="n"/>
      <c r="J214" s="94" t="n"/>
    </row>
    <row r="215" ht="13.2" customHeight="1" s="405">
      <c r="A215" s="94" t="n"/>
      <c r="B215" s="94" t="n"/>
      <c r="C215" s="94" t="n"/>
      <c r="D215" s="94" t="n"/>
      <c r="E215" s="94" t="n"/>
      <c r="F215" s="367" t="n"/>
      <c r="G215" s="367" t="n"/>
      <c r="H215" s="94" t="n"/>
      <c r="I215" s="94" t="n"/>
      <c r="J215" s="94" t="n"/>
    </row>
    <row r="216" ht="13.2" customHeight="1" s="405">
      <c r="A216" s="94" t="n"/>
      <c r="B216" s="94" t="n"/>
      <c r="C216" s="94" t="n"/>
      <c r="D216" s="94" t="n"/>
      <c r="E216" s="94" t="n"/>
      <c r="F216" s="367" t="n"/>
      <c r="G216" s="367" t="n"/>
      <c r="H216" s="94" t="n"/>
      <c r="I216" s="94" t="n"/>
      <c r="J216" s="94" t="n"/>
    </row>
    <row r="217" ht="13.2" customHeight="1" s="405">
      <c r="A217" s="94" t="n"/>
      <c r="B217" s="94" t="n"/>
      <c r="C217" s="94" t="n"/>
      <c r="D217" s="94" t="n"/>
      <c r="E217" s="94" t="n"/>
      <c r="F217" s="367" t="n"/>
      <c r="G217" s="367" t="n"/>
      <c r="H217" s="94" t="n"/>
      <c r="I217" s="94" t="n"/>
      <c r="J217" s="94" t="n"/>
    </row>
    <row r="218" ht="13.2" customHeight="1" s="405">
      <c r="A218" s="94" t="n"/>
      <c r="B218" s="94" t="n"/>
      <c r="C218" s="94" t="n"/>
      <c r="D218" s="94" t="n"/>
      <c r="E218" s="94" t="n"/>
      <c r="F218" s="367" t="n"/>
      <c r="G218" s="367" t="n"/>
      <c r="H218" s="94" t="n"/>
      <c r="I218" s="94" t="n"/>
      <c r="J218" s="94" t="n"/>
    </row>
    <row r="219" ht="13.2" customHeight="1" s="405">
      <c r="A219" s="94" t="n"/>
      <c r="B219" s="94" t="n"/>
      <c r="C219" s="94" t="n"/>
      <c r="D219" s="94" t="n"/>
      <c r="E219" s="94" t="n"/>
      <c r="F219" s="367" t="n"/>
      <c r="G219" s="367" t="n"/>
      <c r="H219" s="94" t="n"/>
      <c r="I219" s="94" t="n"/>
      <c r="J219" s="94" t="n"/>
    </row>
    <row r="220" ht="13.2" customHeight="1" s="405">
      <c r="A220" s="94" t="n"/>
      <c r="B220" s="94" t="n"/>
      <c r="C220" s="94" t="n"/>
      <c r="D220" s="94" t="n"/>
      <c r="E220" s="94" t="n"/>
      <c r="F220" s="367" t="n"/>
      <c r="G220" s="367" t="n"/>
      <c r="H220" s="94" t="n"/>
      <c r="I220" s="94" t="n"/>
      <c r="J220" s="94" t="n"/>
    </row>
    <row r="221" ht="13.2" customHeight="1" s="405">
      <c r="A221" s="94" t="n"/>
      <c r="B221" s="94" t="n"/>
      <c r="C221" s="94" t="n"/>
      <c r="D221" s="94" t="n"/>
      <c r="E221" s="94" t="n"/>
      <c r="F221" s="367" t="n"/>
      <c r="G221" s="367" t="n"/>
      <c r="H221" s="94" t="n"/>
      <c r="I221" s="94" t="n"/>
      <c r="J221" s="94" t="n"/>
    </row>
    <row r="222" ht="13.2" customHeight="1" s="405">
      <c r="A222" s="94" t="n"/>
      <c r="B222" s="94" t="n"/>
      <c r="C222" s="94" t="n"/>
      <c r="D222" s="94" t="n"/>
      <c r="E222" s="94" t="n"/>
      <c r="F222" s="367" t="n"/>
      <c r="G222" s="367" t="n"/>
      <c r="H222" s="94" t="n"/>
      <c r="I222" s="94" t="n"/>
      <c r="J222" s="94" t="n"/>
    </row>
    <row r="223" ht="13.2" customHeight="1" s="405">
      <c r="A223" s="94" t="n"/>
      <c r="B223" s="94" t="n"/>
      <c r="C223" s="94" t="n"/>
      <c r="D223" s="94" t="n"/>
      <c r="E223" s="94" t="n"/>
      <c r="F223" s="367" t="n"/>
      <c r="G223" s="367" t="n"/>
      <c r="H223" s="94" t="n"/>
      <c r="I223" s="94" t="n"/>
      <c r="J223" s="94" t="n"/>
    </row>
    <row r="224" ht="13.2" customHeight="1" s="405">
      <c r="A224" s="94" t="n"/>
      <c r="B224" s="94" t="n"/>
      <c r="C224" s="94" t="n"/>
      <c r="D224" s="94" t="n"/>
      <c r="E224" s="94" t="n"/>
      <c r="F224" s="367" t="n"/>
      <c r="G224" s="367" t="n"/>
      <c r="H224" s="94" t="n"/>
      <c r="I224" s="94" t="n"/>
      <c r="J224" s="94" t="n"/>
    </row>
    <row r="225" ht="13.2" customHeight="1" s="405">
      <c r="A225" s="94" t="n"/>
      <c r="B225" s="94" t="n"/>
      <c r="C225" s="94" t="n"/>
      <c r="D225" s="94" t="n"/>
      <c r="E225" s="94" t="n"/>
      <c r="F225" s="367" t="n"/>
      <c r="G225" s="367" t="n"/>
      <c r="H225" s="94" t="n"/>
      <c r="I225" s="94" t="n"/>
      <c r="J225" s="94" t="n"/>
    </row>
    <row r="226" ht="13.2" customHeight="1" s="405">
      <c r="A226" s="94" t="n"/>
      <c r="B226" s="94" t="n"/>
      <c r="C226" s="94" t="n"/>
      <c r="D226" s="94" t="n"/>
      <c r="E226" s="94" t="n"/>
      <c r="F226" s="367" t="n"/>
      <c r="G226" s="367" t="n"/>
      <c r="H226" s="94" t="n"/>
      <c r="I226" s="94" t="n"/>
      <c r="J226" s="94" t="n"/>
    </row>
    <row r="227" ht="13.2" customHeight="1" s="405">
      <c r="A227" s="94" t="n"/>
      <c r="B227" s="94" t="n"/>
      <c r="C227" s="94" t="n"/>
      <c r="D227" s="94" t="n"/>
      <c r="E227" s="94" t="n"/>
      <c r="F227" s="367" t="n"/>
      <c r="G227" s="367" t="n"/>
      <c r="H227" s="94" t="n"/>
      <c r="I227" s="94" t="n"/>
      <c r="J227" s="94" t="n"/>
    </row>
    <row r="228" ht="13.2" customHeight="1" s="405">
      <c r="A228" s="94" t="n"/>
      <c r="B228" s="94" t="n"/>
      <c r="C228" s="94" t="n"/>
      <c r="D228" s="94" t="n"/>
      <c r="E228" s="94" t="n"/>
      <c r="F228" s="367" t="n"/>
      <c r="G228" s="367" t="n"/>
      <c r="H228" s="94" t="n"/>
      <c r="I228" s="94" t="n"/>
      <c r="J228" s="94" t="n"/>
    </row>
    <row r="229" ht="13.2" customHeight="1" s="405">
      <c r="A229" s="94" t="n"/>
      <c r="B229" s="94" t="n"/>
      <c r="C229" s="94" t="n"/>
      <c r="D229" s="94" t="n"/>
      <c r="E229" s="94" t="n"/>
      <c r="F229" s="367" t="n"/>
      <c r="G229" s="367" t="n"/>
      <c r="H229" s="94" t="n"/>
      <c r="I229" s="94" t="n"/>
      <c r="J229" s="94" t="n"/>
    </row>
    <row r="230" ht="13.2" customHeight="1" s="405">
      <c r="A230" s="94" t="n"/>
      <c r="B230" s="94" t="n"/>
      <c r="C230" s="94" t="n"/>
      <c r="D230" s="94" t="n"/>
      <c r="E230" s="94" t="n"/>
      <c r="F230" s="367" t="n"/>
      <c r="G230" s="367" t="n"/>
      <c r="H230" s="94" t="n"/>
      <c r="I230" s="94" t="n"/>
      <c r="J230" s="94" t="n"/>
    </row>
    <row r="231" ht="13.2" customHeight="1" s="405">
      <c r="A231" s="94" t="n"/>
      <c r="B231" s="94" t="n"/>
      <c r="C231" s="94" t="n"/>
      <c r="D231" s="94" t="n"/>
      <c r="E231" s="94" t="n"/>
      <c r="F231" s="367" t="n"/>
      <c r="G231" s="367" t="n"/>
      <c r="H231" s="94" t="n"/>
      <c r="I231" s="94" t="n"/>
      <c r="J231" s="94" t="n"/>
    </row>
    <row r="232" ht="13.2" customHeight="1" s="405">
      <c r="A232" s="94" t="n"/>
      <c r="B232" s="94" t="n"/>
      <c r="C232" s="94" t="n"/>
      <c r="D232" s="94" t="n"/>
      <c r="E232" s="94" t="n"/>
      <c r="F232" s="367" t="n"/>
      <c r="G232" s="367" t="n"/>
      <c r="H232" s="94" t="n"/>
      <c r="I232" s="94" t="n"/>
      <c r="J232" s="94" t="n"/>
    </row>
    <row r="233" ht="13.2" customHeight="1" s="405">
      <c r="A233" s="94" t="n"/>
      <c r="B233" s="94" t="n"/>
      <c r="C233" s="94" t="n"/>
      <c r="D233" s="94" t="n"/>
      <c r="E233" s="94" t="n"/>
      <c r="F233" s="367" t="n"/>
      <c r="G233" s="367" t="n"/>
      <c r="H233" s="94" t="n"/>
      <c r="I233" s="94" t="n"/>
      <c r="J233" s="94" t="n"/>
    </row>
    <row r="234" ht="13.2" customHeight="1" s="405">
      <c r="A234" s="94" t="n"/>
      <c r="B234" s="94" t="n"/>
      <c r="C234" s="94" t="n"/>
      <c r="D234" s="94" t="n"/>
      <c r="E234" s="94" t="n"/>
      <c r="F234" s="367" t="n"/>
      <c r="G234" s="367" t="n"/>
      <c r="H234" s="94" t="n"/>
      <c r="I234" s="94" t="n"/>
      <c r="J234" s="94" t="n"/>
    </row>
    <row r="235" ht="13.2" customHeight="1" s="405">
      <c r="A235" s="94" t="n"/>
      <c r="B235" s="94" t="n"/>
      <c r="C235" s="94" t="n"/>
      <c r="D235" s="94" t="n"/>
      <c r="E235" s="94" t="n"/>
      <c r="F235" s="367" t="n"/>
      <c r="G235" s="367" t="n"/>
      <c r="H235" s="94" t="n"/>
      <c r="I235" s="94" t="n"/>
      <c r="J235" s="94" t="n"/>
    </row>
    <row r="236" ht="13.2" customHeight="1" s="405">
      <c r="A236" s="94" t="n"/>
      <c r="B236" s="94" t="n"/>
      <c r="C236" s="94" t="n"/>
      <c r="D236" s="94" t="n"/>
      <c r="E236" s="94" t="n"/>
      <c r="F236" s="367" t="n"/>
      <c r="G236" s="367" t="n"/>
      <c r="H236" s="94" t="n"/>
      <c r="I236" s="94" t="n"/>
      <c r="J236" s="94" t="n"/>
    </row>
    <row r="237" ht="13.2" customHeight="1" s="405">
      <c r="A237" s="94" t="n"/>
      <c r="B237" s="94" t="n"/>
      <c r="C237" s="94" t="n"/>
      <c r="D237" s="94" t="n"/>
      <c r="E237" s="94" t="n"/>
      <c r="F237" s="367" t="n"/>
      <c r="G237" s="367" t="n"/>
      <c r="H237" s="94" t="n"/>
      <c r="I237" s="94" t="n"/>
      <c r="J237" s="94" t="n"/>
    </row>
    <row r="238" ht="13.2" customHeight="1" s="405">
      <c r="A238" s="94" t="n"/>
      <c r="B238" s="94" t="n"/>
      <c r="C238" s="94" t="n"/>
      <c r="D238" s="94" t="n"/>
      <c r="E238" s="94" t="n"/>
      <c r="F238" s="367" t="n"/>
      <c r="G238" s="367" t="n"/>
      <c r="H238" s="94" t="n"/>
      <c r="I238" s="94" t="n"/>
      <c r="J238" s="94" t="n"/>
    </row>
    <row r="239" ht="13.2" customHeight="1" s="405">
      <c r="A239" s="94" t="n"/>
      <c r="B239" s="94" t="n"/>
      <c r="C239" s="94" t="n"/>
      <c r="D239" s="94" t="n"/>
      <c r="E239" s="94" t="n"/>
      <c r="F239" s="367" t="n"/>
      <c r="G239" s="367" t="n"/>
      <c r="H239" s="94" t="n"/>
      <c r="I239" s="94" t="n"/>
      <c r="J239" s="94" t="n"/>
    </row>
    <row r="240" ht="13.2" customHeight="1" s="405">
      <c r="A240" s="94" t="n"/>
      <c r="B240" s="94" t="n"/>
      <c r="C240" s="94" t="n"/>
      <c r="D240" s="94" t="n"/>
      <c r="E240" s="94" t="n"/>
      <c r="F240" s="367" t="n"/>
      <c r="G240" s="367" t="n"/>
      <c r="H240" s="94" t="n"/>
      <c r="I240" s="94" t="n"/>
      <c r="J240" s="94" t="n"/>
    </row>
    <row r="241" ht="13.2" customHeight="1" s="405">
      <c r="A241" s="94" t="n"/>
      <c r="B241" s="94" t="n"/>
      <c r="C241" s="94" t="n"/>
      <c r="D241" s="94" t="n"/>
      <c r="E241" s="94" t="n"/>
      <c r="F241" s="367" t="n"/>
      <c r="G241" s="367" t="n"/>
      <c r="H241" s="94" t="n"/>
      <c r="I241" s="94" t="n"/>
      <c r="J241" s="94" t="n"/>
    </row>
    <row r="242" ht="13.2" customHeight="1" s="405">
      <c r="A242" s="94" t="n"/>
      <c r="B242" s="94" t="n"/>
      <c r="C242" s="94" t="n"/>
      <c r="D242" s="94" t="n"/>
      <c r="E242" s="94" t="n"/>
      <c r="F242" s="367" t="n"/>
      <c r="G242" s="367" t="n"/>
      <c r="H242" s="94" t="n"/>
      <c r="I242" s="94" t="n"/>
      <c r="J242" s="94" t="n"/>
    </row>
    <row r="243" ht="13.2" customHeight="1" s="405">
      <c r="A243" s="94" t="n"/>
      <c r="B243" s="94" t="n"/>
      <c r="C243" s="94" t="n"/>
      <c r="D243" s="94" t="n"/>
      <c r="E243" s="94" t="n"/>
      <c r="F243" s="367" t="n"/>
      <c r="G243" s="367" t="n"/>
      <c r="H243" s="94" t="n"/>
      <c r="I243" s="94" t="n"/>
      <c r="J243" s="94" t="n"/>
    </row>
    <row r="244" ht="13.2" customHeight="1" s="405">
      <c r="A244" s="94" t="n"/>
      <c r="B244" s="94" t="n"/>
      <c r="C244" s="94" t="n"/>
      <c r="D244" s="94" t="n"/>
      <c r="E244" s="94" t="n"/>
      <c r="F244" s="367" t="n"/>
      <c r="G244" s="367" t="n"/>
      <c r="H244" s="94" t="n"/>
      <c r="I244" s="94" t="n"/>
      <c r="J244" s="94" t="n"/>
    </row>
    <row r="245" ht="13.2" customHeight="1" s="405">
      <c r="A245" s="94" t="n"/>
      <c r="B245" s="94" t="n"/>
      <c r="C245" s="94" t="n"/>
      <c r="D245" s="94" t="n"/>
      <c r="E245" s="94" t="n"/>
      <c r="F245" s="367" t="n"/>
      <c r="G245" s="367" t="n"/>
      <c r="H245" s="94" t="n"/>
      <c r="I245" s="94" t="n"/>
      <c r="J245" s="94" t="n"/>
    </row>
    <row r="246" ht="13.2" customHeight="1" s="405">
      <c r="A246" s="94" t="n"/>
      <c r="B246" s="94" t="n"/>
      <c r="C246" s="94" t="n"/>
      <c r="D246" s="94" t="n"/>
      <c r="E246" s="94" t="n"/>
      <c r="F246" s="367" t="n"/>
      <c r="G246" s="367" t="n"/>
      <c r="H246" s="94" t="n"/>
      <c r="I246" s="94" t="n"/>
      <c r="J246" s="94" t="n"/>
    </row>
    <row r="247" ht="13.2" customHeight="1" s="405">
      <c r="A247" s="94" t="n"/>
      <c r="B247" s="94" t="n"/>
      <c r="C247" s="94" t="n"/>
      <c r="D247" s="94" t="n"/>
      <c r="E247" s="94" t="n"/>
      <c r="F247" s="367" t="n"/>
      <c r="G247" s="367" t="n"/>
      <c r="H247" s="94" t="n"/>
      <c r="I247" s="94" t="n"/>
      <c r="J247" s="94" t="n"/>
    </row>
    <row r="248" ht="13.2" customHeight="1" s="405">
      <c r="A248" s="94" t="n"/>
      <c r="B248" s="94" t="n"/>
      <c r="C248" s="94" t="n"/>
      <c r="D248" s="94" t="n"/>
      <c r="E248" s="94" t="n"/>
      <c r="F248" s="367" t="n"/>
      <c r="G248" s="367" t="n"/>
      <c r="H248" s="94" t="n"/>
      <c r="I248" s="94" t="n"/>
      <c r="J248" s="94" t="n"/>
    </row>
    <row r="249" ht="13.2" customHeight="1" s="405">
      <c r="A249" s="94" t="n"/>
      <c r="B249" s="94" t="n"/>
      <c r="C249" s="94" t="n"/>
      <c r="D249" s="94" t="n"/>
      <c r="E249" s="94" t="n"/>
      <c r="F249" s="367" t="n"/>
      <c r="G249" s="367" t="n"/>
      <c r="H249" s="94" t="n"/>
      <c r="I249" s="94" t="n"/>
      <c r="J249" s="94" t="n"/>
    </row>
    <row r="250" ht="13.2" customHeight="1" s="405">
      <c r="A250" s="94" t="n"/>
      <c r="B250" s="94" t="n"/>
      <c r="C250" s="94" t="n"/>
      <c r="D250" s="94" t="n"/>
      <c r="E250" s="94" t="n"/>
      <c r="F250" s="367" t="n"/>
      <c r="G250" s="367" t="n"/>
      <c r="H250" s="94" t="n"/>
      <c r="I250" s="94" t="n"/>
      <c r="J250" s="94" t="n"/>
    </row>
    <row r="251" ht="13.2" customHeight="1" s="405">
      <c r="A251" s="94" t="n"/>
      <c r="B251" s="94" t="n"/>
      <c r="C251" s="94" t="n"/>
      <c r="D251" s="94" t="n"/>
      <c r="E251" s="94" t="n"/>
      <c r="F251" s="367" t="n"/>
      <c r="G251" s="367" t="n"/>
      <c r="H251" s="94" t="n"/>
      <c r="I251" s="94" t="n"/>
      <c r="J251" s="94" t="n"/>
    </row>
    <row r="252" ht="13.2" customHeight="1" s="405">
      <c r="A252" s="94" t="n"/>
      <c r="B252" s="94" t="n"/>
      <c r="C252" s="94" t="n"/>
      <c r="D252" s="94" t="n"/>
      <c r="E252" s="94" t="n"/>
      <c r="F252" s="367" t="n"/>
      <c r="G252" s="367" t="n"/>
      <c r="H252" s="94" t="n"/>
      <c r="I252" s="94" t="n"/>
      <c r="J252" s="94" t="n"/>
    </row>
    <row r="253" ht="13.2" customHeight="1" s="405">
      <c r="A253" s="94" t="n"/>
      <c r="B253" s="94" t="n"/>
      <c r="C253" s="94" t="n"/>
      <c r="D253" s="94" t="n"/>
      <c r="E253" s="94" t="n"/>
      <c r="F253" s="367" t="n"/>
      <c r="G253" s="367" t="n"/>
      <c r="H253" s="94" t="n"/>
      <c r="I253" s="94" t="n"/>
      <c r="J253" s="94" t="n"/>
    </row>
    <row r="254" ht="13.2" customHeight="1" s="405">
      <c r="A254" s="94" t="n"/>
      <c r="B254" s="94" t="n"/>
      <c r="C254" s="94" t="n"/>
      <c r="D254" s="94" t="n"/>
      <c r="E254" s="94" t="n"/>
      <c r="F254" s="367" t="n"/>
      <c r="G254" s="367" t="n"/>
      <c r="H254" s="94" t="n"/>
      <c r="I254" s="94" t="n"/>
      <c r="J254" s="94" t="n"/>
    </row>
    <row r="255" ht="13.2" customHeight="1" s="405">
      <c r="A255" s="94" t="n"/>
      <c r="B255" s="94" t="n"/>
      <c r="C255" s="94" t="n"/>
      <c r="D255" s="94" t="n"/>
      <c r="E255" s="94" t="n"/>
      <c r="F255" s="367" t="n"/>
      <c r="G255" s="367" t="n"/>
      <c r="H255" s="94" t="n"/>
      <c r="I255" s="94" t="n"/>
      <c r="J255" s="94" t="n"/>
    </row>
    <row r="256" ht="13.2" customHeight="1" s="405">
      <c r="A256" s="94" t="n"/>
      <c r="B256" s="94" t="n"/>
      <c r="C256" s="94" t="n"/>
      <c r="D256" s="94" t="n"/>
      <c r="E256" s="94" t="n"/>
      <c r="F256" s="367" t="n"/>
      <c r="G256" s="367" t="n"/>
      <c r="H256" s="94" t="n"/>
      <c r="I256" s="94" t="n"/>
      <c r="J256" s="94" t="n"/>
    </row>
    <row r="257" ht="13.2" customHeight="1" s="405">
      <c r="A257" s="94" t="n"/>
      <c r="B257" s="94" t="n"/>
      <c r="C257" s="94" t="n"/>
      <c r="D257" s="94" t="n"/>
      <c r="E257" s="94" t="n"/>
      <c r="F257" s="367" t="n"/>
      <c r="G257" s="367" t="n"/>
      <c r="H257" s="94" t="n"/>
      <c r="I257" s="94" t="n"/>
      <c r="J257" s="94" t="n"/>
    </row>
    <row r="258" ht="13.2" customHeight="1" s="405">
      <c r="A258" s="94" t="n"/>
      <c r="B258" s="94" t="n"/>
      <c r="C258" s="94" t="n"/>
      <c r="D258" s="94" t="n"/>
      <c r="E258" s="94" t="n"/>
      <c r="F258" s="367" t="n"/>
      <c r="G258" s="367" t="n"/>
      <c r="H258" s="94" t="n"/>
      <c r="I258" s="94" t="n"/>
      <c r="J258" s="94" t="n"/>
    </row>
    <row r="259" ht="13.2" customHeight="1" s="405">
      <c r="A259" s="94" t="n"/>
      <c r="B259" s="94" t="n"/>
      <c r="C259" s="94" t="n"/>
      <c r="D259" s="94" t="n"/>
      <c r="E259" s="94" t="n"/>
      <c r="F259" s="367" t="n"/>
      <c r="G259" s="367" t="n"/>
      <c r="H259" s="94" t="n"/>
      <c r="I259" s="94" t="n"/>
      <c r="J259" s="94" t="n"/>
    </row>
    <row r="260" ht="13.2" customHeight="1" s="405">
      <c r="A260" s="94" t="n"/>
      <c r="B260" s="94" t="n"/>
      <c r="C260" s="94" t="n"/>
      <c r="D260" s="94" t="n"/>
      <c r="E260" s="94" t="n"/>
      <c r="F260" s="367" t="n"/>
      <c r="G260" s="367" t="n"/>
      <c r="H260" s="94" t="n"/>
      <c r="I260" s="94" t="n"/>
      <c r="J260" s="94" t="n"/>
    </row>
    <row r="261" ht="13.2" customHeight="1" s="405">
      <c r="A261" s="94" t="n"/>
      <c r="B261" s="94" t="n"/>
      <c r="C261" s="94" t="n"/>
      <c r="D261" s="94" t="n"/>
      <c r="E261" s="94" t="n"/>
      <c r="F261" s="367" t="n"/>
      <c r="G261" s="367" t="n"/>
      <c r="H261" s="94" t="n"/>
      <c r="I261" s="94" t="n"/>
      <c r="J261" s="94" t="n"/>
    </row>
    <row r="262" ht="13.2" customHeight="1" s="405">
      <c r="A262" s="94" t="n"/>
      <c r="B262" s="94" t="n"/>
      <c r="C262" s="94" t="n"/>
      <c r="D262" s="94" t="n"/>
      <c r="E262" s="94" t="n"/>
      <c r="F262" s="367" t="n"/>
      <c r="G262" s="367" t="n"/>
      <c r="H262" s="94" t="n"/>
      <c r="I262" s="94" t="n"/>
      <c r="J262" s="94" t="n"/>
    </row>
    <row r="263" ht="13.2" customHeight="1" s="405">
      <c r="A263" s="94" t="n"/>
      <c r="B263" s="94" t="n"/>
      <c r="C263" s="94" t="n"/>
      <c r="D263" s="94" t="n"/>
      <c r="E263" s="94" t="n"/>
      <c r="F263" s="367" t="n"/>
      <c r="G263" s="367" t="n"/>
      <c r="H263" s="94" t="n"/>
      <c r="I263" s="94" t="n"/>
      <c r="J263" s="94" t="n"/>
    </row>
    <row r="264" ht="13.2" customHeight="1" s="405">
      <c r="A264" s="94" t="n"/>
      <c r="B264" s="94" t="n"/>
      <c r="C264" s="94" t="n"/>
      <c r="D264" s="94" t="n"/>
      <c r="E264" s="94" t="n"/>
      <c r="F264" s="367" t="n"/>
      <c r="G264" s="367" t="n"/>
      <c r="H264" s="94" t="n"/>
      <c r="I264" s="94" t="n"/>
      <c r="J264" s="94" t="n"/>
    </row>
    <row r="265" ht="13.2" customHeight="1" s="405">
      <c r="A265" s="94" t="n"/>
      <c r="B265" s="94" t="n"/>
      <c r="C265" s="94" t="n"/>
      <c r="D265" s="94" t="n"/>
      <c r="E265" s="94" t="n"/>
      <c r="F265" s="367" t="n"/>
      <c r="G265" s="367" t="n"/>
      <c r="H265" s="94" t="n"/>
      <c r="I265" s="94" t="n"/>
      <c r="J265" s="94" t="n"/>
    </row>
    <row r="266" ht="13.2" customHeight="1" s="405">
      <c r="A266" s="94" t="n"/>
      <c r="B266" s="94" t="n"/>
      <c r="C266" s="94" t="n"/>
      <c r="D266" s="94" t="n"/>
      <c r="E266" s="94" t="n"/>
      <c r="F266" s="367" t="n"/>
      <c r="G266" s="367" t="n"/>
      <c r="H266" s="94" t="n"/>
      <c r="I266" s="94" t="n"/>
      <c r="J266" s="94" t="n"/>
    </row>
    <row r="267" ht="13.2" customHeight="1" s="405">
      <c r="A267" s="94" t="n"/>
      <c r="B267" s="94" t="n"/>
      <c r="C267" s="94" t="n"/>
      <c r="D267" s="94" t="n"/>
      <c r="E267" s="94" t="n"/>
      <c r="F267" s="367" t="n"/>
      <c r="G267" s="367" t="n"/>
      <c r="H267" s="94" t="n"/>
      <c r="I267" s="94" t="n"/>
      <c r="J267" s="94" t="n"/>
    </row>
    <row r="268" ht="13.2" customHeight="1" s="405">
      <c r="A268" s="94" t="n"/>
      <c r="B268" s="94" t="n"/>
      <c r="C268" s="94" t="n"/>
      <c r="D268" s="94" t="n"/>
      <c r="E268" s="94" t="n"/>
      <c r="F268" s="367" t="n"/>
      <c r="G268" s="367" t="n"/>
      <c r="H268" s="94" t="n"/>
      <c r="I268" s="94" t="n"/>
      <c r="J268" s="94" t="n"/>
    </row>
    <row r="269" ht="13.2" customHeight="1" s="405">
      <c r="A269" s="94" t="n"/>
      <c r="B269" s="94" t="n"/>
      <c r="C269" s="94" t="n"/>
      <c r="D269" s="94" t="n"/>
      <c r="E269" s="94" t="n"/>
      <c r="F269" s="367" t="n"/>
      <c r="G269" s="367" t="n"/>
      <c r="H269" s="94" t="n"/>
      <c r="I269" s="94" t="n"/>
      <c r="J269" s="94" t="n"/>
    </row>
    <row r="270" ht="13.2" customHeight="1" s="405">
      <c r="A270" s="94" t="n"/>
      <c r="B270" s="94" t="n"/>
      <c r="C270" s="94" t="n"/>
      <c r="D270" s="94" t="n"/>
      <c r="E270" s="94" t="n"/>
      <c r="F270" s="367" t="n"/>
      <c r="G270" s="367" t="n"/>
      <c r="H270" s="94" t="n"/>
      <c r="I270" s="94" t="n"/>
      <c r="J270" s="94" t="n"/>
    </row>
    <row r="271" ht="13.2" customHeight="1" s="405">
      <c r="A271" s="94" t="n"/>
      <c r="B271" s="94" t="n"/>
      <c r="C271" s="94" t="n"/>
      <c r="D271" s="94" t="n"/>
      <c r="E271" s="94" t="n"/>
      <c r="F271" s="367" t="n"/>
      <c r="G271" s="367" t="n"/>
      <c r="H271" s="94" t="n"/>
      <c r="I271" s="94" t="n"/>
      <c r="J271" s="94" t="n"/>
    </row>
    <row r="272" ht="13.2" customHeight="1" s="405">
      <c r="A272" s="94" t="n"/>
      <c r="B272" s="94" t="n"/>
      <c r="C272" s="94" t="n"/>
      <c r="D272" s="94" t="n"/>
      <c r="E272" s="94" t="n"/>
      <c r="F272" s="367" t="n"/>
      <c r="G272" s="367" t="n"/>
      <c r="H272" s="94" t="n"/>
      <c r="I272" s="94" t="n"/>
      <c r="J272" s="94" t="n"/>
    </row>
    <row r="273" ht="13.2" customHeight="1" s="405">
      <c r="A273" s="94" t="n"/>
      <c r="B273" s="94" t="n"/>
      <c r="C273" s="94" t="n"/>
      <c r="D273" s="94" t="n"/>
      <c r="E273" s="94" t="n"/>
      <c r="F273" s="367" t="n"/>
      <c r="G273" s="367" t="n"/>
      <c r="H273" s="94" t="n"/>
      <c r="I273" s="94" t="n"/>
      <c r="J273" s="94" t="n"/>
    </row>
    <row r="274" ht="13.2" customHeight="1" s="405">
      <c r="A274" s="94" t="n"/>
      <c r="B274" s="94" t="n"/>
      <c r="C274" s="94" t="n"/>
      <c r="D274" s="94" t="n"/>
      <c r="E274" s="94" t="n"/>
      <c r="F274" s="367" t="n"/>
      <c r="G274" s="367" t="n"/>
      <c r="H274" s="94" t="n"/>
      <c r="I274" s="94" t="n"/>
      <c r="J274" s="94" t="n"/>
    </row>
    <row r="275" ht="13.2" customHeight="1" s="405">
      <c r="A275" s="94" t="n"/>
      <c r="B275" s="94" t="n"/>
      <c r="C275" s="94" t="n"/>
      <c r="D275" s="94" t="n"/>
      <c r="E275" s="94" t="n"/>
      <c r="F275" s="367" t="n"/>
      <c r="G275" s="367" t="n"/>
      <c r="H275" s="94" t="n"/>
      <c r="I275" s="94" t="n"/>
      <c r="J275" s="94" t="n"/>
    </row>
    <row r="276" ht="13.2" customHeight="1" s="405">
      <c r="A276" s="94" t="n"/>
      <c r="B276" s="94" t="n"/>
      <c r="C276" s="94" t="n"/>
      <c r="D276" s="94" t="n"/>
      <c r="E276" s="94" t="n"/>
      <c r="F276" s="367" t="n"/>
      <c r="G276" s="367" t="n"/>
      <c r="H276" s="94" t="n"/>
      <c r="I276" s="94" t="n"/>
      <c r="J276" s="94" t="n"/>
    </row>
    <row r="277" ht="13.2" customHeight="1" s="405">
      <c r="A277" s="94" t="n"/>
      <c r="B277" s="94" t="n"/>
      <c r="C277" s="94" t="n"/>
      <c r="D277" s="94" t="n"/>
      <c r="E277" s="94" t="n"/>
      <c r="F277" s="367" t="n"/>
      <c r="G277" s="367" t="n"/>
      <c r="H277" s="94" t="n"/>
      <c r="I277" s="94" t="n"/>
      <c r="J277" s="94" t="n"/>
    </row>
    <row r="278" ht="13.2" customHeight="1" s="405">
      <c r="A278" s="94" t="n"/>
      <c r="B278" s="94" t="n"/>
      <c r="C278" s="94" t="n"/>
      <c r="D278" s="94" t="n"/>
      <c r="E278" s="94" t="n"/>
      <c r="F278" s="367" t="n"/>
      <c r="G278" s="367" t="n"/>
      <c r="H278" s="94" t="n"/>
      <c r="I278" s="94" t="n"/>
      <c r="J278" s="94" t="n"/>
    </row>
    <row r="279" ht="13.2" customHeight="1" s="405">
      <c r="A279" s="94" t="n"/>
      <c r="B279" s="94" t="n"/>
      <c r="C279" s="94" t="n"/>
      <c r="D279" s="94" t="n"/>
      <c r="E279" s="94" t="n"/>
      <c r="F279" s="367" t="n"/>
      <c r="G279" s="367" t="n"/>
      <c r="H279" s="94" t="n"/>
      <c r="I279" s="94" t="n"/>
      <c r="J279" s="94" t="n"/>
    </row>
    <row r="280" ht="13.2" customHeight="1" s="405">
      <c r="A280" s="94" t="n"/>
      <c r="B280" s="94" t="n"/>
      <c r="C280" s="94" t="n"/>
      <c r="D280" s="94" t="n"/>
      <c r="E280" s="94" t="n"/>
      <c r="F280" s="367" t="n"/>
      <c r="G280" s="367" t="n"/>
      <c r="H280" s="94" t="n"/>
      <c r="I280" s="94" t="n"/>
      <c r="J280" s="94" t="n"/>
    </row>
    <row r="281" ht="13.2" customHeight="1" s="405">
      <c r="A281" s="94" t="n"/>
      <c r="B281" s="94" t="n"/>
      <c r="C281" s="94" t="n"/>
      <c r="D281" s="94" t="n"/>
      <c r="E281" s="94" t="n"/>
      <c r="F281" s="367" t="n"/>
      <c r="G281" s="367" t="n"/>
      <c r="H281" s="94" t="n"/>
      <c r="I281" s="94" t="n"/>
      <c r="J281" s="94" t="n"/>
    </row>
    <row r="282" ht="13.2" customHeight="1" s="405">
      <c r="A282" s="94" t="n"/>
      <c r="B282" s="94" t="n"/>
      <c r="C282" s="94" t="n"/>
      <c r="D282" s="94" t="n"/>
      <c r="E282" s="94" t="n"/>
      <c r="F282" s="367" t="n"/>
      <c r="G282" s="367" t="n"/>
      <c r="H282" s="94" t="n"/>
      <c r="I282" s="94" t="n"/>
      <c r="J282" s="94" t="n"/>
    </row>
    <row r="283" ht="13.2" customHeight="1" s="405">
      <c r="A283" s="94" t="n"/>
      <c r="B283" s="94" t="n"/>
      <c r="C283" s="94" t="n"/>
      <c r="D283" s="94" t="n"/>
      <c r="E283" s="94" t="n"/>
      <c r="F283" s="367" t="n"/>
      <c r="G283" s="367" t="n"/>
      <c r="H283" s="94" t="n"/>
      <c r="I283" s="94" t="n"/>
      <c r="J283" s="94" t="n"/>
    </row>
    <row r="284" ht="13.2" customHeight="1" s="405">
      <c r="A284" s="94" t="n"/>
      <c r="B284" s="94" t="n"/>
      <c r="C284" s="94" t="n"/>
      <c r="D284" s="94" t="n"/>
      <c r="E284" s="94" t="n"/>
      <c r="F284" s="367" t="n"/>
      <c r="G284" s="367" t="n"/>
      <c r="H284" s="94" t="n"/>
      <c r="I284" s="94" t="n"/>
      <c r="J284" s="94" t="n"/>
    </row>
    <row r="285" ht="13.2" customHeight="1" s="405">
      <c r="A285" s="94" t="n"/>
      <c r="B285" s="94" t="n"/>
      <c r="C285" s="94" t="n"/>
      <c r="D285" s="94" t="n"/>
      <c r="E285" s="94" t="n"/>
      <c r="F285" s="367" t="n"/>
      <c r="G285" s="367" t="n"/>
      <c r="H285" s="94" t="n"/>
      <c r="I285" s="94" t="n"/>
      <c r="J285" s="94" t="n"/>
    </row>
    <row r="286" ht="13.2" customHeight="1" s="405">
      <c r="A286" s="94" t="n"/>
      <c r="B286" s="94" t="n"/>
      <c r="C286" s="94" t="n"/>
      <c r="D286" s="94" t="n"/>
      <c r="E286" s="94" t="n"/>
      <c r="F286" s="367" t="n"/>
      <c r="G286" s="367" t="n"/>
      <c r="H286" s="94" t="n"/>
      <c r="I286" s="94" t="n"/>
      <c r="J286" s="94" t="n"/>
    </row>
    <row r="287" ht="13.2" customHeight="1" s="405">
      <c r="A287" s="94" t="n"/>
      <c r="B287" s="94" t="n"/>
      <c r="C287" s="94" t="n"/>
      <c r="D287" s="94" t="n"/>
      <c r="E287" s="94" t="n"/>
      <c r="F287" s="367" t="n"/>
      <c r="G287" s="367" t="n"/>
      <c r="H287" s="94" t="n"/>
      <c r="I287" s="94" t="n"/>
      <c r="J287" s="94" t="n"/>
    </row>
    <row r="288" ht="13.2" customHeight="1" s="405">
      <c r="A288" s="94" t="n"/>
      <c r="B288" s="94" t="n"/>
      <c r="C288" s="94" t="n"/>
      <c r="D288" s="94" t="n"/>
      <c r="E288" s="94" t="n"/>
      <c r="F288" s="367" t="n"/>
      <c r="G288" s="367" t="n"/>
      <c r="H288" s="94" t="n"/>
      <c r="I288" s="94" t="n"/>
      <c r="J288" s="94" t="n"/>
    </row>
    <row r="289" ht="13.2" customHeight="1" s="405">
      <c r="A289" s="94" t="n"/>
      <c r="B289" s="94" t="n"/>
      <c r="C289" s="94" t="n"/>
      <c r="D289" s="94" t="n"/>
      <c r="E289" s="94" t="n"/>
      <c r="F289" s="367" t="n"/>
      <c r="G289" s="367" t="n"/>
      <c r="H289" s="94" t="n"/>
      <c r="I289" s="94" t="n"/>
      <c r="J289" s="94" t="n"/>
    </row>
    <row r="290" ht="13.2" customHeight="1" s="405">
      <c r="A290" s="94" t="n"/>
      <c r="B290" s="94" t="n"/>
      <c r="C290" s="94" t="n"/>
      <c r="D290" s="94" t="n"/>
      <c r="E290" s="94" t="n"/>
      <c r="F290" s="367" t="n"/>
      <c r="G290" s="367" t="n"/>
      <c r="H290" s="94" t="n"/>
      <c r="I290" s="94" t="n"/>
      <c r="J290" s="94" t="n"/>
    </row>
    <row r="291" ht="13.2" customHeight="1" s="405">
      <c r="A291" s="94" t="n"/>
      <c r="B291" s="94" t="n"/>
      <c r="C291" s="94" t="n"/>
      <c r="D291" s="94" t="n"/>
      <c r="E291" s="94" t="n"/>
      <c r="F291" s="367" t="n"/>
      <c r="G291" s="367" t="n"/>
      <c r="H291" s="94" t="n"/>
      <c r="I291" s="94" t="n"/>
      <c r="J291" s="94" t="n"/>
    </row>
    <row r="292" ht="13.2" customHeight="1" s="405">
      <c r="A292" s="94" t="n"/>
      <c r="B292" s="94" t="n"/>
      <c r="C292" s="94" t="n"/>
      <c r="D292" s="94" t="n"/>
      <c r="E292" s="94" t="n"/>
      <c r="F292" s="367" t="n"/>
      <c r="G292" s="367" t="n"/>
      <c r="H292" s="94" t="n"/>
      <c r="I292" s="94" t="n"/>
      <c r="J292" s="94" t="n"/>
    </row>
    <row r="293" ht="13.2" customHeight="1" s="405">
      <c r="A293" s="94" t="n"/>
      <c r="B293" s="94" t="n"/>
      <c r="C293" s="94" t="n"/>
      <c r="D293" s="94" t="n"/>
      <c r="E293" s="94" t="n"/>
      <c r="F293" s="367" t="n"/>
      <c r="G293" s="367" t="n"/>
      <c r="H293" s="94" t="n"/>
      <c r="I293" s="94" t="n"/>
      <c r="J293" s="94" t="n"/>
    </row>
    <row r="294" ht="13.2" customHeight="1" s="405">
      <c r="A294" s="94" t="n"/>
      <c r="B294" s="94" t="n"/>
      <c r="C294" s="94" t="n"/>
      <c r="D294" s="94" t="n"/>
      <c r="E294" s="94" t="n"/>
      <c r="F294" s="367" t="n"/>
      <c r="G294" s="367" t="n"/>
      <c r="H294" s="94" t="n"/>
      <c r="I294" s="94" t="n"/>
      <c r="J294" s="94" t="n"/>
    </row>
    <row r="295" ht="13.2" customHeight="1" s="405">
      <c r="A295" s="94" t="n"/>
      <c r="B295" s="94" t="n"/>
      <c r="C295" s="94" t="n"/>
      <c r="D295" s="94" t="n"/>
      <c r="E295" s="94" t="n"/>
      <c r="F295" s="367" t="n"/>
      <c r="G295" s="367" t="n"/>
      <c r="H295" s="94" t="n"/>
      <c r="I295" s="94" t="n"/>
      <c r="J295" s="94" t="n"/>
    </row>
    <row r="296" ht="13.2" customHeight="1" s="405">
      <c r="A296" s="94" t="n"/>
      <c r="B296" s="94" t="n"/>
      <c r="C296" s="94" t="n"/>
      <c r="D296" s="94" t="n"/>
      <c r="E296" s="94" t="n"/>
      <c r="F296" s="367" t="n"/>
      <c r="G296" s="367" t="n"/>
      <c r="H296" s="94" t="n"/>
      <c r="I296" s="94" t="n"/>
      <c r="J296" s="94" t="n"/>
    </row>
    <row r="297" ht="13.2" customHeight="1" s="405">
      <c r="A297" s="94" t="n"/>
      <c r="B297" s="94" t="n"/>
      <c r="C297" s="94" t="n"/>
      <c r="D297" s="94" t="n"/>
      <c r="E297" s="94" t="n"/>
      <c r="F297" s="367" t="n"/>
      <c r="G297" s="367" t="n"/>
      <c r="H297" s="94" t="n"/>
      <c r="I297" s="94" t="n"/>
      <c r="J297" s="94" t="n"/>
    </row>
    <row r="298" ht="13.2" customHeight="1" s="405">
      <c r="A298" s="94" t="n"/>
      <c r="B298" s="94" t="n"/>
      <c r="C298" s="94" t="n"/>
      <c r="D298" s="94" t="n"/>
      <c r="E298" s="94" t="n"/>
      <c r="F298" s="367" t="n"/>
      <c r="G298" s="367" t="n"/>
      <c r="H298" s="94" t="n"/>
      <c r="I298" s="94" t="n"/>
      <c r="J298" s="94" t="n"/>
    </row>
    <row r="299" ht="13.2" customHeight="1" s="405">
      <c r="A299" s="94" t="n"/>
      <c r="B299" s="94" t="n"/>
      <c r="C299" s="94" t="n"/>
      <c r="D299" s="94" t="n"/>
      <c r="E299" s="94" t="n"/>
      <c r="F299" s="367" t="n"/>
      <c r="G299" s="367" t="n"/>
      <c r="H299" s="94" t="n"/>
      <c r="I299" s="94" t="n"/>
      <c r="J299" s="94" t="n"/>
    </row>
    <row r="300" ht="13.2" customHeight="1" s="405">
      <c r="A300" s="94" t="n"/>
      <c r="B300" s="94" t="n"/>
      <c r="C300" s="94" t="n"/>
      <c r="D300" s="94" t="n"/>
      <c r="E300" s="94" t="n"/>
      <c r="F300" s="367" t="n"/>
      <c r="G300" s="367" t="n"/>
      <c r="H300" s="94" t="n"/>
      <c r="I300" s="94" t="n"/>
      <c r="J300" s="94" t="n"/>
    </row>
    <row r="301" ht="13.2" customHeight="1" s="405">
      <c r="A301" s="94" t="n"/>
      <c r="B301" s="94" t="n"/>
      <c r="C301" s="94" t="n"/>
      <c r="D301" s="94" t="n"/>
      <c r="E301" s="94" t="n"/>
      <c r="F301" s="367" t="n"/>
      <c r="G301" s="367" t="n"/>
      <c r="H301" s="94" t="n"/>
      <c r="I301" s="94" t="n"/>
      <c r="J301" s="94" t="n"/>
    </row>
    <row r="302" ht="13.2" customHeight="1" s="405">
      <c r="A302" s="94" t="n"/>
      <c r="B302" s="94" t="n"/>
      <c r="C302" s="94" t="n"/>
      <c r="D302" s="94" t="n"/>
      <c r="E302" s="94" t="n"/>
      <c r="F302" s="367" t="n"/>
      <c r="G302" s="367" t="n"/>
      <c r="H302" s="94" t="n"/>
      <c r="I302" s="94" t="n"/>
      <c r="J302" s="94" t="n"/>
    </row>
    <row r="303" ht="13.2" customHeight="1" s="405">
      <c r="A303" s="94" t="n"/>
      <c r="B303" s="94" t="n"/>
      <c r="C303" s="94" t="n"/>
      <c r="D303" s="94" t="n"/>
      <c r="E303" s="94" t="n"/>
      <c r="F303" s="367" t="n"/>
      <c r="G303" s="367" t="n"/>
      <c r="H303" s="94" t="n"/>
      <c r="I303" s="94" t="n"/>
      <c r="J303" s="94" t="n"/>
    </row>
    <row r="304" ht="13.2" customHeight="1" s="405">
      <c r="A304" s="94" t="n"/>
      <c r="B304" s="94" t="n"/>
      <c r="C304" s="94" t="n"/>
      <c r="D304" s="94" t="n"/>
      <c r="E304" s="94" t="n"/>
      <c r="F304" s="367" t="n"/>
      <c r="G304" s="367" t="n"/>
      <c r="H304" s="94" t="n"/>
      <c r="I304" s="94" t="n"/>
      <c r="J304" s="94" t="n"/>
    </row>
    <row r="305" ht="13.2" customHeight="1" s="405">
      <c r="A305" s="94" t="n"/>
      <c r="B305" s="94" t="n"/>
      <c r="C305" s="94" t="n"/>
      <c r="D305" s="94" t="n"/>
      <c r="E305" s="94" t="n"/>
      <c r="F305" s="367" t="n"/>
      <c r="G305" s="367" t="n"/>
      <c r="H305" s="94" t="n"/>
      <c r="I305" s="94" t="n"/>
      <c r="J305" s="94" t="n"/>
    </row>
    <row r="306" ht="13.2" customHeight="1" s="405">
      <c r="A306" s="94" t="n"/>
      <c r="B306" s="94" t="n"/>
      <c r="C306" s="94" t="n"/>
      <c r="D306" s="94" t="n"/>
      <c r="E306" s="94" t="n"/>
      <c r="F306" s="367" t="n"/>
      <c r="G306" s="367" t="n"/>
      <c r="H306" s="94" t="n"/>
      <c r="I306" s="94" t="n"/>
      <c r="J306" s="94" t="n"/>
    </row>
    <row r="307" ht="13.2" customHeight="1" s="405">
      <c r="A307" s="94" t="n"/>
      <c r="B307" s="94" t="n"/>
      <c r="C307" s="94" t="n"/>
      <c r="D307" s="94" t="n"/>
      <c r="E307" s="94" t="n"/>
      <c r="F307" s="367" t="n"/>
      <c r="G307" s="367" t="n"/>
      <c r="H307" s="94" t="n"/>
      <c r="I307" s="94" t="n"/>
      <c r="J307" s="94" t="n"/>
    </row>
    <row r="308" ht="13.2" customHeight="1" s="405">
      <c r="A308" s="94" t="n"/>
      <c r="B308" s="94" t="n"/>
      <c r="C308" s="94" t="n"/>
      <c r="D308" s="94" t="n"/>
      <c r="E308" s="94" t="n"/>
      <c r="F308" s="367" t="n"/>
      <c r="G308" s="367" t="n"/>
      <c r="H308" s="94" t="n"/>
      <c r="I308" s="94" t="n"/>
      <c r="J308" s="94" t="n"/>
    </row>
    <row r="309" ht="13.2" customHeight="1" s="405">
      <c r="A309" s="94" t="n"/>
      <c r="B309" s="94" t="n"/>
      <c r="C309" s="94" t="n"/>
      <c r="D309" s="94" t="n"/>
      <c r="E309" s="94" t="n"/>
      <c r="F309" s="367" t="n"/>
      <c r="G309" s="367" t="n"/>
      <c r="H309" s="94" t="n"/>
      <c r="I309" s="94" t="n"/>
      <c r="J309" s="94" t="n"/>
    </row>
    <row r="310" ht="13.2" customHeight="1" s="405">
      <c r="A310" s="94" t="n"/>
      <c r="B310" s="94" t="n"/>
      <c r="C310" s="94" t="n"/>
      <c r="D310" s="94" t="n"/>
      <c r="E310" s="94" t="n"/>
      <c r="F310" s="367" t="n"/>
      <c r="G310" s="367" t="n"/>
      <c r="H310" s="94" t="n"/>
      <c r="I310" s="94" t="n"/>
      <c r="J310" s="94" t="n"/>
    </row>
    <row r="311" ht="13.2" customHeight="1" s="405">
      <c r="A311" s="94" t="n"/>
      <c r="B311" s="94" t="n"/>
      <c r="C311" s="94" t="n"/>
      <c r="D311" s="94" t="n"/>
      <c r="E311" s="94" t="n"/>
      <c r="F311" s="367" t="n"/>
      <c r="G311" s="367" t="n"/>
      <c r="H311" s="94" t="n"/>
      <c r="I311" s="94" t="n"/>
      <c r="J311" s="94" t="n"/>
    </row>
    <row r="312" ht="13.2" customHeight="1" s="405">
      <c r="A312" s="94" t="n"/>
      <c r="B312" s="94" t="n"/>
      <c r="C312" s="94" t="n"/>
      <c r="D312" s="94" t="n"/>
      <c r="E312" s="94" t="n"/>
      <c r="F312" s="367" t="n"/>
      <c r="G312" s="367" t="n"/>
      <c r="H312" s="94" t="n"/>
      <c r="I312" s="94" t="n"/>
      <c r="J312" s="94" t="n"/>
    </row>
    <row r="313" ht="13.2" customHeight="1" s="405">
      <c r="A313" s="94" t="n"/>
      <c r="B313" s="94" t="n"/>
      <c r="C313" s="94" t="n"/>
      <c r="D313" s="94" t="n"/>
      <c r="E313" s="94" t="n"/>
      <c r="F313" s="367" t="n"/>
      <c r="G313" s="367" t="n"/>
      <c r="H313" s="94" t="n"/>
      <c r="I313" s="94" t="n"/>
      <c r="J313" s="94" t="n"/>
    </row>
    <row r="314" ht="13.2" customHeight="1" s="405">
      <c r="A314" s="94" t="n"/>
      <c r="B314" s="94" t="n"/>
      <c r="C314" s="94" t="n"/>
      <c r="D314" s="94" t="n"/>
      <c r="E314" s="94" t="n"/>
      <c r="F314" s="367" t="n"/>
      <c r="G314" s="367" t="n"/>
      <c r="H314" s="94" t="n"/>
      <c r="I314" s="94" t="n"/>
      <c r="J314" s="94" t="n"/>
    </row>
    <row r="315" ht="13.2" customHeight="1" s="405">
      <c r="A315" s="94" t="n"/>
      <c r="B315" s="94" t="n"/>
      <c r="C315" s="94" t="n"/>
      <c r="D315" s="94" t="n"/>
      <c r="E315" s="94" t="n"/>
      <c r="F315" s="367" t="n"/>
      <c r="G315" s="367" t="n"/>
      <c r="H315" s="94" t="n"/>
      <c r="I315" s="94" t="n"/>
      <c r="J315" s="94" t="n"/>
    </row>
    <row r="316" ht="13.2" customHeight="1" s="405">
      <c r="A316" s="94" t="n"/>
      <c r="B316" s="94" t="n"/>
      <c r="C316" s="94" t="n"/>
      <c r="D316" s="94" t="n"/>
      <c r="E316" s="94" t="n"/>
      <c r="F316" s="367" t="n"/>
      <c r="G316" s="367" t="n"/>
      <c r="H316" s="94" t="n"/>
      <c r="I316" s="94" t="n"/>
      <c r="J316" s="94" t="n"/>
    </row>
    <row r="317" ht="13.2" customHeight="1" s="405">
      <c r="A317" s="94" t="n"/>
      <c r="B317" s="94" t="n"/>
      <c r="C317" s="94" t="n"/>
      <c r="D317" s="94" t="n"/>
      <c r="E317" s="94" t="n"/>
      <c r="F317" s="367" t="n"/>
      <c r="G317" s="367" t="n"/>
      <c r="H317" s="94" t="n"/>
      <c r="I317" s="94" t="n"/>
      <c r="J317" s="94" t="n"/>
    </row>
    <row r="318" ht="13.2" customHeight="1" s="405">
      <c r="A318" s="94" t="n"/>
      <c r="B318" s="94" t="n"/>
      <c r="C318" s="94" t="n"/>
      <c r="D318" s="94" t="n"/>
      <c r="E318" s="94" t="n"/>
      <c r="F318" s="367" t="n"/>
      <c r="G318" s="367" t="n"/>
      <c r="H318" s="94" t="n"/>
      <c r="I318" s="94" t="n"/>
      <c r="J318" s="94" t="n"/>
    </row>
    <row r="319" ht="13.2" customHeight="1" s="405">
      <c r="A319" s="94" t="n"/>
      <c r="B319" s="94" t="n"/>
      <c r="C319" s="94" t="n"/>
      <c r="D319" s="94" t="n"/>
      <c r="E319" s="94" t="n"/>
      <c r="F319" s="367" t="n"/>
      <c r="G319" s="367" t="n"/>
      <c r="H319" s="94" t="n"/>
      <c r="I319" s="94" t="n"/>
      <c r="J319" s="94" t="n"/>
    </row>
    <row r="320" ht="13.2" customHeight="1" s="405">
      <c r="A320" s="94" t="n"/>
      <c r="B320" s="94" t="n"/>
      <c r="C320" s="94" t="n"/>
      <c r="D320" s="94" t="n"/>
      <c r="E320" s="94" t="n"/>
      <c r="F320" s="367" t="n"/>
      <c r="G320" s="367" t="n"/>
      <c r="H320" s="94" t="n"/>
      <c r="I320" s="94" t="n"/>
      <c r="J320" s="94" t="n"/>
    </row>
    <row r="321" ht="13.2" customHeight="1" s="405">
      <c r="A321" s="94" t="n"/>
      <c r="B321" s="94" t="n"/>
      <c r="C321" s="94" t="n"/>
      <c r="D321" s="94" t="n"/>
      <c r="E321" s="94" t="n"/>
      <c r="F321" s="367" t="n"/>
      <c r="G321" s="367" t="n"/>
      <c r="H321" s="94" t="n"/>
      <c r="I321" s="94" t="n"/>
      <c r="J321" s="94" t="n"/>
    </row>
    <row r="322" ht="13.2" customHeight="1" s="405">
      <c r="A322" s="94" t="n"/>
      <c r="B322" s="94" t="n"/>
      <c r="C322" s="94" t="n"/>
      <c r="D322" s="94" t="n"/>
      <c r="E322" s="94" t="n"/>
      <c r="F322" s="367" t="n"/>
      <c r="G322" s="367" t="n"/>
      <c r="H322" s="94" t="n"/>
      <c r="I322" s="94" t="n"/>
      <c r="J322" s="94" t="n"/>
    </row>
    <row r="323" ht="13.2" customHeight="1" s="405">
      <c r="A323" s="94" t="n"/>
      <c r="B323" s="94" t="n"/>
      <c r="C323" s="94" t="n"/>
      <c r="D323" s="94" t="n"/>
      <c r="E323" s="94" t="n"/>
      <c r="F323" s="367" t="n"/>
      <c r="G323" s="367" t="n"/>
      <c r="H323" s="94" t="n"/>
      <c r="I323" s="94" t="n"/>
      <c r="J323" s="94" t="n"/>
    </row>
    <row r="324" ht="13.2" customHeight="1" s="405">
      <c r="A324" s="94" t="n"/>
      <c r="B324" s="94" t="n"/>
      <c r="C324" s="94" t="n"/>
      <c r="D324" s="94" t="n"/>
      <c r="E324" s="94" t="n"/>
      <c r="F324" s="367" t="n"/>
      <c r="G324" s="367" t="n"/>
      <c r="H324" s="94" t="n"/>
      <c r="I324" s="94" t="n"/>
      <c r="J324" s="94" t="n"/>
    </row>
    <row r="325" ht="13.2" customHeight="1" s="405">
      <c r="A325" s="94" t="n"/>
      <c r="B325" s="94" t="n"/>
      <c r="C325" s="94" t="n"/>
      <c r="D325" s="94" t="n"/>
      <c r="E325" s="94" t="n"/>
      <c r="F325" s="367" t="n"/>
      <c r="G325" s="367" t="n"/>
      <c r="H325" s="94" t="n"/>
      <c r="I325" s="94" t="n"/>
      <c r="J325" s="94" t="n"/>
    </row>
    <row r="326" ht="13.2" customHeight="1" s="405">
      <c r="A326" s="94" t="n"/>
      <c r="B326" s="94" t="n"/>
      <c r="C326" s="94" t="n"/>
      <c r="D326" s="94" t="n"/>
      <c r="E326" s="94" t="n"/>
      <c r="F326" s="367" t="n"/>
      <c r="G326" s="367" t="n"/>
      <c r="H326" s="94" t="n"/>
      <c r="I326" s="94" t="n"/>
      <c r="J326" s="94" t="n"/>
    </row>
    <row r="327" ht="13.2" customHeight="1" s="405">
      <c r="A327" s="94" t="n"/>
      <c r="B327" s="94" t="n"/>
      <c r="C327" s="94" t="n"/>
      <c r="D327" s="94" t="n"/>
      <c r="E327" s="94" t="n"/>
      <c r="F327" s="367" t="n"/>
      <c r="G327" s="367" t="n"/>
      <c r="H327" s="94" t="n"/>
      <c r="I327" s="94" t="n"/>
      <c r="J327" s="94" t="n"/>
    </row>
    <row r="328" ht="13.2" customHeight="1" s="405">
      <c r="A328" s="94" t="n"/>
      <c r="B328" s="94" t="n"/>
      <c r="C328" s="94" t="n"/>
      <c r="D328" s="94" t="n"/>
      <c r="E328" s="94" t="n"/>
      <c r="F328" s="367" t="n"/>
      <c r="G328" s="367" t="n"/>
      <c r="H328" s="94" t="n"/>
      <c r="I328" s="94" t="n"/>
      <c r="J328" s="94" t="n"/>
    </row>
    <row r="329" ht="13.2" customHeight="1" s="405">
      <c r="A329" s="94" t="n"/>
      <c r="B329" s="94" t="n"/>
      <c r="C329" s="94" t="n"/>
      <c r="D329" s="94" t="n"/>
      <c r="E329" s="94" t="n"/>
      <c r="F329" s="367" t="n"/>
      <c r="G329" s="367" t="n"/>
      <c r="H329" s="94" t="n"/>
      <c r="I329" s="94" t="n"/>
      <c r="J329" s="94" t="n"/>
    </row>
    <row r="330" ht="13.2" customHeight="1" s="405">
      <c r="A330" s="94" t="n"/>
      <c r="B330" s="94" t="n"/>
      <c r="C330" s="94" t="n"/>
      <c r="D330" s="94" t="n"/>
      <c r="E330" s="94" t="n"/>
      <c r="F330" s="367" t="n"/>
      <c r="G330" s="367" t="n"/>
      <c r="H330" s="94" t="n"/>
      <c r="I330" s="94" t="n"/>
      <c r="J330" s="94" t="n"/>
    </row>
    <row r="331" ht="13.2" customHeight="1" s="405">
      <c r="A331" s="94" t="n"/>
      <c r="B331" s="94" t="n"/>
      <c r="C331" s="94" t="n"/>
      <c r="D331" s="94" t="n"/>
      <c r="E331" s="94" t="n"/>
      <c r="F331" s="367" t="n"/>
      <c r="G331" s="367" t="n"/>
      <c r="H331" s="94" t="n"/>
      <c r="I331" s="94" t="n"/>
      <c r="J331" s="94" t="n"/>
    </row>
    <row r="332" ht="13.2" customHeight="1" s="405">
      <c r="A332" s="94" t="n"/>
      <c r="B332" s="94" t="n"/>
      <c r="C332" s="94" t="n"/>
      <c r="D332" s="94" t="n"/>
      <c r="E332" s="94" t="n"/>
      <c r="F332" s="367" t="n"/>
      <c r="G332" s="367" t="n"/>
      <c r="H332" s="94" t="n"/>
      <c r="I332" s="94" t="n"/>
      <c r="J332" s="94" t="n"/>
    </row>
    <row r="333" ht="13.2" customHeight="1" s="405">
      <c r="A333" s="94" t="n"/>
      <c r="B333" s="94" t="n"/>
      <c r="C333" s="94" t="n"/>
      <c r="D333" s="94" t="n"/>
      <c r="E333" s="94" t="n"/>
      <c r="F333" s="367" t="n"/>
      <c r="G333" s="367" t="n"/>
      <c r="H333" s="94" t="n"/>
      <c r="I333" s="94" t="n"/>
      <c r="J333" s="94" t="n"/>
    </row>
    <row r="334" ht="13.2" customHeight="1" s="405">
      <c r="A334" s="94" t="n"/>
      <c r="B334" s="94" t="n"/>
      <c r="C334" s="94" t="n"/>
      <c r="D334" s="94" t="n"/>
      <c r="E334" s="94" t="n"/>
      <c r="F334" s="367" t="n"/>
      <c r="G334" s="367" t="n"/>
      <c r="H334" s="94" t="n"/>
      <c r="I334" s="94" t="n"/>
      <c r="J334" s="94" t="n"/>
    </row>
    <row r="335" ht="13.2" customHeight="1" s="405">
      <c r="A335" s="94" t="n"/>
      <c r="B335" s="94" t="n"/>
      <c r="C335" s="94" t="n"/>
      <c r="D335" s="94" t="n"/>
      <c r="E335" s="94" t="n"/>
      <c r="F335" s="367" t="n"/>
      <c r="G335" s="367" t="n"/>
      <c r="H335" s="94" t="n"/>
      <c r="I335" s="94" t="n"/>
      <c r="J335" s="94" t="n"/>
    </row>
    <row r="336" ht="13.2" customHeight="1" s="405">
      <c r="A336" s="94" t="n"/>
      <c r="B336" s="94" t="n"/>
      <c r="C336" s="94" t="n"/>
      <c r="D336" s="94" t="n"/>
      <c r="E336" s="94" t="n"/>
      <c r="F336" s="367" t="n"/>
      <c r="G336" s="367" t="n"/>
      <c r="H336" s="94" t="n"/>
      <c r="I336" s="94" t="n"/>
      <c r="J336" s="94" t="n"/>
    </row>
    <row r="337" ht="13.2" customHeight="1" s="405">
      <c r="A337" s="94" t="n"/>
      <c r="B337" s="94" t="n"/>
      <c r="C337" s="94" t="n"/>
      <c r="D337" s="94" t="n"/>
      <c r="E337" s="94" t="n"/>
      <c r="F337" s="367" t="n"/>
      <c r="G337" s="367" t="n"/>
      <c r="H337" s="94" t="n"/>
      <c r="I337" s="94" t="n"/>
      <c r="J337" s="94" t="n"/>
    </row>
    <row r="338" ht="13.2" customHeight="1" s="405">
      <c r="A338" s="94" t="n"/>
      <c r="B338" s="94" t="n"/>
      <c r="C338" s="94" t="n"/>
      <c r="D338" s="94" t="n"/>
      <c r="E338" s="94" t="n"/>
      <c r="F338" s="367" t="n"/>
      <c r="G338" s="367" t="n"/>
      <c r="H338" s="94" t="n"/>
      <c r="I338" s="94" t="n"/>
      <c r="J338" s="94" t="n"/>
    </row>
    <row r="339" ht="13.2" customHeight="1" s="405">
      <c r="A339" s="94" t="n"/>
      <c r="B339" s="94" t="n"/>
      <c r="C339" s="94" t="n"/>
      <c r="D339" s="94" t="n"/>
      <c r="E339" s="94" t="n"/>
      <c r="F339" s="367" t="n"/>
      <c r="G339" s="367" t="n"/>
      <c r="H339" s="94" t="n"/>
      <c r="I339" s="94" t="n"/>
      <c r="J339" s="94" t="n"/>
    </row>
    <row r="340" ht="13.2" customHeight="1" s="405">
      <c r="A340" s="94" t="n"/>
      <c r="B340" s="94" t="n"/>
      <c r="C340" s="94" t="n"/>
      <c r="D340" s="94" t="n"/>
      <c r="E340" s="94" t="n"/>
      <c r="F340" s="367" t="n"/>
      <c r="G340" s="367" t="n"/>
      <c r="H340" s="94" t="n"/>
      <c r="I340" s="94" t="n"/>
      <c r="J340" s="94" t="n"/>
    </row>
    <row r="341" ht="13.2" customHeight="1" s="405">
      <c r="A341" s="94" t="n"/>
      <c r="B341" s="94" t="n"/>
      <c r="C341" s="94" t="n"/>
      <c r="D341" s="94" t="n"/>
      <c r="E341" s="94" t="n"/>
      <c r="F341" s="367" t="n"/>
      <c r="G341" s="367" t="n"/>
      <c r="H341" s="94" t="n"/>
      <c r="I341" s="94" t="n"/>
      <c r="J341" s="94" t="n"/>
    </row>
    <row r="342" ht="13.2" customHeight="1" s="405">
      <c r="A342" s="94" t="n"/>
      <c r="B342" s="94" t="n"/>
      <c r="C342" s="94" t="n"/>
      <c r="D342" s="94" t="n"/>
      <c r="E342" s="94" t="n"/>
      <c r="F342" s="367" t="n"/>
      <c r="G342" s="367" t="n"/>
      <c r="H342" s="94" t="n"/>
      <c r="I342" s="94" t="n"/>
      <c r="J342" s="94" t="n"/>
    </row>
    <row r="343" ht="13.2" customHeight="1" s="405">
      <c r="A343" s="94" t="n"/>
      <c r="B343" s="94" t="n"/>
      <c r="C343" s="94" t="n"/>
      <c r="D343" s="94" t="n"/>
      <c r="E343" s="94" t="n"/>
      <c r="F343" s="367" t="n"/>
      <c r="G343" s="367" t="n"/>
      <c r="H343" s="94" t="n"/>
      <c r="I343" s="94" t="n"/>
      <c r="J343" s="94" t="n"/>
    </row>
    <row r="344" ht="13.2" customHeight="1" s="405">
      <c r="A344" s="94" t="n"/>
      <c r="B344" s="94" t="n"/>
      <c r="C344" s="94" t="n"/>
      <c r="D344" s="94" t="n"/>
      <c r="E344" s="94" t="n"/>
      <c r="F344" s="367" t="n"/>
      <c r="G344" s="367" t="n"/>
      <c r="H344" s="94" t="n"/>
      <c r="I344" s="94" t="n"/>
      <c r="J344" s="94" t="n"/>
    </row>
    <row r="345" ht="13.2" customHeight="1" s="405">
      <c r="A345" s="94" t="n"/>
      <c r="B345" s="94" t="n"/>
      <c r="C345" s="94" t="n"/>
      <c r="D345" s="94" t="n"/>
      <c r="E345" s="94" t="n"/>
      <c r="F345" s="367" t="n"/>
      <c r="G345" s="367" t="n"/>
      <c r="H345" s="94" t="n"/>
      <c r="I345" s="94" t="n"/>
      <c r="J345" s="94" t="n"/>
    </row>
    <row r="346" ht="13.2" customHeight="1" s="405">
      <c r="A346" s="94" t="n"/>
      <c r="B346" s="94" t="n"/>
      <c r="C346" s="94" t="n"/>
      <c r="D346" s="94" t="n"/>
      <c r="E346" s="94" t="n"/>
      <c r="F346" s="367" t="n"/>
      <c r="G346" s="367" t="n"/>
      <c r="H346" s="94" t="n"/>
      <c r="I346" s="94" t="n"/>
      <c r="J346" s="94" t="n"/>
    </row>
    <row r="347" ht="13.2" customHeight="1" s="405">
      <c r="A347" s="94" t="n"/>
      <c r="B347" s="94" t="n"/>
      <c r="C347" s="94" t="n"/>
      <c r="D347" s="94" t="n"/>
      <c r="E347" s="94" t="n"/>
      <c r="F347" s="367" t="n"/>
      <c r="G347" s="367" t="n"/>
      <c r="H347" s="94" t="n"/>
      <c r="I347" s="94" t="n"/>
      <c r="J347" s="94" t="n"/>
    </row>
    <row r="348" ht="13.2" customHeight="1" s="405">
      <c r="A348" s="94" t="n"/>
      <c r="B348" s="94" t="n"/>
      <c r="C348" s="94" t="n"/>
      <c r="D348" s="94" t="n"/>
      <c r="E348" s="94" t="n"/>
      <c r="F348" s="367" t="n"/>
      <c r="G348" s="367" t="n"/>
      <c r="H348" s="94" t="n"/>
      <c r="I348" s="94" t="n"/>
      <c r="J348" s="94" t="n"/>
    </row>
    <row r="349" ht="13.2" customHeight="1" s="405">
      <c r="A349" s="94" t="n"/>
      <c r="B349" s="94" t="n"/>
      <c r="C349" s="94" t="n"/>
      <c r="D349" s="94" t="n"/>
      <c r="E349" s="94" t="n"/>
      <c r="F349" s="367" t="n"/>
      <c r="G349" s="367" t="n"/>
      <c r="H349" s="94" t="n"/>
      <c r="I349" s="94" t="n"/>
      <c r="J349" s="94" t="n"/>
    </row>
    <row r="350" ht="13.2" customHeight="1" s="405">
      <c r="A350" s="94" t="n"/>
      <c r="B350" s="94" t="n"/>
      <c r="C350" s="94" t="n"/>
      <c r="D350" s="94" t="n"/>
      <c r="E350" s="94" t="n"/>
      <c r="F350" s="367" t="n"/>
      <c r="G350" s="367" t="n"/>
      <c r="H350" s="94" t="n"/>
      <c r="I350" s="94" t="n"/>
      <c r="J350" s="94" t="n"/>
    </row>
    <row r="351" ht="13.2" customHeight="1" s="405">
      <c r="A351" s="94" t="n"/>
      <c r="B351" s="94" t="n"/>
      <c r="C351" s="94" t="n"/>
      <c r="D351" s="94" t="n"/>
      <c r="E351" s="94" t="n"/>
      <c r="F351" s="367" t="n"/>
      <c r="G351" s="367" t="n"/>
      <c r="H351" s="94" t="n"/>
      <c r="I351" s="94" t="n"/>
      <c r="J351" s="94" t="n"/>
    </row>
    <row r="352" ht="13.2" customHeight="1" s="405">
      <c r="A352" s="94" t="n"/>
      <c r="B352" s="94" t="n"/>
      <c r="C352" s="94" t="n"/>
      <c r="D352" s="94" t="n"/>
      <c r="E352" s="94" t="n"/>
      <c r="F352" s="367" t="n"/>
      <c r="G352" s="367" t="n"/>
      <c r="H352" s="94" t="n"/>
      <c r="I352" s="94" t="n"/>
      <c r="J352" s="94" t="n"/>
    </row>
    <row r="353" ht="13.2" customHeight="1" s="405">
      <c r="A353" s="94" t="n"/>
      <c r="B353" s="94" t="n"/>
      <c r="C353" s="94" t="n"/>
      <c r="D353" s="94" t="n"/>
      <c r="E353" s="94" t="n"/>
      <c r="F353" s="367" t="n"/>
      <c r="G353" s="367" t="n"/>
      <c r="H353" s="94" t="n"/>
      <c r="I353" s="94" t="n"/>
      <c r="J353" s="94" t="n"/>
    </row>
    <row r="354" ht="13.2" customHeight="1" s="405">
      <c r="A354" s="94" t="n"/>
      <c r="B354" s="94" t="n"/>
      <c r="C354" s="94" t="n"/>
      <c r="D354" s="94" t="n"/>
      <c r="E354" s="94" t="n"/>
      <c r="F354" s="367" t="n"/>
      <c r="G354" s="367" t="n"/>
      <c r="H354" s="94" t="n"/>
      <c r="I354" s="94" t="n"/>
      <c r="J354" s="94" t="n"/>
    </row>
    <row r="355" ht="13.2" customHeight="1" s="405">
      <c r="A355" s="94" t="n"/>
      <c r="B355" s="94" t="n"/>
      <c r="C355" s="94" t="n"/>
      <c r="D355" s="94" t="n"/>
      <c r="E355" s="94" t="n"/>
      <c r="F355" s="367" t="n"/>
      <c r="G355" s="367" t="n"/>
      <c r="H355" s="94" t="n"/>
      <c r="I355" s="94" t="n"/>
      <c r="J355" s="94" t="n"/>
    </row>
    <row r="356" ht="13.2" customHeight="1" s="405">
      <c r="A356" s="94" t="n"/>
      <c r="B356" s="94" t="n"/>
      <c r="C356" s="94" t="n"/>
      <c r="D356" s="94" t="n"/>
      <c r="E356" s="94" t="n"/>
      <c r="F356" s="367" t="n"/>
      <c r="G356" s="367" t="n"/>
      <c r="H356" s="94" t="n"/>
      <c r="I356" s="94" t="n"/>
      <c r="J356" s="94" t="n"/>
    </row>
    <row r="357" ht="13.2" customHeight="1" s="405">
      <c r="A357" s="94" t="n"/>
      <c r="B357" s="94" t="n"/>
      <c r="C357" s="94" t="n"/>
      <c r="D357" s="94" t="n"/>
      <c r="E357" s="94" t="n"/>
      <c r="F357" s="367" t="n"/>
      <c r="G357" s="367" t="n"/>
      <c r="H357" s="94" t="n"/>
      <c r="I357" s="94" t="n"/>
      <c r="J357" s="94" t="n"/>
    </row>
    <row r="358" ht="13.2" customHeight="1" s="405">
      <c r="A358" s="94" t="n"/>
      <c r="B358" s="94" t="n"/>
      <c r="C358" s="94" t="n"/>
      <c r="D358" s="94" t="n"/>
      <c r="E358" s="94" t="n"/>
      <c r="F358" s="367" t="n"/>
      <c r="G358" s="367" t="n"/>
      <c r="H358" s="94" t="n"/>
      <c r="I358" s="94" t="n"/>
      <c r="J358" s="94" t="n"/>
    </row>
    <row r="359" ht="13.2" customHeight="1" s="405">
      <c r="A359" s="94" t="n"/>
      <c r="B359" s="94" t="n"/>
      <c r="C359" s="94" t="n"/>
      <c r="D359" s="94" t="n"/>
      <c r="E359" s="94" t="n"/>
      <c r="F359" s="367" t="n"/>
      <c r="G359" s="367" t="n"/>
      <c r="H359" s="94" t="n"/>
      <c r="I359" s="94" t="n"/>
      <c r="J359" s="94" t="n"/>
    </row>
    <row r="360" ht="13.2" customHeight="1" s="405">
      <c r="A360" s="94" t="n"/>
      <c r="B360" s="94" t="n"/>
      <c r="C360" s="94" t="n"/>
      <c r="D360" s="94" t="n"/>
      <c r="E360" s="94" t="n"/>
      <c r="F360" s="367" t="n"/>
      <c r="G360" s="367" t="n"/>
      <c r="H360" s="94" t="n"/>
      <c r="I360" s="94" t="n"/>
      <c r="J360" s="94" t="n"/>
    </row>
    <row r="361" ht="13.2" customHeight="1" s="405">
      <c r="A361" s="94" t="n"/>
      <c r="B361" s="94" t="n"/>
      <c r="C361" s="94" t="n"/>
      <c r="D361" s="94" t="n"/>
      <c r="E361" s="94" t="n"/>
      <c r="F361" s="367" t="n"/>
      <c r="G361" s="367" t="n"/>
      <c r="H361" s="94" t="n"/>
      <c r="I361" s="94" t="n"/>
      <c r="J361" s="94" t="n"/>
    </row>
    <row r="362" ht="13.2" customHeight="1" s="405">
      <c r="A362" s="94" t="n"/>
      <c r="B362" s="94" t="n"/>
      <c r="C362" s="94" t="n"/>
      <c r="D362" s="94" t="n"/>
      <c r="E362" s="94" t="n"/>
      <c r="F362" s="367" t="n"/>
      <c r="G362" s="367" t="n"/>
      <c r="H362" s="94" t="n"/>
      <c r="I362" s="94" t="n"/>
      <c r="J362" s="94" t="n"/>
    </row>
    <row r="363" ht="13.2" customHeight="1" s="405">
      <c r="A363" s="94" t="n"/>
      <c r="B363" s="94" t="n"/>
      <c r="C363" s="94" t="n"/>
      <c r="D363" s="94" t="n"/>
      <c r="E363" s="94" t="n"/>
      <c r="F363" s="367" t="n"/>
      <c r="G363" s="367" t="n"/>
      <c r="H363" s="94" t="n"/>
      <c r="I363" s="94" t="n"/>
      <c r="J363" s="94" t="n"/>
    </row>
    <row r="364" ht="13.2" customHeight="1" s="405">
      <c r="A364" s="94" t="n"/>
      <c r="B364" s="94" t="n"/>
      <c r="C364" s="94" t="n"/>
      <c r="D364" s="94" t="n"/>
      <c r="E364" s="94" t="n"/>
      <c r="F364" s="367" t="n"/>
      <c r="G364" s="367" t="n"/>
      <c r="H364" s="94" t="n"/>
      <c r="I364" s="94" t="n"/>
      <c r="J364" s="94" t="n"/>
    </row>
    <row r="365" ht="13.2" customHeight="1" s="405">
      <c r="A365" s="94" t="n"/>
      <c r="B365" s="94" t="n"/>
      <c r="C365" s="94" t="n"/>
      <c r="D365" s="94" t="n"/>
      <c r="E365" s="94" t="n"/>
      <c r="F365" s="367" t="n"/>
      <c r="G365" s="367" t="n"/>
      <c r="H365" s="94" t="n"/>
      <c r="I365" s="94" t="n"/>
      <c r="J365" s="94" t="n"/>
    </row>
    <row r="366" ht="13.2" customHeight="1" s="405">
      <c r="A366" s="94" t="n"/>
      <c r="B366" s="94" t="n"/>
      <c r="C366" s="94" t="n"/>
      <c r="D366" s="94" t="n"/>
      <c r="E366" s="94" t="n"/>
      <c r="F366" s="367" t="n"/>
      <c r="G366" s="367" t="n"/>
      <c r="H366" s="94" t="n"/>
      <c r="I366" s="94" t="n"/>
      <c r="J366" s="94" t="n"/>
    </row>
    <row r="367" ht="13.2" customHeight="1" s="405">
      <c r="A367" s="94" t="n"/>
      <c r="B367" s="94" t="n"/>
      <c r="C367" s="94" t="n"/>
      <c r="D367" s="94" t="n"/>
      <c r="E367" s="94" t="n"/>
      <c r="F367" s="367" t="n"/>
      <c r="G367" s="367" t="n"/>
      <c r="H367" s="94" t="n"/>
      <c r="I367" s="94" t="n"/>
      <c r="J367" s="94" t="n"/>
    </row>
    <row r="368" ht="13.2" customHeight="1" s="405">
      <c r="A368" s="94" t="n"/>
      <c r="B368" s="94" t="n"/>
      <c r="C368" s="94" t="n"/>
      <c r="D368" s="94" t="n"/>
      <c r="E368" s="94" t="n"/>
      <c r="F368" s="367" t="n"/>
      <c r="G368" s="367" t="n"/>
      <c r="H368" s="94" t="n"/>
      <c r="I368" s="94" t="n"/>
      <c r="J368" s="94" t="n"/>
    </row>
    <row r="369" ht="13.2" customHeight="1" s="405">
      <c r="A369" s="94" t="n"/>
      <c r="B369" s="94" t="n"/>
      <c r="C369" s="94" t="n"/>
      <c r="D369" s="94" t="n"/>
      <c r="E369" s="94" t="n"/>
      <c r="F369" s="367" t="n"/>
      <c r="G369" s="367" t="n"/>
      <c r="H369" s="94" t="n"/>
      <c r="I369" s="94" t="n"/>
      <c r="J369" s="94" t="n"/>
    </row>
    <row r="370" ht="13.2" customHeight="1" s="405">
      <c r="A370" s="94" t="n"/>
      <c r="B370" s="94" t="n"/>
      <c r="C370" s="94" t="n"/>
      <c r="D370" s="94" t="n"/>
      <c r="E370" s="94" t="n"/>
      <c r="F370" s="367" t="n"/>
      <c r="G370" s="367" t="n"/>
      <c r="H370" s="94" t="n"/>
      <c r="I370" s="94" t="n"/>
      <c r="J370" s="94" t="n"/>
    </row>
    <row r="371" ht="13.2" customHeight="1" s="405">
      <c r="A371" s="94" t="n"/>
      <c r="B371" s="94" t="n"/>
      <c r="C371" s="94" t="n"/>
      <c r="D371" s="94" t="n"/>
      <c r="E371" s="94" t="n"/>
      <c r="F371" s="367" t="n"/>
      <c r="G371" s="367" t="n"/>
      <c r="H371" s="94" t="n"/>
      <c r="I371" s="94" t="n"/>
      <c r="J371" s="94" t="n"/>
    </row>
    <row r="372" ht="13.2" customHeight="1" s="405">
      <c r="A372" s="94" t="n"/>
      <c r="B372" s="94" t="n"/>
      <c r="C372" s="94" t="n"/>
      <c r="D372" s="94" t="n"/>
      <c r="E372" s="94" t="n"/>
      <c r="F372" s="367" t="n"/>
      <c r="G372" s="367" t="n"/>
      <c r="H372" s="94" t="n"/>
      <c r="I372" s="94" t="n"/>
      <c r="J372" s="94" t="n"/>
    </row>
    <row r="373" ht="13.2" customHeight="1" s="405">
      <c r="A373" s="94" t="n"/>
      <c r="B373" s="94" t="n"/>
      <c r="C373" s="94" t="n"/>
      <c r="D373" s="94" t="n"/>
      <c r="E373" s="94" t="n"/>
      <c r="F373" s="367" t="n"/>
      <c r="G373" s="367" t="n"/>
      <c r="H373" s="94" t="n"/>
      <c r="I373" s="94" t="n"/>
      <c r="J373" s="94" t="n"/>
    </row>
    <row r="374" ht="13.2" customHeight="1" s="405">
      <c r="A374" s="94" t="n"/>
      <c r="B374" s="94" t="n"/>
      <c r="C374" s="94" t="n"/>
      <c r="D374" s="94" t="n"/>
      <c r="E374" s="94" t="n"/>
      <c r="F374" s="367" t="n"/>
      <c r="G374" s="367" t="n"/>
      <c r="H374" s="94" t="n"/>
      <c r="I374" s="94" t="n"/>
      <c r="J374" s="94" t="n"/>
    </row>
    <row r="375" ht="13.2" customHeight="1" s="405">
      <c r="A375" s="94" t="n"/>
      <c r="B375" s="94" t="n"/>
      <c r="C375" s="94" t="n"/>
      <c r="D375" s="94" t="n"/>
      <c r="E375" s="94" t="n"/>
      <c r="F375" s="367" t="n"/>
      <c r="G375" s="367" t="n"/>
      <c r="H375" s="94" t="n"/>
      <c r="I375" s="94" t="n"/>
      <c r="J375" s="94" t="n"/>
    </row>
    <row r="376" ht="13.2" customHeight="1" s="405">
      <c r="A376" s="94" t="n"/>
      <c r="B376" s="94" t="n"/>
      <c r="C376" s="94" t="n"/>
      <c r="D376" s="94" t="n"/>
      <c r="E376" s="94" t="n"/>
      <c r="F376" s="367" t="n"/>
      <c r="G376" s="367" t="n"/>
      <c r="H376" s="94" t="n"/>
      <c r="I376" s="94" t="n"/>
      <c r="J376" s="94" t="n"/>
    </row>
    <row r="377" ht="13.2" customHeight="1" s="405">
      <c r="A377" s="94" t="n"/>
      <c r="B377" s="94" t="n"/>
      <c r="C377" s="94" t="n"/>
      <c r="D377" s="94" t="n"/>
      <c r="E377" s="94" t="n"/>
      <c r="F377" s="367" t="n"/>
      <c r="G377" s="367" t="n"/>
      <c r="H377" s="94" t="n"/>
      <c r="I377" s="94" t="n"/>
      <c r="J377" s="94" t="n"/>
    </row>
    <row r="378" ht="13.2" customHeight="1" s="405">
      <c r="A378" s="94" t="n"/>
      <c r="B378" s="94" t="n"/>
      <c r="C378" s="94" t="n"/>
      <c r="D378" s="94" t="n"/>
      <c r="E378" s="94" t="n"/>
      <c r="F378" s="367" t="n"/>
      <c r="G378" s="367" t="n"/>
      <c r="H378" s="94" t="n"/>
      <c r="I378" s="94" t="n"/>
      <c r="J378" s="94" t="n"/>
    </row>
    <row r="379" ht="13.2" customHeight="1" s="405">
      <c r="A379" s="94" t="n"/>
      <c r="B379" s="94" t="n"/>
      <c r="C379" s="94" t="n"/>
      <c r="D379" s="94" t="n"/>
      <c r="E379" s="94" t="n"/>
      <c r="F379" s="367" t="n"/>
      <c r="G379" s="367" t="n"/>
      <c r="H379" s="94" t="n"/>
      <c r="I379" s="94" t="n"/>
      <c r="J379" s="94" t="n"/>
    </row>
    <row r="380" ht="13.2" customHeight="1" s="405">
      <c r="A380" s="94" t="n"/>
      <c r="B380" s="94" t="n"/>
      <c r="C380" s="94" t="n"/>
      <c r="D380" s="94" t="n"/>
      <c r="E380" s="94" t="n"/>
      <c r="F380" s="367" t="n"/>
      <c r="G380" s="367" t="n"/>
      <c r="H380" s="94" t="n"/>
      <c r="I380" s="94" t="n"/>
      <c r="J380" s="94" t="n"/>
    </row>
    <row r="381" ht="13.2" customHeight="1" s="405">
      <c r="A381" s="94" t="n"/>
      <c r="B381" s="94" t="n"/>
      <c r="C381" s="94" t="n"/>
      <c r="D381" s="94" t="n"/>
      <c r="E381" s="94" t="n"/>
      <c r="F381" s="367" t="n"/>
      <c r="G381" s="367" t="n"/>
      <c r="H381" s="94" t="n"/>
      <c r="I381" s="94" t="n"/>
      <c r="J381" s="94" t="n"/>
    </row>
    <row r="382" ht="13.2" customHeight="1" s="405">
      <c r="A382" s="94" t="n"/>
      <c r="B382" s="94" t="n"/>
      <c r="C382" s="94" t="n"/>
      <c r="D382" s="94" t="n"/>
      <c r="E382" s="94" t="n"/>
      <c r="F382" s="367" t="n"/>
      <c r="G382" s="367" t="n"/>
      <c r="H382" s="94" t="n"/>
      <c r="I382" s="94" t="n"/>
      <c r="J382" s="94" t="n"/>
    </row>
    <row r="383" ht="13.2" customHeight="1" s="405">
      <c r="A383" s="94" t="n"/>
      <c r="B383" s="94" t="n"/>
      <c r="C383" s="94" t="n"/>
      <c r="D383" s="94" t="n"/>
      <c r="E383" s="94" t="n"/>
      <c r="F383" s="367" t="n"/>
      <c r="G383" s="367" t="n"/>
      <c r="H383" s="94" t="n"/>
      <c r="I383" s="94" t="n"/>
      <c r="J383" s="94" t="n"/>
    </row>
    <row r="384" ht="13.2" customHeight="1" s="405">
      <c r="A384" s="94" t="n"/>
      <c r="B384" s="94" t="n"/>
      <c r="C384" s="94" t="n"/>
      <c r="D384" s="94" t="n"/>
      <c r="E384" s="94" t="n"/>
      <c r="F384" s="367" t="n"/>
      <c r="G384" s="367" t="n"/>
      <c r="H384" s="94" t="n"/>
      <c r="I384" s="94" t="n"/>
      <c r="J384" s="94" t="n"/>
    </row>
    <row r="385" ht="13.2" customHeight="1" s="405">
      <c r="A385" s="94" t="n"/>
      <c r="B385" s="94" t="n"/>
      <c r="C385" s="94" t="n"/>
      <c r="D385" s="94" t="n"/>
      <c r="E385" s="94" t="n"/>
      <c r="F385" s="367" t="n"/>
      <c r="G385" s="367" t="n"/>
      <c r="H385" s="94" t="n"/>
      <c r="I385" s="94" t="n"/>
      <c r="J385" s="94" t="n"/>
    </row>
    <row r="386" ht="13.2" customHeight="1" s="405">
      <c r="A386" s="94" t="n"/>
      <c r="B386" s="94" t="n"/>
      <c r="C386" s="94" t="n"/>
      <c r="D386" s="94" t="n"/>
      <c r="E386" s="94" t="n"/>
      <c r="F386" s="367" t="n"/>
      <c r="G386" s="367" t="n"/>
      <c r="H386" s="94" t="n"/>
      <c r="I386" s="94" t="n"/>
      <c r="J386" s="94" t="n"/>
    </row>
    <row r="387" ht="13.2" customHeight="1" s="405">
      <c r="A387" s="94" t="n"/>
      <c r="B387" s="94" t="n"/>
      <c r="C387" s="94" t="n"/>
      <c r="D387" s="94" t="n"/>
      <c r="E387" s="94" t="n"/>
      <c r="F387" s="367" t="n"/>
      <c r="G387" s="367" t="n"/>
      <c r="H387" s="94" t="n"/>
      <c r="I387" s="94" t="n"/>
      <c r="J387" s="94" t="n"/>
    </row>
    <row r="388" ht="13.2" customHeight="1" s="405">
      <c r="A388" s="94" t="n"/>
      <c r="B388" s="94" t="n"/>
      <c r="C388" s="94" t="n"/>
      <c r="D388" s="94" t="n"/>
      <c r="E388" s="94" t="n"/>
      <c r="F388" s="367" t="n"/>
      <c r="G388" s="367" t="n"/>
      <c r="H388" s="94" t="n"/>
      <c r="I388" s="94" t="n"/>
      <c r="J388" s="94" t="n"/>
    </row>
    <row r="389" ht="13.2" customHeight="1" s="405">
      <c r="A389" s="94" t="n"/>
      <c r="B389" s="94" t="n"/>
      <c r="C389" s="94" t="n"/>
      <c r="D389" s="94" t="n"/>
      <c r="E389" s="94" t="n"/>
      <c r="F389" s="367" t="n"/>
      <c r="G389" s="367" t="n"/>
      <c r="H389" s="94" t="n"/>
      <c r="I389" s="94" t="n"/>
      <c r="J389" s="94" t="n"/>
    </row>
    <row r="390" ht="13.2" customHeight="1" s="405">
      <c r="A390" s="94" t="n"/>
      <c r="B390" s="94" t="n"/>
      <c r="C390" s="94" t="n"/>
      <c r="D390" s="94" t="n"/>
      <c r="E390" s="94" t="n"/>
      <c r="F390" s="367" t="n"/>
      <c r="G390" s="367" t="n"/>
      <c r="H390" s="94" t="n"/>
      <c r="I390" s="94" t="n"/>
      <c r="J390" s="94" t="n"/>
    </row>
    <row r="391" ht="13.2" customHeight="1" s="405">
      <c r="A391" s="94" t="n"/>
      <c r="B391" s="94" t="n"/>
      <c r="C391" s="94" t="n"/>
      <c r="D391" s="94" t="n"/>
      <c r="E391" s="94" t="n"/>
      <c r="F391" s="367" t="n"/>
      <c r="G391" s="367" t="n"/>
      <c r="H391" s="94" t="n"/>
      <c r="I391" s="94" t="n"/>
      <c r="J391" s="94" t="n"/>
    </row>
    <row r="392" ht="13.2" customHeight="1" s="405">
      <c r="A392" s="94" t="n"/>
      <c r="B392" s="94" t="n"/>
      <c r="C392" s="94" t="n"/>
      <c r="D392" s="94" t="n"/>
      <c r="E392" s="94" t="n"/>
      <c r="F392" s="367" t="n"/>
      <c r="G392" s="367" t="n"/>
      <c r="H392" s="94" t="n"/>
      <c r="I392" s="94" t="n"/>
      <c r="J392" s="94" t="n"/>
    </row>
    <row r="393" ht="13.2" customHeight="1" s="405">
      <c r="A393" s="94" t="n"/>
      <c r="B393" s="94" t="n"/>
      <c r="C393" s="94" t="n"/>
      <c r="D393" s="94" t="n"/>
      <c r="E393" s="94" t="n"/>
      <c r="F393" s="367" t="n"/>
      <c r="G393" s="367" t="n"/>
      <c r="H393" s="94" t="n"/>
      <c r="I393" s="94" t="n"/>
      <c r="J393" s="94" t="n"/>
    </row>
    <row r="394" ht="13.2" customHeight="1" s="405">
      <c r="A394" s="94" t="n"/>
      <c r="B394" s="94" t="n"/>
      <c r="C394" s="94" t="n"/>
      <c r="D394" s="94" t="n"/>
      <c r="E394" s="94" t="n"/>
      <c r="F394" s="367" t="n"/>
      <c r="G394" s="367" t="n"/>
      <c r="H394" s="94" t="n"/>
      <c r="I394" s="94" t="n"/>
      <c r="J394" s="94" t="n"/>
    </row>
    <row r="395" ht="13.2" customHeight="1" s="405">
      <c r="A395" s="94" t="n"/>
      <c r="B395" s="94" t="n"/>
      <c r="C395" s="94" t="n"/>
      <c r="D395" s="94" t="n"/>
      <c r="E395" s="94" t="n"/>
      <c r="F395" s="367" t="n"/>
      <c r="G395" s="367" t="n"/>
      <c r="H395" s="94" t="n"/>
      <c r="I395" s="94" t="n"/>
      <c r="J395" s="94" t="n"/>
    </row>
    <row r="396" ht="13.2" customHeight="1" s="405">
      <c r="A396" s="94" t="n"/>
      <c r="B396" s="94" t="n"/>
      <c r="C396" s="94" t="n"/>
      <c r="D396" s="94" t="n"/>
      <c r="E396" s="94" t="n"/>
      <c r="F396" s="367" t="n"/>
      <c r="G396" s="367" t="n"/>
      <c r="H396" s="94" t="n"/>
      <c r="I396" s="94" t="n"/>
      <c r="J396" s="94" t="n"/>
    </row>
    <row r="397" ht="13.2" customHeight="1" s="405">
      <c r="A397" s="94" t="n"/>
      <c r="B397" s="94" t="n"/>
      <c r="C397" s="94" t="n"/>
      <c r="D397" s="94" t="n"/>
      <c r="E397" s="94" t="n"/>
      <c r="F397" s="367" t="n"/>
      <c r="G397" s="367" t="n"/>
      <c r="H397" s="94" t="n"/>
      <c r="I397" s="94" t="n"/>
      <c r="J397" s="94" t="n"/>
    </row>
    <row r="398" ht="13.2" customHeight="1" s="405">
      <c r="A398" s="94" t="n"/>
      <c r="B398" s="94" t="n"/>
      <c r="C398" s="94" t="n"/>
      <c r="D398" s="94" t="n"/>
      <c r="E398" s="94" t="n"/>
      <c r="F398" s="367" t="n"/>
      <c r="G398" s="367" t="n"/>
      <c r="H398" s="94" t="n"/>
      <c r="I398" s="94" t="n"/>
      <c r="J398" s="94" t="n"/>
    </row>
    <row r="399" ht="13.2" customHeight="1" s="405">
      <c r="A399" s="94" t="n"/>
      <c r="B399" s="94" t="n"/>
      <c r="C399" s="94" t="n"/>
      <c r="D399" s="94" t="n"/>
      <c r="E399" s="94" t="n"/>
      <c r="F399" s="367" t="n"/>
      <c r="G399" s="367" t="n"/>
      <c r="H399" s="94" t="n"/>
      <c r="I399" s="94" t="n"/>
      <c r="J399" s="94" t="n"/>
    </row>
    <row r="400" ht="13.2" customHeight="1" s="405">
      <c r="A400" s="94" t="n"/>
      <c r="B400" s="94" t="n"/>
      <c r="C400" s="94" t="n"/>
      <c r="D400" s="94" t="n"/>
      <c r="E400" s="94" t="n"/>
      <c r="F400" s="367" t="n"/>
      <c r="G400" s="367" t="n"/>
      <c r="H400" s="94" t="n"/>
      <c r="I400" s="94" t="n"/>
      <c r="J400" s="94" t="n"/>
    </row>
    <row r="401" ht="13.2" customHeight="1" s="405">
      <c r="A401" s="94" t="n"/>
      <c r="B401" s="94" t="n"/>
      <c r="C401" s="94" t="n"/>
      <c r="D401" s="94" t="n"/>
      <c r="E401" s="94" t="n"/>
      <c r="F401" s="367" t="n"/>
      <c r="G401" s="367" t="n"/>
      <c r="H401" s="94" t="n"/>
      <c r="I401" s="94" t="n"/>
      <c r="J401" s="94" t="n"/>
    </row>
    <row r="402" ht="13.2" customHeight="1" s="405">
      <c r="A402" s="94" t="n"/>
      <c r="B402" s="94" t="n"/>
      <c r="C402" s="94" t="n"/>
      <c r="D402" s="94" t="n"/>
      <c r="E402" s="94" t="n"/>
      <c r="F402" s="367" t="n"/>
      <c r="G402" s="367" t="n"/>
      <c r="H402" s="94" t="n"/>
      <c r="I402" s="94" t="n"/>
      <c r="J402" s="94" t="n"/>
    </row>
    <row r="403" ht="13.2" customHeight="1" s="405">
      <c r="A403" s="94" t="n"/>
      <c r="B403" s="94" t="n"/>
      <c r="C403" s="94" t="n"/>
      <c r="D403" s="94" t="n"/>
      <c r="E403" s="94" t="n"/>
      <c r="F403" s="367" t="n"/>
      <c r="G403" s="367" t="n"/>
      <c r="H403" s="94" t="n"/>
      <c r="I403" s="94" t="n"/>
      <c r="J403" s="94" t="n"/>
    </row>
    <row r="404" ht="13.2" customHeight="1" s="405">
      <c r="A404" s="94" t="n"/>
      <c r="B404" s="94" t="n"/>
      <c r="C404" s="94" t="n"/>
      <c r="D404" s="94" t="n"/>
      <c r="E404" s="94" t="n"/>
      <c r="F404" s="367" t="n"/>
      <c r="G404" s="367" t="n"/>
      <c r="H404" s="94" t="n"/>
      <c r="I404" s="94" t="n"/>
      <c r="J404" s="94" t="n"/>
    </row>
    <row r="405" ht="13.2" customHeight="1" s="405">
      <c r="A405" s="94" t="n"/>
      <c r="B405" s="94" t="n"/>
      <c r="C405" s="94" t="n"/>
      <c r="D405" s="94" t="n"/>
      <c r="E405" s="94" t="n"/>
      <c r="F405" s="367" t="n"/>
      <c r="G405" s="367" t="n"/>
      <c r="H405" s="94" t="n"/>
      <c r="I405" s="94" t="n"/>
      <c r="J405" s="94" t="n"/>
    </row>
    <row r="406" ht="13.2" customHeight="1" s="405">
      <c r="A406" s="94" t="n"/>
      <c r="B406" s="94" t="n"/>
      <c r="C406" s="94" t="n"/>
      <c r="D406" s="94" t="n"/>
      <c r="E406" s="94" t="n"/>
      <c r="F406" s="367" t="n"/>
      <c r="G406" s="367" t="n"/>
      <c r="H406" s="94" t="n"/>
      <c r="I406" s="94" t="n"/>
      <c r="J406" s="94" t="n"/>
    </row>
    <row r="407" ht="13.2" customHeight="1" s="405">
      <c r="A407" s="94" t="n"/>
      <c r="B407" s="94" t="n"/>
      <c r="C407" s="94" t="n"/>
      <c r="D407" s="94" t="n"/>
      <c r="E407" s="94" t="n"/>
      <c r="F407" s="367" t="n"/>
      <c r="G407" s="367" t="n"/>
      <c r="H407" s="94" t="n"/>
      <c r="I407" s="94" t="n"/>
      <c r="J407" s="94" t="n"/>
    </row>
    <row r="408" ht="13.2" customHeight="1" s="405">
      <c r="A408" s="94" t="n"/>
      <c r="B408" s="94" t="n"/>
      <c r="C408" s="94" t="n"/>
      <c r="D408" s="94" t="n"/>
      <c r="E408" s="94" t="n"/>
      <c r="F408" s="367" t="n"/>
      <c r="G408" s="367" t="n"/>
      <c r="H408" s="94" t="n"/>
      <c r="I408" s="94" t="n"/>
      <c r="J408" s="94" t="n"/>
    </row>
    <row r="409" ht="13.2" customHeight="1" s="405">
      <c r="A409" s="94" t="n"/>
      <c r="B409" s="94" t="n"/>
      <c r="C409" s="94" t="n"/>
      <c r="D409" s="94" t="n"/>
      <c r="E409" s="94" t="n"/>
      <c r="F409" s="367" t="n"/>
      <c r="G409" s="367" t="n"/>
      <c r="H409" s="94" t="n"/>
      <c r="I409" s="94" t="n"/>
      <c r="J409" s="94" t="n"/>
    </row>
    <row r="410" ht="13.2" customHeight="1" s="405">
      <c r="A410" s="94" t="n"/>
      <c r="B410" s="94" t="n"/>
      <c r="C410" s="94" t="n"/>
      <c r="D410" s="94" t="n"/>
      <c r="E410" s="94" t="n"/>
      <c r="F410" s="367" t="n"/>
      <c r="G410" s="367" t="n"/>
      <c r="H410" s="94" t="n"/>
      <c r="I410" s="94" t="n"/>
      <c r="J410" s="94" t="n"/>
    </row>
    <row r="411" ht="13.2" customHeight="1" s="405">
      <c r="A411" s="94" t="n"/>
      <c r="B411" s="94" t="n"/>
      <c r="C411" s="94" t="n"/>
      <c r="D411" s="94" t="n"/>
      <c r="E411" s="94" t="n"/>
      <c r="F411" s="367" t="n"/>
      <c r="G411" s="367" t="n"/>
      <c r="H411" s="94" t="n"/>
      <c r="I411" s="94" t="n"/>
      <c r="J411" s="94" t="n"/>
    </row>
    <row r="412" ht="13.2" customHeight="1" s="405">
      <c r="A412" s="94" t="n"/>
      <c r="B412" s="94" t="n"/>
      <c r="C412" s="94" t="n"/>
      <c r="D412" s="94" t="n"/>
      <c r="E412" s="94" t="n"/>
      <c r="F412" s="367" t="n"/>
      <c r="G412" s="367" t="n"/>
      <c r="H412" s="94" t="n"/>
      <c r="I412" s="94" t="n"/>
      <c r="J412" s="94" t="n"/>
    </row>
    <row r="413" ht="13.2" customHeight="1" s="405">
      <c r="A413" s="94" t="n"/>
      <c r="B413" s="94" t="n"/>
      <c r="C413" s="94" t="n"/>
      <c r="D413" s="94" t="n"/>
      <c r="E413" s="94" t="n"/>
      <c r="F413" s="367" t="n"/>
      <c r="G413" s="367" t="n"/>
      <c r="H413" s="94" t="n"/>
      <c r="I413" s="94" t="n"/>
      <c r="J413" s="94" t="n"/>
    </row>
    <row r="414" ht="13.2" customHeight="1" s="405">
      <c r="A414" s="94" t="n"/>
      <c r="B414" s="94" t="n"/>
      <c r="C414" s="94" t="n"/>
      <c r="D414" s="94" t="n"/>
      <c r="E414" s="94" t="n"/>
      <c r="F414" s="367" t="n"/>
      <c r="G414" s="367" t="n"/>
      <c r="H414" s="94" t="n"/>
      <c r="I414" s="94" t="n"/>
      <c r="J414" s="94" t="n"/>
    </row>
    <row r="415" ht="13.2" customHeight="1" s="405">
      <c r="A415" s="94" t="n"/>
      <c r="B415" s="94" t="n"/>
      <c r="C415" s="94" t="n"/>
      <c r="D415" s="94" t="n"/>
      <c r="E415" s="94" t="n"/>
      <c r="F415" s="367" t="n"/>
      <c r="G415" s="367" t="n"/>
      <c r="H415" s="94" t="n"/>
      <c r="I415" s="94" t="n"/>
      <c r="J415" s="94" t="n"/>
    </row>
    <row r="416" ht="13.2" customHeight="1" s="405">
      <c r="A416" s="94" t="n"/>
      <c r="B416" s="94" t="n"/>
      <c r="C416" s="94" t="n"/>
      <c r="D416" s="94" t="n"/>
      <c r="E416" s="94" t="n"/>
      <c r="F416" s="367" t="n"/>
      <c r="G416" s="367" t="n"/>
      <c r="H416" s="94" t="n"/>
      <c r="I416" s="94" t="n"/>
      <c r="J416" s="94" t="n"/>
    </row>
    <row r="417" ht="13.2" customHeight="1" s="405">
      <c r="A417" s="94" t="n"/>
      <c r="B417" s="94" t="n"/>
      <c r="C417" s="94" t="n"/>
      <c r="D417" s="94" t="n"/>
      <c r="E417" s="94" t="n"/>
      <c r="F417" s="367" t="n"/>
      <c r="G417" s="367" t="n"/>
      <c r="H417" s="94" t="n"/>
      <c r="I417" s="94" t="n"/>
      <c r="J417" s="94" t="n"/>
    </row>
    <row r="418" ht="13.2" customHeight="1" s="405">
      <c r="A418" s="94" t="n"/>
      <c r="B418" s="94" t="n"/>
      <c r="C418" s="94" t="n"/>
      <c r="D418" s="94" t="n"/>
      <c r="E418" s="94" t="n"/>
      <c r="F418" s="367" t="n"/>
      <c r="G418" s="367" t="n"/>
      <c r="H418" s="94" t="n"/>
      <c r="I418" s="94" t="n"/>
      <c r="J418" s="94" t="n"/>
    </row>
    <row r="419" ht="13.2" customHeight="1" s="405">
      <c r="A419" s="94" t="n"/>
      <c r="B419" s="94" t="n"/>
      <c r="C419" s="94" t="n"/>
      <c r="D419" s="94" t="n"/>
      <c r="E419" s="94" t="n"/>
      <c r="F419" s="367" t="n"/>
      <c r="G419" s="367" t="n"/>
      <c r="H419" s="94" t="n"/>
      <c r="I419" s="94" t="n"/>
      <c r="J419" s="94" t="n"/>
    </row>
    <row r="420" ht="13.2" customHeight="1" s="405">
      <c r="A420" s="94" t="n"/>
      <c r="B420" s="94" t="n"/>
      <c r="C420" s="94" t="n"/>
      <c r="D420" s="94" t="n"/>
      <c r="E420" s="94" t="n"/>
      <c r="F420" s="367" t="n"/>
      <c r="G420" s="367" t="n"/>
      <c r="H420" s="94" t="n"/>
      <c r="I420" s="94" t="n"/>
      <c r="J420" s="94" t="n"/>
    </row>
    <row r="421" ht="13.2" customHeight="1" s="405">
      <c r="A421" s="94" t="n"/>
      <c r="B421" s="94" t="n"/>
      <c r="C421" s="94" t="n"/>
      <c r="D421" s="94" t="n"/>
      <c r="E421" s="94" t="n"/>
      <c r="F421" s="367" t="n"/>
      <c r="G421" s="367" t="n"/>
      <c r="H421" s="94" t="n"/>
      <c r="I421" s="94" t="n"/>
      <c r="J421" s="94" t="n"/>
    </row>
    <row r="422" ht="13.2" customHeight="1" s="405">
      <c r="A422" s="94" t="n"/>
      <c r="B422" s="94" t="n"/>
      <c r="C422" s="94" t="n"/>
      <c r="D422" s="94" t="n"/>
      <c r="E422" s="94" t="n"/>
      <c r="F422" s="367" t="n"/>
      <c r="G422" s="367" t="n"/>
      <c r="H422" s="94" t="n"/>
      <c r="I422" s="94" t="n"/>
      <c r="J422" s="94" t="n"/>
    </row>
    <row r="423" ht="13.2" customHeight="1" s="405">
      <c r="A423" s="94" t="n"/>
      <c r="B423" s="94" t="n"/>
      <c r="C423" s="94" t="n"/>
      <c r="D423" s="94" t="n"/>
      <c r="E423" s="94" t="n"/>
      <c r="F423" s="367" t="n"/>
      <c r="G423" s="367" t="n"/>
      <c r="H423" s="94" t="n"/>
      <c r="I423" s="94" t="n"/>
      <c r="J423" s="94" t="n"/>
    </row>
    <row r="424" ht="13.2" customHeight="1" s="405">
      <c r="A424" s="94" t="n"/>
      <c r="B424" s="94" t="n"/>
      <c r="C424" s="94" t="n"/>
      <c r="D424" s="94" t="n"/>
      <c r="E424" s="94" t="n"/>
      <c r="F424" s="367" t="n"/>
      <c r="G424" s="367" t="n"/>
      <c r="H424" s="94" t="n"/>
      <c r="I424" s="94" t="n"/>
      <c r="J424" s="94" t="n"/>
    </row>
    <row r="425" ht="13.2" customHeight="1" s="405">
      <c r="A425" s="94" t="n"/>
      <c r="B425" s="94" t="n"/>
      <c r="C425" s="94" t="n"/>
      <c r="D425" s="94" t="n"/>
      <c r="E425" s="94" t="n"/>
      <c r="F425" s="367" t="n"/>
      <c r="G425" s="367" t="n"/>
      <c r="H425" s="94" t="n"/>
      <c r="I425" s="94" t="n"/>
      <c r="J425" s="94" t="n"/>
    </row>
    <row r="426" ht="13.2" customHeight="1" s="405">
      <c r="A426" s="94" t="n"/>
      <c r="B426" s="94" t="n"/>
      <c r="C426" s="94" t="n"/>
      <c r="D426" s="94" t="n"/>
      <c r="E426" s="94" t="n"/>
      <c r="F426" s="367" t="n"/>
      <c r="G426" s="367" t="n"/>
      <c r="H426" s="94" t="n"/>
      <c r="I426" s="94" t="n"/>
      <c r="J426" s="94" t="n"/>
    </row>
    <row r="427" ht="13.2" customHeight="1" s="405">
      <c r="A427" s="94" t="n"/>
      <c r="B427" s="94" t="n"/>
      <c r="C427" s="94" t="n"/>
      <c r="D427" s="94" t="n"/>
      <c r="E427" s="94" t="n"/>
      <c r="F427" s="367" t="n"/>
      <c r="G427" s="367" t="n"/>
      <c r="H427" s="94" t="n"/>
      <c r="I427" s="94" t="n"/>
      <c r="J427" s="94" t="n"/>
    </row>
    <row r="428" ht="13.2" customHeight="1" s="405">
      <c r="A428" s="94" t="n"/>
      <c r="B428" s="94" t="n"/>
      <c r="C428" s="94" t="n"/>
      <c r="D428" s="94" t="n"/>
      <c r="E428" s="94" t="n"/>
      <c r="F428" s="367" t="n"/>
      <c r="G428" s="367" t="n"/>
      <c r="H428" s="94" t="n"/>
      <c r="I428" s="94" t="n"/>
      <c r="J428" s="94" t="n"/>
    </row>
    <row r="429" ht="13.2" customHeight="1" s="405">
      <c r="A429" s="94" t="n"/>
      <c r="B429" s="94" t="n"/>
      <c r="C429" s="94" t="n"/>
      <c r="D429" s="94" t="n"/>
      <c r="E429" s="94" t="n"/>
      <c r="F429" s="367" t="n"/>
      <c r="G429" s="367" t="n"/>
      <c r="H429" s="94" t="n"/>
      <c r="I429" s="94" t="n"/>
      <c r="J429" s="94" t="n"/>
    </row>
    <row r="430" ht="13.2" customHeight="1" s="405">
      <c r="A430" s="94" t="n"/>
      <c r="B430" s="94" t="n"/>
      <c r="C430" s="94" t="n"/>
      <c r="D430" s="94" t="n"/>
      <c r="E430" s="94" t="n"/>
      <c r="F430" s="367" t="n"/>
      <c r="G430" s="367" t="n"/>
      <c r="H430" s="94" t="n"/>
      <c r="I430" s="94" t="n"/>
      <c r="J430" s="94" t="n"/>
    </row>
    <row r="431" ht="13.2" customHeight="1" s="405">
      <c r="A431" s="94" t="n"/>
      <c r="B431" s="94" t="n"/>
      <c r="C431" s="94" t="n"/>
      <c r="D431" s="94" t="n"/>
      <c r="E431" s="94" t="n"/>
      <c r="F431" s="367" t="n"/>
      <c r="G431" s="367" t="n"/>
      <c r="H431" s="94" t="n"/>
      <c r="I431" s="94" t="n"/>
      <c r="J431" s="94" t="n"/>
    </row>
    <row r="432" ht="13.2" customHeight="1" s="405">
      <c r="A432" s="94" t="n"/>
      <c r="B432" s="94" t="n"/>
      <c r="C432" s="94" t="n"/>
      <c r="D432" s="94" t="n"/>
      <c r="E432" s="94" t="n"/>
      <c r="F432" s="367" t="n"/>
      <c r="G432" s="367" t="n"/>
      <c r="H432" s="94" t="n"/>
      <c r="I432" s="94" t="n"/>
      <c r="J432" s="94" t="n"/>
    </row>
    <row r="433" ht="13.2" customHeight="1" s="405">
      <c r="A433" s="94" t="n"/>
      <c r="B433" s="94" t="n"/>
      <c r="C433" s="94" t="n"/>
      <c r="D433" s="94" t="n"/>
      <c r="E433" s="94" t="n"/>
      <c r="F433" s="367" t="n"/>
      <c r="G433" s="367" t="n"/>
      <c r="H433" s="94" t="n"/>
      <c r="I433" s="94" t="n"/>
      <c r="J433" s="94" t="n"/>
    </row>
    <row r="434" ht="13.2" customHeight="1" s="405">
      <c r="A434" s="94" t="n"/>
      <c r="B434" s="94" t="n"/>
      <c r="C434" s="94" t="n"/>
      <c r="D434" s="94" t="n"/>
      <c r="E434" s="94" t="n"/>
      <c r="F434" s="367" t="n"/>
      <c r="G434" s="367" t="n"/>
      <c r="H434" s="94" t="n"/>
      <c r="I434" s="94" t="n"/>
      <c r="J434" s="94" t="n"/>
    </row>
    <row r="435" ht="13.2" customHeight="1" s="405">
      <c r="A435" s="94" t="n"/>
      <c r="B435" s="94" t="n"/>
      <c r="C435" s="94" t="n"/>
      <c r="D435" s="94" t="n"/>
      <c r="E435" s="94" t="n"/>
      <c r="F435" s="367" t="n"/>
      <c r="G435" s="367" t="n"/>
      <c r="H435" s="94" t="n"/>
      <c r="I435" s="94" t="n"/>
      <c r="J435" s="94" t="n"/>
    </row>
    <row r="436" ht="13.2" customHeight="1" s="405">
      <c r="A436" s="94" t="n"/>
      <c r="B436" s="94" t="n"/>
      <c r="C436" s="94" t="n"/>
      <c r="D436" s="94" t="n"/>
      <c r="E436" s="94" t="n"/>
      <c r="F436" s="367" t="n"/>
      <c r="G436" s="367" t="n"/>
      <c r="H436" s="94" t="n"/>
      <c r="I436" s="94" t="n"/>
      <c r="J436" s="94" t="n"/>
    </row>
    <row r="437" ht="13.2" customHeight="1" s="405">
      <c r="A437" s="94" t="n"/>
      <c r="B437" s="94" t="n"/>
      <c r="C437" s="94" t="n"/>
      <c r="D437" s="94" t="n"/>
      <c r="E437" s="94" t="n"/>
      <c r="F437" s="367" t="n"/>
      <c r="G437" s="367" t="n"/>
      <c r="H437" s="94" t="n"/>
      <c r="I437" s="94" t="n"/>
      <c r="J437" s="94" t="n"/>
    </row>
    <row r="438" ht="13.2" customHeight="1" s="405">
      <c r="A438" s="94" t="n"/>
      <c r="B438" s="94" t="n"/>
      <c r="C438" s="94" t="n"/>
      <c r="D438" s="94" t="n"/>
      <c r="E438" s="94" t="n"/>
      <c r="F438" s="367" t="n"/>
      <c r="G438" s="367" t="n"/>
      <c r="H438" s="94" t="n"/>
      <c r="I438" s="94" t="n"/>
      <c r="J438" s="94" t="n"/>
    </row>
    <row r="439" ht="13.2" customHeight="1" s="405">
      <c r="A439" s="94" t="n"/>
      <c r="B439" s="94" t="n"/>
      <c r="C439" s="94" t="n"/>
      <c r="D439" s="94" t="n"/>
      <c r="E439" s="94" t="n"/>
      <c r="F439" s="367" t="n"/>
      <c r="G439" s="367" t="n"/>
      <c r="H439" s="94" t="n"/>
      <c r="I439" s="94" t="n"/>
      <c r="J439" s="94" t="n"/>
    </row>
    <row r="440" ht="13.2" customHeight="1" s="405">
      <c r="A440" s="94" t="n"/>
      <c r="B440" s="94" t="n"/>
      <c r="C440" s="94" t="n"/>
      <c r="D440" s="94" t="n"/>
      <c r="E440" s="94" t="n"/>
      <c r="F440" s="367" t="n"/>
      <c r="G440" s="367" t="n"/>
      <c r="H440" s="94" t="n"/>
      <c r="I440" s="94" t="n"/>
      <c r="J440" s="94" t="n"/>
    </row>
    <row r="441" ht="13.2" customHeight="1" s="405">
      <c r="A441" s="94" t="n"/>
      <c r="B441" s="94" t="n"/>
      <c r="C441" s="94" t="n"/>
      <c r="D441" s="94" t="n"/>
      <c r="E441" s="94" t="n"/>
      <c r="F441" s="367" t="n"/>
      <c r="G441" s="367" t="n"/>
      <c r="H441" s="94" t="n"/>
      <c r="I441" s="94" t="n"/>
      <c r="J441" s="94" t="n"/>
    </row>
    <row r="442" ht="13.2" customHeight="1" s="405">
      <c r="A442" s="94" t="n"/>
      <c r="B442" s="94" t="n"/>
      <c r="C442" s="94" t="n"/>
      <c r="D442" s="94" t="n"/>
      <c r="E442" s="94" t="n"/>
      <c r="F442" s="367" t="n"/>
      <c r="G442" s="367" t="n"/>
      <c r="H442" s="94" t="n"/>
      <c r="I442" s="94" t="n"/>
      <c r="J442" s="94" t="n"/>
    </row>
    <row r="443" ht="13.2" customHeight="1" s="405">
      <c r="A443" s="94" t="n"/>
      <c r="B443" s="94" t="n"/>
      <c r="C443" s="94" t="n"/>
      <c r="D443" s="94" t="n"/>
      <c r="E443" s="94" t="n"/>
      <c r="F443" s="367" t="n"/>
      <c r="G443" s="367" t="n"/>
      <c r="H443" s="94" t="n"/>
      <c r="I443" s="94" t="n"/>
      <c r="J443" s="94" t="n"/>
    </row>
    <row r="444" ht="13.2" customHeight="1" s="405">
      <c r="A444" s="94" t="n"/>
      <c r="B444" s="94" t="n"/>
      <c r="C444" s="94" t="n"/>
      <c r="D444" s="94" t="n"/>
      <c r="E444" s="94" t="n"/>
      <c r="F444" s="367" t="n"/>
      <c r="G444" s="367" t="n"/>
      <c r="H444" s="94" t="n"/>
      <c r="I444" s="94" t="n"/>
      <c r="J444" s="94" t="n"/>
    </row>
    <row r="445" ht="13.2" customHeight="1" s="405">
      <c r="A445" s="94" t="n"/>
      <c r="B445" s="94" t="n"/>
      <c r="C445" s="94" t="n"/>
      <c r="D445" s="94" t="n"/>
      <c r="E445" s="94" t="n"/>
      <c r="F445" s="367" t="n"/>
      <c r="G445" s="367" t="n"/>
      <c r="H445" s="94" t="n"/>
      <c r="I445" s="94" t="n"/>
      <c r="J445" s="94" t="n"/>
    </row>
    <row r="446" ht="13.2" customHeight="1" s="405">
      <c r="A446" s="94" t="n"/>
      <c r="B446" s="94" t="n"/>
      <c r="C446" s="94" t="n"/>
      <c r="D446" s="94" t="n"/>
      <c r="E446" s="94" t="n"/>
      <c r="F446" s="367" t="n"/>
      <c r="G446" s="367" t="n"/>
      <c r="H446" s="94" t="n"/>
      <c r="I446" s="94" t="n"/>
      <c r="J446" s="94" t="n"/>
    </row>
    <row r="447" ht="13.2" customHeight="1" s="405">
      <c r="A447" s="94" t="n"/>
      <c r="B447" s="94" t="n"/>
      <c r="C447" s="94" t="n"/>
      <c r="D447" s="94" t="n"/>
      <c r="E447" s="94" t="n"/>
      <c r="F447" s="367" t="n"/>
      <c r="G447" s="367" t="n"/>
      <c r="H447" s="94" t="n"/>
      <c r="I447" s="94" t="n"/>
      <c r="J447" s="94" t="n"/>
    </row>
    <row r="448" ht="13.2" customHeight="1" s="405">
      <c r="A448" s="94" t="n"/>
      <c r="B448" s="94" t="n"/>
      <c r="C448" s="94" t="n"/>
      <c r="D448" s="94" t="n"/>
      <c r="E448" s="94" t="n"/>
      <c r="F448" s="367" t="n"/>
      <c r="G448" s="367" t="n"/>
      <c r="H448" s="94" t="n"/>
      <c r="I448" s="94" t="n"/>
      <c r="J448" s="94" t="n"/>
    </row>
    <row r="449" ht="13.2" customHeight="1" s="405">
      <c r="A449" s="94" t="n"/>
      <c r="B449" s="94" t="n"/>
      <c r="C449" s="94" t="n"/>
      <c r="D449" s="94" t="n"/>
      <c r="E449" s="94" t="n"/>
      <c r="F449" s="367" t="n"/>
      <c r="G449" s="367" t="n"/>
      <c r="H449" s="94" t="n"/>
      <c r="I449" s="94" t="n"/>
      <c r="J449" s="94" t="n"/>
    </row>
    <row r="450" ht="13.2" customHeight="1" s="405">
      <c r="A450" s="94" t="n"/>
      <c r="B450" s="94" t="n"/>
      <c r="C450" s="94" t="n"/>
      <c r="D450" s="94" t="n"/>
      <c r="E450" s="94" t="n"/>
      <c r="F450" s="367" t="n"/>
      <c r="G450" s="367" t="n"/>
      <c r="H450" s="94" t="n"/>
      <c r="I450" s="94" t="n"/>
      <c r="J450" s="94" t="n"/>
    </row>
    <row r="451" ht="13.2" customHeight="1" s="405">
      <c r="A451" s="94" t="n"/>
      <c r="B451" s="94" t="n"/>
      <c r="C451" s="94" t="n"/>
      <c r="D451" s="94" t="n"/>
      <c r="E451" s="94" t="n"/>
      <c r="F451" s="367" t="n"/>
      <c r="G451" s="367" t="n"/>
      <c r="H451" s="94" t="n"/>
      <c r="I451" s="94" t="n"/>
      <c r="J451" s="94" t="n"/>
    </row>
    <row r="452" ht="13.2" customHeight="1" s="405">
      <c r="A452" s="94" t="n"/>
      <c r="B452" s="94" t="n"/>
      <c r="C452" s="94" t="n"/>
      <c r="D452" s="94" t="n"/>
      <c r="E452" s="94" t="n"/>
      <c r="F452" s="367" t="n"/>
      <c r="G452" s="367" t="n"/>
      <c r="H452" s="94" t="n"/>
      <c r="I452" s="94" t="n"/>
      <c r="J452" s="94" t="n"/>
    </row>
    <row r="453" ht="13.2" customHeight="1" s="405">
      <c r="A453" s="94" t="n"/>
      <c r="B453" s="94" t="n"/>
      <c r="C453" s="94" t="n"/>
      <c r="D453" s="94" t="n"/>
      <c r="E453" s="94" t="n"/>
      <c r="F453" s="367" t="n"/>
      <c r="G453" s="367" t="n"/>
      <c r="H453" s="94" t="n"/>
      <c r="I453" s="94" t="n"/>
      <c r="J453" s="94" t="n"/>
    </row>
    <row r="454" ht="13.2" customHeight="1" s="405">
      <c r="A454" s="94" t="n"/>
      <c r="B454" s="94" t="n"/>
      <c r="C454" s="94" t="n"/>
      <c r="D454" s="94" t="n"/>
      <c r="E454" s="94" t="n"/>
      <c r="F454" s="367" t="n"/>
      <c r="G454" s="367" t="n"/>
      <c r="H454" s="94" t="n"/>
      <c r="I454" s="94" t="n"/>
      <c r="J454" s="94" t="n"/>
    </row>
    <row r="455" ht="13.2" customHeight="1" s="405">
      <c r="A455" s="94" t="n"/>
      <c r="B455" s="94" t="n"/>
      <c r="C455" s="94" t="n"/>
      <c r="D455" s="94" t="n"/>
      <c r="E455" s="94" t="n"/>
      <c r="F455" s="367" t="n"/>
      <c r="G455" s="367" t="n"/>
      <c r="H455" s="94" t="n"/>
      <c r="I455" s="94" t="n"/>
      <c r="J455" s="94" t="n"/>
    </row>
    <row r="456" ht="13.2" customHeight="1" s="405">
      <c r="A456" s="94" t="n"/>
      <c r="B456" s="94" t="n"/>
      <c r="C456" s="94" t="n"/>
      <c r="D456" s="94" t="n"/>
      <c r="E456" s="94" t="n"/>
      <c r="F456" s="367" t="n"/>
      <c r="G456" s="367" t="n"/>
      <c r="H456" s="94" t="n"/>
      <c r="I456" s="94" t="n"/>
      <c r="J456" s="94" t="n"/>
    </row>
    <row r="457" ht="13.2" customHeight="1" s="405">
      <c r="A457" s="94" t="n"/>
      <c r="B457" s="94" t="n"/>
      <c r="C457" s="94" t="n"/>
      <c r="D457" s="94" t="n"/>
      <c r="E457" s="94" t="n"/>
      <c r="F457" s="367" t="n"/>
      <c r="G457" s="367" t="n"/>
      <c r="H457" s="94" t="n"/>
      <c r="I457" s="94" t="n"/>
      <c r="J457" s="94" t="n"/>
    </row>
    <row r="458" ht="13.2" customHeight="1" s="405">
      <c r="A458" s="94" t="n"/>
      <c r="B458" s="94" t="n"/>
      <c r="C458" s="94" t="n"/>
      <c r="D458" s="94" t="n"/>
      <c r="E458" s="94" t="n"/>
      <c r="F458" s="367" t="n"/>
      <c r="G458" s="367" t="n"/>
      <c r="H458" s="94" t="n"/>
      <c r="I458" s="94" t="n"/>
      <c r="J458" s="94" t="n"/>
    </row>
    <row r="459" ht="13.2" customHeight="1" s="405">
      <c r="A459" s="94" t="n"/>
      <c r="B459" s="94" t="n"/>
      <c r="C459" s="94" t="n"/>
      <c r="D459" s="94" t="n"/>
      <c r="E459" s="94" t="n"/>
      <c r="F459" s="367" t="n"/>
      <c r="G459" s="367" t="n"/>
      <c r="H459" s="94" t="n"/>
      <c r="I459" s="94" t="n"/>
      <c r="J459" s="94" t="n"/>
    </row>
    <row r="460" ht="13.2" customHeight="1" s="405">
      <c r="A460" s="94" t="n"/>
      <c r="B460" s="94" t="n"/>
      <c r="C460" s="94" t="n"/>
      <c r="D460" s="94" t="n"/>
      <c r="E460" s="94" t="n"/>
      <c r="F460" s="367" t="n"/>
      <c r="G460" s="367" t="n"/>
      <c r="H460" s="94" t="n"/>
      <c r="I460" s="94" t="n"/>
      <c r="J460" s="94" t="n"/>
    </row>
    <row r="461" ht="13.2" customHeight="1" s="405">
      <c r="A461" s="94" t="n"/>
      <c r="B461" s="94" t="n"/>
      <c r="C461" s="94" t="n"/>
      <c r="D461" s="94" t="n"/>
      <c r="E461" s="94" t="n"/>
      <c r="F461" s="367" t="n"/>
      <c r="G461" s="367" t="n"/>
      <c r="H461" s="94" t="n"/>
      <c r="I461" s="94" t="n"/>
      <c r="J461" s="94" t="n"/>
    </row>
    <row r="462" ht="13.2" customHeight="1" s="405">
      <c r="A462" s="94" t="n"/>
      <c r="B462" s="94" t="n"/>
      <c r="C462" s="94" t="n"/>
      <c r="D462" s="94" t="n"/>
      <c r="E462" s="94" t="n"/>
      <c r="F462" s="367" t="n"/>
      <c r="G462" s="367" t="n"/>
      <c r="H462" s="94" t="n"/>
      <c r="I462" s="94" t="n"/>
      <c r="J462" s="94" t="n"/>
    </row>
    <row r="463" ht="13.2" customHeight="1" s="405">
      <c r="A463" s="94" t="n"/>
      <c r="B463" s="94" t="n"/>
      <c r="C463" s="94" t="n"/>
      <c r="D463" s="94" t="n"/>
      <c r="E463" s="94" t="n"/>
      <c r="F463" s="367" t="n"/>
      <c r="G463" s="367" t="n"/>
      <c r="H463" s="94" t="n"/>
      <c r="I463" s="94" t="n"/>
      <c r="J463" s="94" t="n"/>
    </row>
    <row r="464" ht="13.2" customHeight="1" s="405">
      <c r="A464" s="94" t="n"/>
      <c r="B464" s="94" t="n"/>
      <c r="C464" s="94" t="n"/>
      <c r="D464" s="94" t="n"/>
      <c r="E464" s="94" t="n"/>
      <c r="F464" s="367" t="n"/>
      <c r="G464" s="367" t="n"/>
      <c r="H464" s="94" t="n"/>
      <c r="I464" s="94" t="n"/>
      <c r="J464" s="94" t="n"/>
    </row>
    <row r="465" ht="13.2" customHeight="1" s="405">
      <c r="A465" s="94" t="n"/>
      <c r="B465" s="94" t="n"/>
      <c r="C465" s="94" t="n"/>
      <c r="D465" s="94" t="n"/>
      <c r="E465" s="94" t="n"/>
      <c r="F465" s="367" t="n"/>
      <c r="G465" s="367" t="n"/>
      <c r="H465" s="94" t="n"/>
      <c r="I465" s="94" t="n"/>
      <c r="J465" s="94" t="n"/>
    </row>
    <row r="466" ht="13.2" customHeight="1" s="405">
      <c r="A466" s="94" t="n"/>
      <c r="B466" s="94" t="n"/>
      <c r="C466" s="94" t="n"/>
      <c r="D466" s="94" t="n"/>
      <c r="E466" s="94" t="n"/>
      <c r="F466" s="367" t="n"/>
      <c r="G466" s="367" t="n"/>
      <c r="H466" s="94" t="n"/>
      <c r="I466" s="94" t="n"/>
      <c r="J466" s="94" t="n"/>
    </row>
    <row r="467" ht="13.2" customHeight="1" s="405">
      <c r="A467" s="94" t="n"/>
      <c r="B467" s="94" t="n"/>
      <c r="C467" s="94" t="n"/>
      <c r="D467" s="94" t="n"/>
      <c r="E467" s="94" t="n"/>
      <c r="F467" s="367" t="n"/>
      <c r="G467" s="367" t="n"/>
      <c r="H467" s="94" t="n"/>
      <c r="I467" s="94" t="n"/>
      <c r="J467" s="94" t="n"/>
    </row>
    <row r="468" ht="13.2" customHeight="1" s="405">
      <c r="A468" s="94" t="n"/>
      <c r="B468" s="94" t="n"/>
      <c r="C468" s="94" t="n"/>
      <c r="D468" s="94" t="n"/>
      <c r="E468" s="94" t="n"/>
      <c r="F468" s="367" t="n"/>
      <c r="G468" s="367" t="n"/>
      <c r="H468" s="94" t="n"/>
      <c r="I468" s="94" t="n"/>
      <c r="J468" s="94" t="n"/>
    </row>
    <row r="469" ht="13.2" customHeight="1" s="405">
      <c r="A469" s="94" t="n"/>
      <c r="B469" s="94" t="n"/>
      <c r="C469" s="94" t="n"/>
      <c r="D469" s="94" t="n"/>
      <c r="E469" s="94" t="n"/>
      <c r="F469" s="367" t="n"/>
      <c r="G469" s="367" t="n"/>
      <c r="H469" s="94" t="n"/>
      <c r="I469" s="94" t="n"/>
      <c r="J469" s="94" t="n"/>
    </row>
    <row r="470" ht="13.2" customHeight="1" s="405">
      <c r="A470" s="94" t="n"/>
      <c r="B470" s="94" t="n"/>
      <c r="C470" s="94" t="n"/>
      <c r="D470" s="94" t="n"/>
      <c r="E470" s="94" t="n"/>
      <c r="F470" s="367" t="n"/>
      <c r="G470" s="367" t="n"/>
      <c r="H470" s="94" t="n"/>
      <c r="I470" s="94" t="n"/>
      <c r="J470" s="94" t="n"/>
    </row>
    <row r="471" ht="13.2" customHeight="1" s="405">
      <c r="A471" s="94" t="n"/>
      <c r="B471" s="94" t="n"/>
      <c r="C471" s="94" t="n"/>
      <c r="D471" s="94" t="n"/>
      <c r="E471" s="94" t="n"/>
      <c r="F471" s="367" t="n"/>
      <c r="G471" s="367" t="n"/>
      <c r="H471" s="94" t="n"/>
      <c r="I471" s="94" t="n"/>
      <c r="J471" s="94" t="n"/>
    </row>
    <row r="472" ht="13.2" customHeight="1" s="405">
      <c r="A472" s="94" t="n"/>
      <c r="B472" s="94" t="n"/>
      <c r="C472" s="94" t="n"/>
      <c r="D472" s="94" t="n"/>
      <c r="E472" s="94" t="n"/>
      <c r="F472" s="367" t="n"/>
      <c r="G472" s="367" t="n"/>
      <c r="H472" s="94" t="n"/>
      <c r="I472" s="94" t="n"/>
      <c r="J472" s="94" t="n"/>
    </row>
    <row r="473" ht="13.2" customHeight="1" s="405">
      <c r="A473" s="94" t="n"/>
      <c r="B473" s="94" t="n"/>
      <c r="C473" s="94" t="n"/>
      <c r="D473" s="94" t="n"/>
      <c r="E473" s="94" t="n"/>
      <c r="F473" s="367" t="n"/>
      <c r="G473" s="367" t="n"/>
      <c r="H473" s="94" t="n"/>
      <c r="I473" s="94" t="n"/>
      <c r="J473" s="94" t="n"/>
    </row>
    <row r="474" ht="13.2" customHeight="1" s="405">
      <c r="A474" s="94" t="n"/>
      <c r="B474" s="94" t="n"/>
      <c r="C474" s="94" t="n"/>
      <c r="D474" s="94" t="n"/>
      <c r="E474" s="94" t="n"/>
      <c r="F474" s="367" t="n"/>
      <c r="G474" s="367" t="n"/>
      <c r="H474" s="94" t="n"/>
      <c r="I474" s="94" t="n"/>
      <c r="J474" s="94" t="n"/>
    </row>
    <row r="475" ht="13.2" customHeight="1" s="405">
      <c r="A475" s="94" t="n"/>
      <c r="B475" s="94" t="n"/>
      <c r="C475" s="94" t="n"/>
      <c r="D475" s="94" t="n"/>
      <c r="E475" s="94" t="n"/>
      <c r="F475" s="367" t="n"/>
      <c r="G475" s="367" t="n"/>
      <c r="H475" s="94" t="n"/>
      <c r="I475" s="94" t="n"/>
      <c r="J475" s="94" t="n"/>
    </row>
    <row r="476" ht="13.2" customHeight="1" s="405">
      <c r="A476" s="94" t="n"/>
      <c r="B476" s="94" t="n"/>
      <c r="C476" s="94" t="n"/>
      <c r="D476" s="94" t="n"/>
      <c r="E476" s="94" t="n"/>
      <c r="F476" s="367" t="n"/>
      <c r="G476" s="367" t="n"/>
      <c r="H476" s="94" t="n"/>
      <c r="I476" s="94" t="n"/>
      <c r="J476" s="94" t="n"/>
    </row>
    <row r="477" ht="13.2" customHeight="1" s="405">
      <c r="A477" s="94" t="n"/>
      <c r="B477" s="94" t="n"/>
      <c r="C477" s="94" t="n"/>
      <c r="D477" s="94" t="n"/>
      <c r="E477" s="94" t="n"/>
      <c r="F477" s="367" t="n"/>
      <c r="G477" s="367" t="n"/>
      <c r="H477" s="94" t="n"/>
      <c r="I477" s="94" t="n"/>
      <c r="J477" s="94" t="n"/>
    </row>
    <row r="478" ht="13.2" customHeight="1" s="405">
      <c r="A478" s="94" t="n"/>
      <c r="B478" s="94" t="n"/>
      <c r="C478" s="94" t="n"/>
      <c r="D478" s="94" t="n"/>
      <c r="E478" s="94" t="n"/>
      <c r="F478" s="367" t="n"/>
      <c r="G478" s="367" t="n"/>
      <c r="H478" s="94" t="n"/>
      <c r="I478" s="94" t="n"/>
      <c r="J478" s="94" t="n"/>
    </row>
    <row r="479" ht="13.2" customHeight="1" s="405">
      <c r="A479" s="94" t="n"/>
      <c r="B479" s="94" t="n"/>
      <c r="C479" s="94" t="n"/>
      <c r="D479" s="94" t="n"/>
      <c r="E479" s="94" t="n"/>
      <c r="F479" s="367" t="n"/>
      <c r="G479" s="367" t="n"/>
      <c r="H479" s="94" t="n"/>
      <c r="I479" s="94" t="n"/>
      <c r="J479" s="94" t="n"/>
    </row>
    <row r="480" ht="13.2" customHeight="1" s="405">
      <c r="A480" s="94" t="n"/>
      <c r="B480" s="94" t="n"/>
      <c r="C480" s="94" t="n"/>
      <c r="D480" s="94" t="n"/>
      <c r="E480" s="94" t="n"/>
      <c r="F480" s="367" t="n"/>
      <c r="G480" s="367" t="n"/>
      <c r="H480" s="94" t="n"/>
      <c r="I480" s="94" t="n"/>
      <c r="J480" s="94" t="n"/>
    </row>
    <row r="481" ht="13.2" customHeight="1" s="405">
      <c r="A481" s="94" t="n"/>
      <c r="B481" s="94" t="n"/>
      <c r="C481" s="94" t="n"/>
      <c r="D481" s="94" t="n"/>
      <c r="E481" s="94" t="n"/>
      <c r="F481" s="367" t="n"/>
      <c r="G481" s="367" t="n"/>
      <c r="H481" s="94" t="n"/>
      <c r="I481" s="94" t="n"/>
      <c r="J481" s="94" t="n"/>
    </row>
    <row r="482" ht="13.2" customHeight="1" s="405">
      <c r="A482" s="94" t="n"/>
      <c r="B482" s="94" t="n"/>
      <c r="C482" s="94" t="n"/>
      <c r="D482" s="94" t="n"/>
      <c r="E482" s="94" t="n"/>
      <c r="F482" s="367" t="n"/>
      <c r="G482" s="367" t="n"/>
      <c r="H482" s="94" t="n"/>
      <c r="I482" s="94" t="n"/>
      <c r="J482" s="94" t="n"/>
    </row>
    <row r="483" ht="13.2" customHeight="1" s="405">
      <c r="A483" s="94" t="n"/>
      <c r="B483" s="94" t="n"/>
      <c r="C483" s="94" t="n"/>
      <c r="D483" s="94" t="n"/>
      <c r="E483" s="94" t="n"/>
      <c r="F483" s="367" t="n"/>
      <c r="G483" s="367" t="n"/>
      <c r="H483" s="94" t="n"/>
      <c r="I483" s="94" t="n"/>
      <c r="J483" s="94" t="n"/>
    </row>
    <row r="484" ht="13.2" customHeight="1" s="405">
      <c r="A484" s="94" t="n"/>
      <c r="B484" s="94" t="n"/>
      <c r="C484" s="94" t="n"/>
      <c r="D484" s="94" t="n"/>
      <c r="E484" s="94" t="n"/>
      <c r="F484" s="367" t="n"/>
      <c r="G484" s="367" t="n"/>
      <c r="H484" s="94" t="n"/>
      <c r="I484" s="94" t="n"/>
      <c r="J484" s="94" t="n"/>
    </row>
    <row r="485" ht="13.2" customHeight="1" s="405">
      <c r="A485" s="94" t="n"/>
      <c r="B485" s="94" t="n"/>
      <c r="C485" s="94" t="n"/>
      <c r="D485" s="94" t="n"/>
      <c r="E485" s="94" t="n"/>
      <c r="F485" s="367" t="n"/>
      <c r="G485" s="367" t="n"/>
      <c r="H485" s="94" t="n"/>
      <c r="I485" s="94" t="n"/>
      <c r="J485" s="94" t="n"/>
    </row>
    <row r="486" ht="13.2" customHeight="1" s="405">
      <c r="A486" s="94" t="n"/>
      <c r="B486" s="94" t="n"/>
      <c r="C486" s="94" t="n"/>
      <c r="D486" s="94" t="n"/>
      <c r="E486" s="94" t="n"/>
      <c r="F486" s="367" t="n"/>
      <c r="G486" s="367" t="n"/>
      <c r="H486" s="94" t="n"/>
      <c r="I486" s="94" t="n"/>
      <c r="J486" s="94" t="n"/>
    </row>
    <row r="487" ht="13.2" customHeight="1" s="405">
      <c r="A487" s="94" t="n"/>
      <c r="B487" s="94" t="n"/>
      <c r="C487" s="94" t="n"/>
      <c r="D487" s="94" t="n"/>
      <c r="E487" s="94" t="n"/>
      <c r="F487" s="367" t="n"/>
      <c r="G487" s="367" t="n"/>
      <c r="H487" s="94" t="n"/>
      <c r="I487" s="94" t="n"/>
      <c r="J487" s="94" t="n"/>
    </row>
    <row r="488" ht="13.2" customHeight="1" s="405">
      <c r="A488" s="94" t="n"/>
      <c r="B488" s="94" t="n"/>
      <c r="C488" s="94" t="n"/>
      <c r="D488" s="94" t="n"/>
      <c r="E488" s="94" t="n"/>
      <c r="F488" s="367" t="n"/>
      <c r="G488" s="367" t="n"/>
      <c r="H488" s="94" t="n"/>
      <c r="I488" s="94" t="n"/>
      <c r="J488" s="94" t="n"/>
    </row>
    <row r="489" ht="13.2" customHeight="1" s="405">
      <c r="A489" s="94" t="n"/>
      <c r="B489" s="94" t="n"/>
      <c r="C489" s="94" t="n"/>
      <c r="D489" s="94" t="n"/>
      <c r="E489" s="94" t="n"/>
      <c r="F489" s="367" t="n"/>
      <c r="G489" s="367" t="n"/>
      <c r="H489" s="94" t="n"/>
      <c r="I489" s="94" t="n"/>
      <c r="J489" s="94" t="n"/>
    </row>
    <row r="490" ht="13.2" customHeight="1" s="405">
      <c r="A490" s="94" t="n"/>
      <c r="B490" s="94" t="n"/>
      <c r="C490" s="94" t="n"/>
      <c r="D490" s="94" t="n"/>
      <c r="E490" s="94" t="n"/>
      <c r="F490" s="367" t="n"/>
      <c r="G490" s="367" t="n"/>
      <c r="H490" s="94" t="n"/>
      <c r="I490" s="94" t="n"/>
      <c r="J490" s="94" t="n"/>
    </row>
    <row r="491" ht="13.2" customHeight="1" s="405">
      <c r="A491" s="94" t="n"/>
      <c r="B491" s="94" t="n"/>
      <c r="C491" s="94" t="n"/>
      <c r="D491" s="94" t="n"/>
      <c r="E491" s="94" t="n"/>
      <c r="F491" s="367" t="n"/>
      <c r="G491" s="367" t="n"/>
      <c r="H491" s="94" t="n"/>
      <c r="I491" s="94" t="n"/>
      <c r="J491" s="94" t="n"/>
    </row>
    <row r="492" ht="13.2" customHeight="1" s="405">
      <c r="A492" s="94" t="n"/>
      <c r="B492" s="94" t="n"/>
      <c r="C492" s="94" t="n"/>
      <c r="D492" s="94" t="n"/>
      <c r="E492" s="94" t="n"/>
      <c r="F492" s="367" t="n"/>
      <c r="G492" s="367" t="n"/>
      <c r="H492" s="94" t="n"/>
      <c r="I492" s="94" t="n"/>
      <c r="J492" s="94" t="n"/>
    </row>
    <row r="493" ht="13.2" customHeight="1" s="405">
      <c r="A493" s="94" t="n"/>
      <c r="B493" s="94" t="n"/>
      <c r="C493" s="94" t="n"/>
      <c r="D493" s="94" t="n"/>
      <c r="E493" s="94" t="n"/>
      <c r="F493" s="367" t="n"/>
      <c r="G493" s="367" t="n"/>
      <c r="H493" s="94" t="n"/>
      <c r="I493" s="94" t="n"/>
      <c r="J493" s="94" t="n"/>
    </row>
    <row r="494" ht="13.2" customHeight="1" s="405">
      <c r="A494" s="94" t="n"/>
      <c r="B494" s="94" t="n"/>
      <c r="C494" s="94" t="n"/>
      <c r="D494" s="94" t="n"/>
      <c r="E494" s="94" t="n"/>
      <c r="F494" s="367" t="n"/>
      <c r="G494" s="367" t="n"/>
      <c r="H494" s="94" t="n"/>
      <c r="I494" s="94" t="n"/>
      <c r="J494" s="94" t="n"/>
    </row>
    <row r="495" ht="13.2" customHeight="1" s="405">
      <c r="A495" s="94" t="n"/>
      <c r="B495" s="94" t="n"/>
      <c r="C495" s="94" t="n"/>
      <c r="D495" s="94" t="n"/>
      <c r="E495" s="94" t="n"/>
      <c r="F495" s="367" t="n"/>
      <c r="G495" s="367" t="n"/>
      <c r="H495" s="94" t="n"/>
      <c r="I495" s="94" t="n"/>
      <c r="J495" s="94" t="n"/>
    </row>
    <row r="496" ht="13.2" customHeight="1" s="405">
      <c r="A496" s="94" t="n"/>
      <c r="B496" s="94" t="n"/>
      <c r="C496" s="94" t="n"/>
      <c r="D496" s="94" t="n"/>
      <c r="E496" s="94" t="n"/>
      <c r="F496" s="367" t="n"/>
      <c r="G496" s="367" t="n"/>
      <c r="H496" s="94" t="n"/>
      <c r="I496" s="94" t="n"/>
      <c r="J496" s="94" t="n"/>
    </row>
    <row r="497" ht="13.2" customHeight="1" s="405">
      <c r="A497" s="94" t="n"/>
      <c r="B497" s="94" t="n"/>
      <c r="C497" s="94" t="n"/>
      <c r="D497" s="94" t="n"/>
      <c r="E497" s="94" t="n"/>
      <c r="F497" s="367" t="n"/>
      <c r="G497" s="367" t="n"/>
      <c r="H497" s="94" t="n"/>
      <c r="I497" s="94" t="n"/>
      <c r="J497" s="94" t="n"/>
    </row>
    <row r="498" ht="13.2" customHeight="1" s="405">
      <c r="A498" s="94" t="n"/>
      <c r="B498" s="94" t="n"/>
      <c r="C498" s="94" t="n"/>
      <c r="D498" s="94" t="n"/>
      <c r="E498" s="94" t="n"/>
      <c r="F498" s="367" t="n"/>
      <c r="G498" s="367" t="n"/>
      <c r="H498" s="94" t="n"/>
      <c r="I498" s="94" t="n"/>
      <c r="J498" s="94" t="n"/>
    </row>
    <row r="499" ht="13.2" customHeight="1" s="405">
      <c r="A499" s="94" t="n"/>
      <c r="B499" s="94" t="n"/>
      <c r="C499" s="94" t="n"/>
      <c r="D499" s="94" t="n"/>
      <c r="E499" s="94" t="n"/>
      <c r="F499" s="367" t="n"/>
      <c r="G499" s="367" t="n"/>
      <c r="H499" s="94" t="n"/>
      <c r="I499" s="94" t="n"/>
      <c r="J499" s="94" t="n"/>
    </row>
    <row r="500" ht="13.2" customHeight="1" s="405">
      <c r="A500" s="94" t="n"/>
      <c r="B500" s="94" t="n"/>
      <c r="C500" s="94" t="n"/>
      <c r="D500" s="94" t="n"/>
      <c r="E500" s="94" t="n"/>
      <c r="F500" s="367" t="n"/>
      <c r="G500" s="367" t="n"/>
      <c r="H500" s="94" t="n"/>
      <c r="I500" s="94" t="n"/>
      <c r="J500" s="94" t="n"/>
    </row>
    <row r="501" ht="13.2" customHeight="1" s="405">
      <c r="A501" s="94" t="n"/>
      <c r="B501" s="94" t="n"/>
      <c r="C501" s="94" t="n"/>
      <c r="D501" s="94" t="n"/>
      <c r="E501" s="94" t="n"/>
      <c r="F501" s="367" t="n"/>
      <c r="G501" s="367" t="n"/>
      <c r="H501" s="94" t="n"/>
      <c r="I501" s="94" t="n"/>
      <c r="J501" s="94" t="n"/>
    </row>
    <row r="502" ht="13.2" customHeight="1" s="405">
      <c r="A502" s="94" t="n"/>
      <c r="B502" s="94" t="n"/>
      <c r="C502" s="94" t="n"/>
      <c r="D502" s="94" t="n"/>
      <c r="E502" s="94" t="n"/>
      <c r="F502" s="367" t="n"/>
      <c r="G502" s="367" t="n"/>
      <c r="H502" s="94" t="n"/>
      <c r="I502" s="94" t="n"/>
      <c r="J502" s="94" t="n"/>
    </row>
    <row r="503" ht="13.2" customHeight="1" s="405">
      <c r="A503" s="94" t="n"/>
      <c r="B503" s="94" t="n"/>
      <c r="C503" s="94" t="n"/>
      <c r="D503" s="94" t="n"/>
      <c r="E503" s="94" t="n"/>
      <c r="F503" s="367" t="n"/>
      <c r="G503" s="367" t="n"/>
      <c r="H503" s="94" t="n"/>
      <c r="I503" s="94" t="n"/>
      <c r="J503" s="94" t="n"/>
    </row>
    <row r="504" ht="13.2" customHeight="1" s="405">
      <c r="A504" s="94" t="n"/>
      <c r="B504" s="94" t="n"/>
      <c r="C504" s="94" t="n"/>
      <c r="D504" s="94" t="n"/>
      <c r="E504" s="94" t="n"/>
      <c r="F504" s="367" t="n"/>
      <c r="G504" s="367" t="n"/>
      <c r="H504" s="94" t="n"/>
      <c r="I504" s="94" t="n"/>
      <c r="J504" s="94" t="n"/>
    </row>
    <row r="505" ht="13.2" customHeight="1" s="405">
      <c r="A505" s="94" t="n"/>
      <c r="B505" s="94" t="n"/>
      <c r="C505" s="94" t="n"/>
      <c r="D505" s="94" t="n"/>
      <c r="E505" s="94" t="n"/>
      <c r="F505" s="367" t="n"/>
      <c r="G505" s="367" t="n"/>
      <c r="H505" s="94" t="n"/>
      <c r="I505" s="94" t="n"/>
      <c r="J505" s="94" t="n"/>
    </row>
    <row r="506" ht="13.2" customHeight="1" s="405">
      <c r="A506" s="94" t="n"/>
      <c r="B506" s="94" t="n"/>
      <c r="C506" s="94" t="n"/>
      <c r="D506" s="94" t="n"/>
      <c r="E506" s="94" t="n"/>
      <c r="F506" s="367" t="n"/>
      <c r="G506" s="367" t="n"/>
      <c r="H506" s="94" t="n"/>
      <c r="I506" s="94" t="n"/>
      <c r="J506" s="94" t="n"/>
    </row>
    <row r="507" ht="13.2" customHeight="1" s="405">
      <c r="A507" s="94" t="n"/>
      <c r="B507" s="94" t="n"/>
      <c r="C507" s="94" t="n"/>
      <c r="D507" s="94" t="n"/>
      <c r="E507" s="94" t="n"/>
      <c r="F507" s="367" t="n"/>
      <c r="G507" s="367" t="n"/>
      <c r="H507" s="94" t="n"/>
      <c r="I507" s="94" t="n"/>
      <c r="J507" s="94" t="n"/>
    </row>
    <row r="508" ht="13.2" customHeight="1" s="405">
      <c r="A508" s="94" t="n"/>
      <c r="B508" s="94" t="n"/>
      <c r="C508" s="94" t="n"/>
      <c r="D508" s="94" t="n"/>
      <c r="E508" s="94" t="n"/>
      <c r="F508" s="367" t="n"/>
      <c r="G508" s="367" t="n"/>
      <c r="H508" s="94" t="n"/>
      <c r="I508" s="94" t="n"/>
      <c r="J508" s="94" t="n"/>
    </row>
    <row r="509" ht="13.2" customHeight="1" s="405">
      <c r="A509" s="94" t="n"/>
      <c r="B509" s="94" t="n"/>
      <c r="C509" s="94" t="n"/>
      <c r="D509" s="94" t="n"/>
      <c r="E509" s="94" t="n"/>
      <c r="F509" s="367" t="n"/>
      <c r="G509" s="367" t="n"/>
      <c r="H509" s="94" t="n"/>
      <c r="I509" s="94" t="n"/>
      <c r="J509" s="94" t="n"/>
    </row>
    <row r="510" ht="13.2" customHeight="1" s="405">
      <c r="A510" s="94" t="n"/>
      <c r="B510" s="94" t="n"/>
      <c r="C510" s="94" t="n"/>
      <c r="D510" s="94" t="n"/>
      <c r="E510" s="94" t="n"/>
      <c r="F510" s="367" t="n"/>
      <c r="G510" s="367" t="n"/>
      <c r="H510" s="94" t="n"/>
      <c r="I510" s="94" t="n"/>
      <c r="J510" s="94" t="n"/>
    </row>
    <row r="511" ht="13.2" customHeight="1" s="405">
      <c r="A511" s="94" t="n"/>
      <c r="B511" s="94" t="n"/>
      <c r="C511" s="94" t="n"/>
      <c r="D511" s="94" t="n"/>
      <c r="E511" s="94" t="n"/>
      <c r="F511" s="367" t="n"/>
      <c r="G511" s="367" t="n"/>
      <c r="H511" s="94" t="n"/>
      <c r="I511" s="94" t="n"/>
      <c r="J511" s="94" t="n"/>
    </row>
    <row r="512" ht="13.2" customHeight="1" s="405">
      <c r="A512" s="94" t="n"/>
      <c r="B512" s="94" t="n"/>
      <c r="C512" s="94" t="n"/>
      <c r="D512" s="94" t="n"/>
      <c r="E512" s="94" t="n"/>
      <c r="F512" s="367" t="n"/>
      <c r="G512" s="367" t="n"/>
      <c r="H512" s="94" t="n"/>
      <c r="I512" s="94" t="n"/>
      <c r="J512" s="94" t="n"/>
    </row>
    <row r="513" ht="13.2" customHeight="1" s="405">
      <c r="A513" s="94" t="n"/>
      <c r="B513" s="94" t="n"/>
      <c r="C513" s="94" t="n"/>
      <c r="D513" s="94" t="n"/>
      <c r="E513" s="94" t="n"/>
      <c r="F513" s="367" t="n"/>
      <c r="G513" s="367" t="n"/>
      <c r="H513" s="94" t="n"/>
      <c r="I513" s="94" t="n"/>
      <c r="J513" s="94" t="n"/>
    </row>
    <row r="514" ht="13.2" customHeight="1" s="405">
      <c r="A514" s="94" t="n"/>
      <c r="B514" s="94" t="n"/>
      <c r="C514" s="94" t="n"/>
      <c r="D514" s="94" t="n"/>
      <c r="E514" s="94" t="n"/>
      <c r="F514" s="367" t="n"/>
      <c r="G514" s="367" t="n"/>
      <c r="H514" s="94" t="n"/>
      <c r="I514" s="94" t="n"/>
      <c r="J514" s="94" t="n"/>
    </row>
    <row r="515" ht="13.2" customHeight="1" s="405">
      <c r="A515" s="94" t="n"/>
      <c r="B515" s="94" t="n"/>
      <c r="C515" s="94" t="n"/>
      <c r="D515" s="94" t="n"/>
      <c r="E515" s="94" t="n"/>
      <c r="F515" s="367" t="n"/>
      <c r="G515" s="367" t="n"/>
      <c r="H515" s="94" t="n"/>
      <c r="I515" s="94" t="n"/>
      <c r="J515" s="94" t="n"/>
    </row>
    <row r="516" ht="13.2" customHeight="1" s="405">
      <c r="A516" s="94" t="n"/>
      <c r="B516" s="94" t="n"/>
      <c r="C516" s="94" t="n"/>
      <c r="D516" s="94" t="n"/>
      <c r="E516" s="94" t="n"/>
      <c r="F516" s="367" t="n"/>
      <c r="G516" s="367" t="n"/>
      <c r="H516" s="94" t="n"/>
      <c r="I516" s="94" t="n"/>
      <c r="J516" s="94" t="n"/>
    </row>
    <row r="517" ht="13.2" customHeight="1" s="405">
      <c r="A517" s="94" t="n"/>
      <c r="B517" s="94" t="n"/>
      <c r="C517" s="94" t="n"/>
      <c r="D517" s="94" t="n"/>
      <c r="E517" s="94" t="n"/>
      <c r="F517" s="367" t="n"/>
      <c r="G517" s="367" t="n"/>
      <c r="H517" s="94" t="n"/>
      <c r="I517" s="94" t="n"/>
      <c r="J517" s="94" t="n"/>
    </row>
    <row r="518" ht="13.2" customHeight="1" s="405">
      <c r="A518" s="94" t="n"/>
      <c r="B518" s="94" t="n"/>
      <c r="C518" s="94" t="n"/>
      <c r="D518" s="94" t="n"/>
      <c r="E518" s="94" t="n"/>
      <c r="F518" s="367" t="n"/>
      <c r="G518" s="367" t="n"/>
      <c r="H518" s="94" t="n"/>
      <c r="I518" s="94" t="n"/>
      <c r="J518" s="94" t="n"/>
    </row>
    <row r="519" ht="13.2" customHeight="1" s="405">
      <c r="A519" s="94" t="n"/>
      <c r="B519" s="94" t="n"/>
      <c r="C519" s="94" t="n"/>
      <c r="D519" s="94" t="n"/>
      <c r="E519" s="94" t="n"/>
      <c r="F519" s="367" t="n"/>
      <c r="G519" s="367" t="n"/>
      <c r="H519" s="94" t="n"/>
      <c r="I519" s="94" t="n"/>
      <c r="J519" s="94" t="n"/>
    </row>
    <row r="520" ht="13.2" customHeight="1" s="405">
      <c r="A520" s="94" t="n"/>
      <c r="B520" s="94" t="n"/>
      <c r="C520" s="94" t="n"/>
      <c r="D520" s="94" t="n"/>
      <c r="E520" s="94" t="n"/>
      <c r="F520" s="367" t="n"/>
      <c r="G520" s="367" t="n"/>
      <c r="H520" s="94" t="n"/>
      <c r="I520" s="94" t="n"/>
      <c r="J520" s="94" t="n"/>
    </row>
    <row r="521" ht="13.2" customHeight="1" s="405">
      <c r="A521" s="94" t="n"/>
      <c r="B521" s="94" t="n"/>
      <c r="C521" s="94" t="n"/>
      <c r="D521" s="94" t="n"/>
      <c r="E521" s="94" t="n"/>
      <c r="F521" s="367" t="n"/>
      <c r="G521" s="367" t="n"/>
      <c r="H521" s="94" t="n"/>
      <c r="I521" s="94" t="n"/>
      <c r="J521" s="94" t="n"/>
    </row>
    <row r="522" ht="13.2" customHeight="1" s="405">
      <c r="A522" s="94" t="n"/>
      <c r="B522" s="94" t="n"/>
      <c r="C522" s="94" t="n"/>
      <c r="D522" s="94" t="n"/>
      <c r="E522" s="94" t="n"/>
      <c r="F522" s="367" t="n"/>
      <c r="G522" s="367" t="n"/>
      <c r="H522" s="94" t="n"/>
      <c r="I522" s="94" t="n"/>
      <c r="J522" s="94" t="n"/>
    </row>
    <row r="523" ht="13.2" customHeight="1" s="405">
      <c r="A523" s="94" t="n"/>
      <c r="B523" s="94" t="n"/>
      <c r="C523" s="94" t="n"/>
      <c r="D523" s="94" t="n"/>
      <c r="E523" s="94" t="n"/>
      <c r="F523" s="367" t="n"/>
      <c r="G523" s="367" t="n"/>
      <c r="H523" s="94" t="n"/>
      <c r="I523" s="94" t="n"/>
      <c r="J523" s="94" t="n"/>
    </row>
    <row r="524" ht="13.2" customHeight="1" s="405">
      <c r="A524" s="94" t="n"/>
      <c r="B524" s="94" t="n"/>
      <c r="C524" s="94" t="n"/>
      <c r="D524" s="94" t="n"/>
      <c r="E524" s="94" t="n"/>
      <c r="F524" s="367" t="n"/>
      <c r="G524" s="367" t="n"/>
      <c r="H524" s="94" t="n"/>
      <c r="I524" s="94" t="n"/>
      <c r="J524" s="94" t="n"/>
    </row>
    <row r="525" ht="13.2" customHeight="1" s="405">
      <c r="A525" s="94" t="n"/>
      <c r="B525" s="94" t="n"/>
      <c r="C525" s="94" t="n"/>
      <c r="D525" s="94" t="n"/>
      <c r="E525" s="94" t="n"/>
      <c r="F525" s="367" t="n"/>
      <c r="G525" s="367" t="n"/>
      <c r="H525" s="94" t="n"/>
      <c r="I525" s="94" t="n"/>
      <c r="J525" s="94" t="n"/>
    </row>
    <row r="526" ht="13.2" customHeight="1" s="405">
      <c r="A526" s="94" t="n"/>
      <c r="B526" s="94" t="n"/>
      <c r="C526" s="94" t="n"/>
      <c r="D526" s="94" t="n"/>
      <c r="E526" s="94" t="n"/>
      <c r="F526" s="367" t="n"/>
      <c r="G526" s="367" t="n"/>
      <c r="H526" s="94" t="n"/>
      <c r="I526" s="94" t="n"/>
      <c r="J526" s="94" t="n"/>
    </row>
    <row r="527" ht="13.2" customHeight="1" s="405">
      <c r="A527" s="94" t="n"/>
      <c r="B527" s="94" t="n"/>
      <c r="C527" s="94" t="n"/>
      <c r="D527" s="94" t="n"/>
      <c r="E527" s="94" t="n"/>
      <c r="F527" s="367" t="n"/>
      <c r="G527" s="367" t="n"/>
      <c r="H527" s="94" t="n"/>
      <c r="I527" s="94" t="n"/>
      <c r="J527" s="94" t="n"/>
    </row>
    <row r="528" ht="13.2" customHeight="1" s="405">
      <c r="A528" s="94" t="n"/>
      <c r="B528" s="94" t="n"/>
      <c r="C528" s="94" t="n"/>
      <c r="D528" s="94" t="n"/>
      <c r="E528" s="94" t="n"/>
      <c r="F528" s="367" t="n"/>
      <c r="G528" s="367" t="n"/>
      <c r="H528" s="94" t="n"/>
      <c r="I528" s="94" t="n"/>
      <c r="J528" s="94" t="n"/>
    </row>
    <row r="529" ht="13.2" customHeight="1" s="405">
      <c r="A529" s="94" t="n"/>
      <c r="B529" s="94" t="n"/>
      <c r="C529" s="94" t="n"/>
      <c r="D529" s="94" t="n"/>
      <c r="E529" s="94" t="n"/>
      <c r="F529" s="367" t="n"/>
      <c r="G529" s="367" t="n"/>
      <c r="H529" s="94" t="n"/>
      <c r="I529" s="94" t="n"/>
      <c r="J529" s="94" t="n"/>
    </row>
    <row r="530" ht="13.2" customHeight="1" s="405">
      <c r="A530" s="94" t="n"/>
      <c r="B530" s="94" t="n"/>
      <c r="C530" s="94" t="n"/>
      <c r="D530" s="94" t="n"/>
      <c r="E530" s="94" t="n"/>
      <c r="F530" s="367" t="n"/>
      <c r="G530" s="367" t="n"/>
      <c r="H530" s="94" t="n"/>
      <c r="I530" s="94" t="n"/>
      <c r="J530" s="94" t="n"/>
    </row>
    <row r="531" ht="13.2" customHeight="1" s="405">
      <c r="A531" s="94" t="n"/>
      <c r="B531" s="94" t="n"/>
      <c r="C531" s="94" t="n"/>
      <c r="D531" s="94" t="n"/>
      <c r="E531" s="94" t="n"/>
      <c r="F531" s="367" t="n"/>
      <c r="G531" s="367" t="n"/>
      <c r="H531" s="94" t="n"/>
      <c r="I531" s="94" t="n"/>
      <c r="J531" s="94" t="n"/>
    </row>
    <row r="532" ht="13.2" customHeight="1" s="405">
      <c r="A532" s="94" t="n"/>
      <c r="B532" s="94" t="n"/>
      <c r="C532" s="94" t="n"/>
      <c r="D532" s="94" t="n"/>
      <c r="E532" s="94" t="n"/>
      <c r="F532" s="367" t="n"/>
      <c r="G532" s="367" t="n"/>
      <c r="H532" s="94" t="n"/>
      <c r="I532" s="94" t="n"/>
      <c r="J532" s="94" t="n"/>
    </row>
    <row r="533" ht="13.2" customHeight="1" s="405">
      <c r="A533" s="94" t="n"/>
      <c r="B533" s="94" t="n"/>
      <c r="C533" s="94" t="n"/>
      <c r="D533" s="94" t="n"/>
      <c r="E533" s="94" t="n"/>
      <c r="F533" s="367" t="n"/>
      <c r="G533" s="367" t="n"/>
      <c r="H533" s="94" t="n"/>
      <c r="I533" s="94" t="n"/>
      <c r="J533" s="94" t="n"/>
    </row>
    <row r="534" ht="13.2" customHeight="1" s="405">
      <c r="A534" s="94" t="n"/>
      <c r="B534" s="94" t="n"/>
      <c r="C534" s="94" t="n"/>
      <c r="D534" s="94" t="n"/>
      <c r="E534" s="94" t="n"/>
      <c r="F534" s="367" t="n"/>
      <c r="G534" s="367" t="n"/>
      <c r="H534" s="94" t="n"/>
      <c r="I534" s="94" t="n"/>
      <c r="J534" s="94" t="n"/>
    </row>
    <row r="535" ht="13.2" customHeight="1" s="405">
      <c r="A535" s="94" t="n"/>
      <c r="B535" s="94" t="n"/>
      <c r="C535" s="94" t="n"/>
      <c r="D535" s="94" t="n"/>
      <c r="E535" s="94" t="n"/>
      <c r="F535" s="367" t="n"/>
      <c r="G535" s="367" t="n"/>
      <c r="H535" s="94" t="n"/>
      <c r="I535" s="94" t="n"/>
      <c r="J535" s="94" t="n"/>
    </row>
    <row r="536" ht="13.2" customHeight="1" s="405">
      <c r="A536" s="94" t="n"/>
      <c r="B536" s="94" t="n"/>
      <c r="C536" s="94" t="n"/>
      <c r="D536" s="94" t="n"/>
      <c r="E536" s="94" t="n"/>
      <c r="F536" s="367" t="n"/>
      <c r="G536" s="367" t="n"/>
      <c r="H536" s="94" t="n"/>
      <c r="I536" s="94" t="n"/>
      <c r="J536" s="94" t="n"/>
    </row>
    <row r="537" ht="13.2" customHeight="1" s="405">
      <c r="A537" s="94" t="n"/>
      <c r="B537" s="94" t="n"/>
      <c r="C537" s="94" t="n"/>
      <c r="D537" s="94" t="n"/>
      <c r="E537" s="94" t="n"/>
      <c r="F537" s="367" t="n"/>
      <c r="G537" s="367" t="n"/>
      <c r="H537" s="94" t="n"/>
      <c r="I537" s="94" t="n"/>
      <c r="J537" s="94" t="n"/>
    </row>
    <row r="538" ht="13.2" customHeight="1" s="405">
      <c r="A538" s="94" t="n"/>
      <c r="B538" s="94" t="n"/>
      <c r="C538" s="94" t="n"/>
      <c r="D538" s="94" t="n"/>
      <c r="E538" s="94" t="n"/>
      <c r="F538" s="367" t="n"/>
      <c r="G538" s="367" t="n"/>
      <c r="H538" s="94" t="n"/>
      <c r="I538" s="94" t="n"/>
      <c r="J538" s="94" t="n"/>
    </row>
    <row r="539" ht="13.2" customHeight="1" s="405">
      <c r="A539" s="94" t="n"/>
      <c r="B539" s="94" t="n"/>
      <c r="C539" s="94" t="n"/>
      <c r="D539" s="94" t="n"/>
      <c r="E539" s="94" t="n"/>
      <c r="F539" s="367" t="n"/>
      <c r="G539" s="367" t="n"/>
      <c r="H539" s="94" t="n"/>
      <c r="I539" s="94" t="n"/>
      <c r="J539" s="94" t="n"/>
    </row>
    <row r="540" ht="13.2" customHeight="1" s="405">
      <c r="A540" s="94" t="n"/>
      <c r="B540" s="94" t="n"/>
      <c r="C540" s="94" t="n"/>
      <c r="D540" s="94" t="n"/>
      <c r="E540" s="94" t="n"/>
      <c r="F540" s="367" t="n"/>
      <c r="G540" s="367" t="n"/>
      <c r="H540" s="94" t="n"/>
      <c r="I540" s="94" t="n"/>
      <c r="J540" s="94" t="n"/>
    </row>
    <row r="541" ht="13.2" customHeight="1" s="405">
      <c r="A541" s="94" t="n"/>
      <c r="B541" s="94" t="n"/>
      <c r="C541" s="94" t="n"/>
      <c r="D541" s="94" t="n"/>
      <c r="E541" s="94" t="n"/>
      <c r="F541" s="367" t="n"/>
      <c r="G541" s="367" t="n"/>
      <c r="H541" s="94" t="n"/>
      <c r="I541" s="94" t="n"/>
      <c r="J541" s="94" t="n"/>
    </row>
    <row r="542" ht="13.2" customHeight="1" s="405">
      <c r="A542" s="94" t="n"/>
      <c r="B542" s="94" t="n"/>
      <c r="C542" s="94" t="n"/>
      <c r="D542" s="94" t="n"/>
      <c r="E542" s="94" t="n"/>
      <c r="F542" s="367" t="n"/>
      <c r="G542" s="367" t="n"/>
      <c r="H542" s="94" t="n"/>
      <c r="I542" s="94" t="n"/>
      <c r="J542" s="94" t="n"/>
    </row>
    <row r="543" ht="13.2" customHeight="1" s="405">
      <c r="A543" s="94" t="n"/>
      <c r="B543" s="94" t="n"/>
      <c r="C543" s="94" t="n"/>
      <c r="D543" s="94" t="n"/>
      <c r="E543" s="94" t="n"/>
      <c r="F543" s="367" t="n"/>
      <c r="G543" s="367" t="n"/>
      <c r="H543" s="94" t="n"/>
      <c r="I543" s="94" t="n"/>
      <c r="J543" s="94" t="n"/>
    </row>
    <row r="544" ht="13.2" customHeight="1" s="405">
      <c r="A544" s="94" t="n"/>
      <c r="B544" s="94" t="n"/>
      <c r="C544" s="94" t="n"/>
      <c r="D544" s="94" t="n"/>
      <c r="E544" s="94" t="n"/>
      <c r="F544" s="367" t="n"/>
      <c r="G544" s="367" t="n"/>
      <c r="H544" s="94" t="n"/>
      <c r="I544" s="94" t="n"/>
      <c r="J544" s="94" t="n"/>
    </row>
    <row r="545" ht="13.2" customHeight="1" s="405">
      <c r="A545" s="94" t="n"/>
      <c r="B545" s="94" t="n"/>
      <c r="C545" s="94" t="n"/>
      <c r="D545" s="94" t="n"/>
      <c r="E545" s="94" t="n"/>
      <c r="F545" s="367" t="n"/>
      <c r="G545" s="367" t="n"/>
      <c r="H545" s="94" t="n"/>
      <c r="I545" s="94" t="n"/>
      <c r="J545" s="94" t="n"/>
    </row>
    <row r="546" ht="13.2" customHeight="1" s="405">
      <c r="A546" s="94" t="n"/>
      <c r="B546" s="94" t="n"/>
      <c r="C546" s="94" t="n"/>
      <c r="D546" s="94" t="n"/>
      <c r="E546" s="94" t="n"/>
      <c r="F546" s="367" t="n"/>
      <c r="G546" s="367" t="n"/>
      <c r="H546" s="94" t="n"/>
      <c r="I546" s="94" t="n"/>
      <c r="J546" s="94" t="n"/>
    </row>
    <row r="547" ht="13.2" customHeight="1" s="405">
      <c r="A547" s="94" t="n"/>
      <c r="B547" s="94" t="n"/>
      <c r="C547" s="94" t="n"/>
      <c r="D547" s="94" t="n"/>
      <c r="E547" s="94" t="n"/>
      <c r="F547" s="367" t="n"/>
      <c r="G547" s="367" t="n"/>
      <c r="H547" s="94" t="n"/>
      <c r="I547" s="94" t="n"/>
      <c r="J547" s="94" t="n"/>
    </row>
    <row r="548" ht="13.2" customHeight="1" s="405">
      <c r="A548" s="94" t="n"/>
      <c r="B548" s="94" t="n"/>
      <c r="C548" s="94" t="n"/>
      <c r="D548" s="94" t="n"/>
      <c r="E548" s="94" t="n"/>
      <c r="F548" s="367" t="n"/>
      <c r="G548" s="367" t="n"/>
      <c r="H548" s="94" t="n"/>
      <c r="I548" s="94" t="n"/>
      <c r="J548" s="94" t="n"/>
    </row>
    <row r="549" ht="13.2" customHeight="1" s="405">
      <c r="A549" s="94" t="n"/>
      <c r="B549" s="94" t="n"/>
      <c r="C549" s="94" t="n"/>
      <c r="D549" s="94" t="n"/>
      <c r="E549" s="94" t="n"/>
      <c r="F549" s="367" t="n"/>
      <c r="G549" s="367" t="n"/>
      <c r="H549" s="94" t="n"/>
      <c r="I549" s="94" t="n"/>
      <c r="J549" s="94" t="n"/>
    </row>
    <row r="550" ht="13.2" customHeight="1" s="405">
      <c r="A550" s="94" t="n"/>
      <c r="B550" s="94" t="n"/>
      <c r="C550" s="94" t="n"/>
      <c r="D550" s="94" t="n"/>
      <c r="E550" s="94" t="n"/>
      <c r="F550" s="367" t="n"/>
      <c r="G550" s="367" t="n"/>
      <c r="H550" s="94" t="n"/>
      <c r="I550" s="94" t="n"/>
      <c r="J550" s="94" t="n"/>
    </row>
    <row r="551" ht="13.2" customHeight="1" s="405">
      <c r="A551" s="94" t="n"/>
      <c r="B551" s="94" t="n"/>
      <c r="C551" s="94" t="n"/>
      <c r="D551" s="94" t="n"/>
      <c r="E551" s="94" t="n"/>
      <c r="F551" s="367" t="n"/>
      <c r="G551" s="367" t="n"/>
      <c r="H551" s="94" t="n"/>
      <c r="I551" s="94" t="n"/>
      <c r="J551" s="94" t="n"/>
    </row>
    <row r="552" ht="13.2" customHeight="1" s="405">
      <c r="A552" s="94" t="n"/>
      <c r="B552" s="94" t="n"/>
      <c r="C552" s="94" t="n"/>
      <c r="D552" s="94" t="n"/>
      <c r="E552" s="94" t="n"/>
      <c r="F552" s="367" t="n"/>
      <c r="G552" s="367" t="n"/>
      <c r="H552" s="94" t="n"/>
      <c r="I552" s="94" t="n"/>
      <c r="J552" s="94" t="n"/>
    </row>
    <row r="553" ht="13.2" customHeight="1" s="405">
      <c r="A553" s="94" t="n"/>
      <c r="B553" s="94" t="n"/>
      <c r="C553" s="94" t="n"/>
      <c r="D553" s="94" t="n"/>
      <c r="E553" s="94" t="n"/>
      <c r="F553" s="367" t="n"/>
      <c r="G553" s="367" t="n"/>
      <c r="H553" s="94" t="n"/>
      <c r="I553" s="94" t="n"/>
      <c r="J553" s="94" t="n"/>
    </row>
    <row r="554" ht="13.2" customHeight="1" s="405">
      <c r="A554" s="94" t="n"/>
      <c r="B554" s="94" t="n"/>
      <c r="C554" s="94" t="n"/>
      <c r="D554" s="94" t="n"/>
      <c r="E554" s="94" t="n"/>
      <c r="F554" s="367" t="n"/>
      <c r="G554" s="367" t="n"/>
      <c r="H554" s="94" t="n"/>
      <c r="I554" s="94" t="n"/>
      <c r="J554" s="94" t="n"/>
    </row>
    <row r="555" ht="13.2" customHeight="1" s="405">
      <c r="A555" s="94" t="n"/>
      <c r="B555" s="94" t="n"/>
      <c r="C555" s="94" t="n"/>
      <c r="D555" s="94" t="n"/>
      <c r="E555" s="94" t="n"/>
      <c r="F555" s="367" t="n"/>
      <c r="G555" s="367" t="n"/>
      <c r="H555" s="94" t="n"/>
      <c r="I555" s="94" t="n"/>
      <c r="J555" s="94" t="n"/>
    </row>
    <row r="556" ht="13.2" customHeight="1" s="405">
      <c r="A556" s="94" t="n"/>
      <c r="B556" s="94" t="n"/>
      <c r="C556" s="94" t="n"/>
      <c r="D556" s="94" t="n"/>
      <c r="E556" s="94" t="n"/>
      <c r="F556" s="367" t="n"/>
      <c r="G556" s="367" t="n"/>
      <c r="H556" s="94" t="n"/>
      <c r="I556" s="94" t="n"/>
      <c r="J556" s="94" t="n"/>
    </row>
    <row r="557" ht="13.2" customHeight="1" s="405">
      <c r="A557" s="94" t="n"/>
      <c r="B557" s="94" t="n"/>
      <c r="C557" s="94" t="n"/>
      <c r="D557" s="94" t="n"/>
      <c r="E557" s="94" t="n"/>
      <c r="F557" s="367" t="n"/>
      <c r="G557" s="367" t="n"/>
      <c r="H557" s="94" t="n"/>
      <c r="I557" s="94" t="n"/>
      <c r="J557" s="94" t="n"/>
    </row>
    <row r="558" ht="13.2" customHeight="1" s="405">
      <c r="A558" s="94" t="n"/>
      <c r="B558" s="94" t="n"/>
      <c r="C558" s="94" t="n"/>
      <c r="D558" s="94" t="n"/>
      <c r="E558" s="94" t="n"/>
      <c r="F558" s="367" t="n"/>
      <c r="G558" s="367" t="n"/>
      <c r="H558" s="94" t="n"/>
      <c r="I558" s="94" t="n"/>
      <c r="J558" s="94" t="n"/>
    </row>
    <row r="559" ht="13.2" customHeight="1" s="405">
      <c r="A559" s="94" t="n"/>
      <c r="B559" s="94" t="n"/>
      <c r="C559" s="94" t="n"/>
      <c r="D559" s="94" t="n"/>
      <c r="E559" s="94" t="n"/>
      <c r="F559" s="367" t="n"/>
      <c r="G559" s="367" t="n"/>
      <c r="H559" s="94" t="n"/>
      <c r="I559" s="94" t="n"/>
      <c r="J559" s="94" t="n"/>
    </row>
    <row r="560" ht="13.2" customHeight="1" s="405">
      <c r="A560" s="94" t="n"/>
      <c r="B560" s="94" t="n"/>
      <c r="C560" s="94" t="n"/>
      <c r="D560" s="94" t="n"/>
      <c r="E560" s="94" t="n"/>
      <c r="F560" s="367" t="n"/>
      <c r="G560" s="367" t="n"/>
      <c r="H560" s="94" t="n"/>
      <c r="I560" s="94" t="n"/>
      <c r="J560" s="94" t="n"/>
    </row>
    <row r="561" ht="13.2" customHeight="1" s="405">
      <c r="A561" s="94" t="n"/>
      <c r="B561" s="94" t="n"/>
      <c r="C561" s="94" t="n"/>
      <c r="D561" s="94" t="n"/>
      <c r="E561" s="94" t="n"/>
      <c r="F561" s="367" t="n"/>
      <c r="G561" s="367" t="n"/>
      <c r="H561" s="94" t="n"/>
      <c r="I561" s="94" t="n"/>
      <c r="J561" s="94" t="n"/>
    </row>
    <row r="562" ht="13.2" customHeight="1" s="405">
      <c r="A562" s="94" t="n"/>
      <c r="B562" s="94" t="n"/>
      <c r="C562" s="94" t="n"/>
      <c r="D562" s="94" t="n"/>
      <c r="E562" s="94" t="n"/>
      <c r="F562" s="367" t="n"/>
      <c r="G562" s="367" t="n"/>
      <c r="H562" s="94" t="n"/>
      <c r="I562" s="94" t="n"/>
      <c r="J562" s="94" t="n"/>
    </row>
    <row r="563" ht="13.2" customHeight="1" s="405">
      <c r="A563" s="94" t="n"/>
      <c r="B563" s="94" t="n"/>
      <c r="C563" s="94" t="n"/>
      <c r="D563" s="94" t="n"/>
      <c r="E563" s="94" t="n"/>
      <c r="F563" s="367" t="n"/>
      <c r="G563" s="367" t="n"/>
      <c r="H563" s="94" t="n"/>
      <c r="I563" s="94" t="n"/>
      <c r="J563" s="94" t="n"/>
    </row>
    <row r="564" ht="13.2" customHeight="1" s="405">
      <c r="A564" s="94" t="n"/>
      <c r="B564" s="94" t="n"/>
      <c r="C564" s="94" t="n"/>
      <c r="D564" s="94" t="n"/>
      <c r="E564" s="94" t="n"/>
      <c r="F564" s="367" t="n"/>
      <c r="G564" s="367" t="n"/>
      <c r="H564" s="94" t="n"/>
      <c r="I564" s="94" t="n"/>
      <c r="J564" s="94" t="n"/>
    </row>
    <row r="565" ht="13.2" customHeight="1" s="405">
      <c r="A565" s="94" t="n"/>
      <c r="B565" s="94" t="n"/>
      <c r="C565" s="94" t="n"/>
      <c r="D565" s="94" t="n"/>
      <c r="E565" s="94" t="n"/>
      <c r="F565" s="367" t="n"/>
      <c r="G565" s="367" t="n"/>
      <c r="H565" s="94" t="n"/>
      <c r="I565" s="94" t="n"/>
      <c r="J565" s="94" t="n"/>
    </row>
    <row r="566" ht="13.2" customHeight="1" s="405">
      <c r="A566" s="94" t="n"/>
      <c r="B566" s="94" t="n"/>
      <c r="C566" s="94" t="n"/>
      <c r="D566" s="94" t="n"/>
      <c r="E566" s="94" t="n"/>
      <c r="F566" s="367" t="n"/>
      <c r="G566" s="367" t="n"/>
      <c r="H566" s="94" t="n"/>
      <c r="I566" s="94" t="n"/>
      <c r="J566" s="94" t="n"/>
    </row>
    <row r="567" ht="13.2" customHeight="1" s="405">
      <c r="A567" s="94" t="n"/>
      <c r="B567" s="94" t="n"/>
      <c r="C567" s="94" t="n"/>
      <c r="D567" s="94" t="n"/>
      <c r="E567" s="94" t="n"/>
      <c r="F567" s="367" t="n"/>
      <c r="G567" s="367" t="n"/>
      <c r="H567" s="94" t="n"/>
      <c r="I567" s="94" t="n"/>
      <c r="J567" s="94" t="n"/>
    </row>
    <row r="568" ht="13.2" customHeight="1" s="405">
      <c r="A568" s="94" t="n"/>
      <c r="B568" s="94" t="n"/>
      <c r="C568" s="94" t="n"/>
      <c r="D568" s="94" t="n"/>
      <c r="E568" s="94" t="n"/>
      <c r="F568" s="367" t="n"/>
      <c r="G568" s="367" t="n"/>
      <c r="H568" s="94" t="n"/>
      <c r="I568" s="94" t="n"/>
      <c r="J568" s="94" t="n"/>
    </row>
    <row r="569" ht="13.2" customHeight="1" s="405">
      <c r="A569" s="94" t="n"/>
      <c r="B569" s="94" t="n"/>
      <c r="C569" s="94" t="n"/>
      <c r="D569" s="94" t="n"/>
      <c r="E569" s="94" t="n"/>
      <c r="F569" s="367" t="n"/>
      <c r="G569" s="367" t="n"/>
      <c r="H569" s="94" t="n"/>
      <c r="I569" s="94" t="n"/>
      <c r="J569" s="94" t="n"/>
    </row>
    <row r="570" ht="13.2" customHeight="1" s="405">
      <c r="A570" s="94" t="n"/>
      <c r="B570" s="94" t="n"/>
      <c r="C570" s="94" t="n"/>
      <c r="D570" s="94" t="n"/>
      <c r="E570" s="94" t="n"/>
      <c r="F570" s="367" t="n"/>
      <c r="G570" s="367" t="n"/>
      <c r="H570" s="94" t="n"/>
      <c r="I570" s="94" t="n"/>
      <c r="J570" s="94" t="n"/>
    </row>
    <row r="571" ht="13.2" customHeight="1" s="405">
      <c r="A571" s="94" t="n"/>
      <c r="B571" s="94" t="n"/>
      <c r="C571" s="94" t="n"/>
      <c r="D571" s="94" t="n"/>
      <c r="E571" s="94" t="n"/>
      <c r="F571" s="367" t="n"/>
      <c r="G571" s="367" t="n"/>
      <c r="H571" s="94" t="n"/>
      <c r="I571" s="94" t="n"/>
      <c r="J571" s="94" t="n"/>
    </row>
    <row r="572" ht="13.2" customHeight="1" s="405">
      <c r="A572" s="94" t="n"/>
      <c r="B572" s="94" t="n"/>
      <c r="C572" s="94" t="n"/>
      <c r="D572" s="94" t="n"/>
      <c r="E572" s="94" t="n"/>
      <c r="F572" s="367" t="n"/>
      <c r="G572" s="367" t="n"/>
      <c r="H572" s="94" t="n"/>
      <c r="I572" s="94" t="n"/>
      <c r="J572" s="94" t="n"/>
    </row>
    <row r="573" ht="13.2" customHeight="1" s="405">
      <c r="A573" s="94" t="n"/>
      <c r="B573" s="94" t="n"/>
      <c r="C573" s="94" t="n"/>
      <c r="D573" s="94" t="n"/>
      <c r="E573" s="94" t="n"/>
      <c r="F573" s="367" t="n"/>
      <c r="G573" s="367" t="n"/>
      <c r="H573" s="94" t="n"/>
      <c r="I573" s="94" t="n"/>
      <c r="J573" s="94" t="n"/>
    </row>
    <row r="574" ht="13.2" customHeight="1" s="405">
      <c r="A574" s="94" t="n"/>
      <c r="B574" s="94" t="n"/>
      <c r="C574" s="94" t="n"/>
      <c r="D574" s="94" t="n"/>
      <c r="E574" s="94" t="n"/>
      <c r="F574" s="367" t="n"/>
      <c r="G574" s="367" t="n"/>
      <c r="H574" s="94" t="n"/>
      <c r="I574" s="94" t="n"/>
      <c r="J574" s="94" t="n"/>
    </row>
    <row r="575" ht="13.2" customHeight="1" s="405">
      <c r="A575" s="94" t="n"/>
      <c r="B575" s="94" t="n"/>
      <c r="C575" s="94" t="n"/>
      <c r="D575" s="94" t="n"/>
      <c r="E575" s="94" t="n"/>
      <c r="F575" s="367" t="n"/>
      <c r="G575" s="367" t="n"/>
      <c r="H575" s="94" t="n"/>
      <c r="I575" s="94" t="n"/>
      <c r="J575" s="94" t="n"/>
    </row>
    <row r="576" ht="13.2" customHeight="1" s="405">
      <c r="A576" s="94" t="n"/>
      <c r="B576" s="94" t="n"/>
      <c r="C576" s="94" t="n"/>
      <c r="D576" s="94" t="n"/>
      <c r="E576" s="94" t="n"/>
      <c r="F576" s="367" t="n"/>
      <c r="G576" s="367" t="n"/>
      <c r="H576" s="94" t="n"/>
      <c r="I576" s="94" t="n"/>
      <c r="J576" s="94" t="n"/>
    </row>
    <row r="577" ht="13.2" customHeight="1" s="405">
      <c r="A577" s="94" t="n"/>
      <c r="B577" s="94" t="n"/>
      <c r="C577" s="94" t="n"/>
      <c r="D577" s="94" t="n"/>
      <c r="E577" s="94" t="n"/>
      <c r="F577" s="367" t="n"/>
      <c r="G577" s="367" t="n"/>
      <c r="H577" s="94" t="n"/>
      <c r="I577" s="94" t="n"/>
      <c r="J577" s="94" t="n"/>
    </row>
    <row r="578" ht="13.2" customHeight="1" s="405">
      <c r="A578" s="94" t="n"/>
      <c r="B578" s="94" t="n"/>
      <c r="C578" s="94" t="n"/>
      <c r="D578" s="94" t="n"/>
      <c r="E578" s="94" t="n"/>
      <c r="F578" s="367" t="n"/>
      <c r="G578" s="367" t="n"/>
      <c r="H578" s="94" t="n"/>
      <c r="I578" s="94" t="n"/>
      <c r="J578" s="94" t="n"/>
    </row>
    <row r="579" ht="13.2" customHeight="1" s="405">
      <c r="A579" s="94" t="n"/>
      <c r="B579" s="94" t="n"/>
      <c r="C579" s="94" t="n"/>
      <c r="D579" s="94" t="n"/>
      <c r="E579" s="94" t="n"/>
      <c r="F579" s="367" t="n"/>
      <c r="G579" s="367" t="n"/>
      <c r="H579" s="94" t="n"/>
      <c r="I579" s="94" t="n"/>
      <c r="J579" s="94" t="n"/>
    </row>
    <row r="580" ht="13.2" customHeight="1" s="405">
      <c r="A580" s="94" t="n"/>
      <c r="B580" s="94" t="n"/>
      <c r="C580" s="94" t="n"/>
      <c r="D580" s="94" t="n"/>
      <c r="E580" s="94" t="n"/>
      <c r="F580" s="367" t="n"/>
      <c r="G580" s="367" t="n"/>
      <c r="H580" s="94" t="n"/>
      <c r="I580" s="94" t="n"/>
      <c r="J580" s="94" t="n"/>
    </row>
    <row r="581" ht="13.2" customHeight="1" s="405">
      <c r="A581" s="94" t="n"/>
      <c r="B581" s="94" t="n"/>
      <c r="C581" s="94" t="n"/>
      <c r="D581" s="94" t="n"/>
      <c r="E581" s="94" t="n"/>
      <c r="F581" s="367" t="n"/>
      <c r="G581" s="367" t="n"/>
      <c r="H581" s="94" t="n"/>
      <c r="I581" s="94" t="n"/>
      <c r="J581" s="94" t="n"/>
    </row>
    <row r="582" ht="13.2" customHeight="1" s="405">
      <c r="A582" s="94" t="n"/>
      <c r="B582" s="94" t="n"/>
      <c r="C582" s="94" t="n"/>
      <c r="D582" s="94" t="n"/>
      <c r="E582" s="94" t="n"/>
      <c r="F582" s="367" t="n"/>
      <c r="G582" s="367" t="n"/>
      <c r="H582" s="94" t="n"/>
      <c r="I582" s="94" t="n"/>
      <c r="J582" s="94" t="n"/>
    </row>
    <row r="583" ht="13.2" customHeight="1" s="405">
      <c r="A583" s="94" t="n"/>
      <c r="B583" s="94" t="n"/>
      <c r="C583" s="94" t="n"/>
      <c r="D583" s="94" t="n"/>
      <c r="E583" s="94" t="n"/>
      <c r="F583" s="367" t="n"/>
      <c r="G583" s="367" t="n"/>
      <c r="H583" s="94" t="n"/>
      <c r="I583" s="94" t="n"/>
      <c r="J583" s="94" t="n"/>
    </row>
    <row r="584" ht="13.2" customHeight="1" s="405">
      <c r="A584" s="94" t="n"/>
      <c r="B584" s="94" t="n"/>
      <c r="C584" s="94" t="n"/>
      <c r="D584" s="94" t="n"/>
      <c r="E584" s="94" t="n"/>
      <c r="F584" s="367" t="n"/>
      <c r="G584" s="367" t="n"/>
      <c r="H584" s="94" t="n"/>
      <c r="I584" s="94" t="n"/>
      <c r="J584" s="94" t="n"/>
    </row>
    <row r="585" ht="13.2" customHeight="1" s="405">
      <c r="A585" s="94" t="n"/>
      <c r="B585" s="94" t="n"/>
      <c r="C585" s="94" t="n"/>
      <c r="D585" s="94" t="n"/>
      <c r="E585" s="94" t="n"/>
      <c r="F585" s="367" t="n"/>
      <c r="G585" s="367" t="n"/>
      <c r="H585" s="94" t="n"/>
      <c r="I585" s="94" t="n"/>
      <c r="J585" s="94" t="n"/>
    </row>
    <row r="586" ht="13.2" customHeight="1" s="405">
      <c r="A586" s="94" t="n"/>
      <c r="B586" s="94" t="n"/>
      <c r="C586" s="94" t="n"/>
      <c r="D586" s="94" t="n"/>
      <c r="E586" s="94" t="n"/>
      <c r="F586" s="367" t="n"/>
      <c r="G586" s="367" t="n"/>
      <c r="H586" s="94" t="n"/>
      <c r="I586" s="94" t="n"/>
      <c r="J586" s="94" t="n"/>
    </row>
    <row r="587" ht="13.2" customHeight="1" s="405">
      <c r="A587" s="94" t="n"/>
      <c r="B587" s="94" t="n"/>
      <c r="C587" s="94" t="n"/>
      <c r="D587" s="94" t="n"/>
      <c r="E587" s="94" t="n"/>
      <c r="F587" s="367" t="n"/>
      <c r="G587" s="367" t="n"/>
      <c r="H587" s="94" t="n"/>
      <c r="I587" s="94" t="n"/>
      <c r="J587" s="94" t="n"/>
    </row>
    <row r="588" ht="13.2" customHeight="1" s="405">
      <c r="A588" s="94" t="n"/>
      <c r="B588" s="94" t="n"/>
      <c r="C588" s="94" t="n"/>
      <c r="D588" s="94" t="n"/>
      <c r="E588" s="94" t="n"/>
      <c r="F588" s="367" t="n"/>
      <c r="G588" s="367" t="n"/>
      <c r="H588" s="94" t="n"/>
      <c r="I588" s="94" t="n"/>
      <c r="J588" s="94" t="n"/>
    </row>
    <row r="589" ht="13.2" customHeight="1" s="405">
      <c r="A589" s="94" t="n"/>
      <c r="B589" s="94" t="n"/>
      <c r="C589" s="94" t="n"/>
      <c r="D589" s="94" t="n"/>
      <c r="E589" s="94" t="n"/>
      <c r="F589" s="367" t="n"/>
      <c r="G589" s="367" t="n"/>
      <c r="H589" s="94" t="n"/>
      <c r="I589" s="94" t="n"/>
      <c r="J589" s="94" t="n"/>
    </row>
    <row r="590" ht="13.2" customHeight="1" s="405">
      <c r="A590" s="94" t="n"/>
      <c r="B590" s="94" t="n"/>
      <c r="C590" s="94" t="n"/>
      <c r="D590" s="94" t="n"/>
      <c r="E590" s="94" t="n"/>
      <c r="F590" s="367" t="n"/>
      <c r="G590" s="367" t="n"/>
      <c r="H590" s="94" t="n"/>
      <c r="I590" s="94" t="n"/>
      <c r="J590" s="94" t="n"/>
    </row>
    <row r="591" ht="13.2" customHeight="1" s="405">
      <c r="A591" s="94" t="n"/>
      <c r="B591" s="94" t="n"/>
      <c r="C591" s="94" t="n"/>
      <c r="D591" s="94" t="n"/>
      <c r="E591" s="94" t="n"/>
      <c r="F591" s="367" t="n"/>
      <c r="G591" s="367" t="n"/>
      <c r="H591" s="94" t="n"/>
      <c r="I591" s="94" t="n"/>
      <c r="J591" s="94" t="n"/>
    </row>
    <row r="592" ht="13.2" customHeight="1" s="405">
      <c r="A592" s="94" t="n"/>
      <c r="B592" s="94" t="n"/>
      <c r="C592" s="94" t="n"/>
      <c r="D592" s="94" t="n"/>
      <c r="E592" s="94" t="n"/>
      <c r="F592" s="367" t="n"/>
      <c r="G592" s="367" t="n"/>
      <c r="H592" s="94" t="n"/>
      <c r="I592" s="94" t="n"/>
      <c r="J592" s="94" t="n"/>
    </row>
    <row r="593" ht="13.2" customHeight="1" s="405">
      <c r="A593" s="94" t="n"/>
      <c r="B593" s="94" t="n"/>
      <c r="C593" s="94" t="n"/>
      <c r="D593" s="94" t="n"/>
      <c r="E593" s="94" t="n"/>
      <c r="F593" s="367" t="n"/>
      <c r="G593" s="367" t="n"/>
      <c r="H593" s="94" t="n"/>
      <c r="I593" s="94" t="n"/>
      <c r="J593" s="94" t="n"/>
    </row>
    <row r="594" ht="13.2" customHeight="1" s="405">
      <c r="A594" s="94" t="n"/>
      <c r="B594" s="94" t="n"/>
      <c r="C594" s="94" t="n"/>
      <c r="D594" s="94" t="n"/>
      <c r="E594" s="94" t="n"/>
      <c r="F594" s="367" t="n"/>
      <c r="G594" s="367" t="n"/>
      <c r="H594" s="94" t="n"/>
      <c r="I594" s="94" t="n"/>
      <c r="J594" s="94" t="n"/>
    </row>
    <row r="595" ht="13.2" customHeight="1" s="405">
      <c r="A595" s="94" t="n"/>
      <c r="B595" s="94" t="n"/>
      <c r="C595" s="94" t="n"/>
      <c r="D595" s="94" t="n"/>
      <c r="E595" s="94" t="n"/>
      <c r="F595" s="367" t="n"/>
      <c r="G595" s="367" t="n"/>
      <c r="H595" s="94" t="n"/>
      <c r="I595" s="94" t="n"/>
      <c r="J595" s="94" t="n"/>
    </row>
    <row r="596" ht="13.2" customHeight="1" s="405">
      <c r="A596" s="94" t="n"/>
      <c r="B596" s="94" t="n"/>
      <c r="C596" s="94" t="n"/>
      <c r="D596" s="94" t="n"/>
      <c r="E596" s="94" t="n"/>
      <c r="F596" s="367" t="n"/>
      <c r="G596" s="367" t="n"/>
      <c r="H596" s="94" t="n"/>
      <c r="I596" s="94" t="n"/>
      <c r="J596" s="94" t="n"/>
    </row>
    <row r="597" ht="13.2" customHeight="1" s="405">
      <c r="A597" s="94" t="n"/>
      <c r="B597" s="94" t="n"/>
      <c r="C597" s="94" t="n"/>
      <c r="D597" s="94" t="n"/>
      <c r="E597" s="94" t="n"/>
      <c r="F597" s="367" t="n"/>
      <c r="G597" s="367" t="n"/>
      <c r="H597" s="94" t="n"/>
      <c r="I597" s="94" t="n"/>
      <c r="J597" s="94" t="n"/>
    </row>
    <row r="598" ht="13.2" customHeight="1" s="405">
      <c r="A598" s="94" t="n"/>
      <c r="B598" s="94" t="n"/>
      <c r="C598" s="94" t="n"/>
      <c r="D598" s="94" t="n"/>
      <c r="E598" s="94" t="n"/>
      <c r="F598" s="367" t="n"/>
      <c r="G598" s="367" t="n"/>
      <c r="H598" s="94" t="n"/>
      <c r="I598" s="94" t="n"/>
      <c r="J598" s="94" t="n"/>
    </row>
    <row r="599" ht="13.2" customHeight="1" s="405">
      <c r="A599" s="94" t="n"/>
      <c r="B599" s="94" t="n"/>
      <c r="C599" s="94" t="n"/>
      <c r="D599" s="94" t="n"/>
      <c r="E599" s="94" t="n"/>
      <c r="F599" s="367" t="n"/>
      <c r="G599" s="367" t="n"/>
      <c r="H599" s="94" t="n"/>
      <c r="I599" s="94" t="n"/>
      <c r="J599" s="94" t="n"/>
    </row>
    <row r="600" ht="13.2" customHeight="1" s="405">
      <c r="A600" s="94" t="n"/>
      <c r="B600" s="94" t="n"/>
      <c r="C600" s="94" t="n"/>
      <c r="D600" s="94" t="n"/>
      <c r="E600" s="94" t="n"/>
      <c r="F600" s="367" t="n"/>
      <c r="G600" s="367" t="n"/>
      <c r="H600" s="94" t="n"/>
      <c r="I600" s="94" t="n"/>
      <c r="J600" s="94" t="n"/>
    </row>
    <row r="601" ht="13.2" customHeight="1" s="405">
      <c r="A601" s="94" t="n"/>
      <c r="B601" s="94" t="n"/>
      <c r="C601" s="94" t="n"/>
      <c r="D601" s="94" t="n"/>
      <c r="E601" s="94" t="n"/>
      <c r="F601" s="367" t="n"/>
      <c r="G601" s="367" t="n"/>
      <c r="H601" s="94" t="n"/>
      <c r="I601" s="94" t="n"/>
      <c r="J601" s="94" t="n"/>
    </row>
    <row r="602" ht="13.2" customHeight="1" s="405">
      <c r="A602" s="94" t="n"/>
      <c r="B602" s="94" t="n"/>
      <c r="C602" s="94" t="n"/>
      <c r="D602" s="94" t="n"/>
      <c r="E602" s="94" t="n"/>
      <c r="F602" s="367" t="n"/>
      <c r="G602" s="367" t="n"/>
      <c r="H602" s="94" t="n"/>
      <c r="I602" s="94" t="n"/>
      <c r="J602" s="94" t="n"/>
    </row>
    <row r="603" ht="13.2" customHeight="1" s="405">
      <c r="A603" s="94" t="n"/>
      <c r="B603" s="94" t="n"/>
      <c r="C603" s="94" t="n"/>
      <c r="D603" s="94" t="n"/>
      <c r="E603" s="94" t="n"/>
      <c r="F603" s="367" t="n"/>
      <c r="G603" s="367" t="n"/>
      <c r="H603" s="94" t="n"/>
      <c r="I603" s="94" t="n"/>
      <c r="J603" s="94" t="n"/>
    </row>
    <row r="604" ht="13.2" customHeight="1" s="405">
      <c r="A604" s="94" t="n"/>
      <c r="B604" s="94" t="n"/>
      <c r="C604" s="94" t="n"/>
      <c r="D604" s="94" t="n"/>
      <c r="E604" s="94" t="n"/>
      <c r="F604" s="367" t="n"/>
      <c r="G604" s="367" t="n"/>
      <c r="H604" s="94" t="n"/>
      <c r="I604" s="94" t="n"/>
      <c r="J604" s="94" t="n"/>
    </row>
    <row r="605" ht="13.2" customHeight="1" s="405">
      <c r="A605" s="94" t="n"/>
      <c r="B605" s="94" t="n"/>
      <c r="C605" s="94" t="n"/>
      <c r="D605" s="94" t="n"/>
      <c r="E605" s="94" t="n"/>
      <c r="F605" s="367" t="n"/>
      <c r="G605" s="367" t="n"/>
      <c r="H605" s="94" t="n"/>
      <c r="I605" s="94" t="n"/>
      <c r="J605" s="94" t="n"/>
    </row>
    <row r="606" ht="13.2" customHeight="1" s="405">
      <c r="A606" s="94" t="n"/>
      <c r="B606" s="94" t="n"/>
      <c r="C606" s="94" t="n"/>
      <c r="D606" s="94" t="n"/>
      <c r="E606" s="94" t="n"/>
      <c r="F606" s="367" t="n"/>
      <c r="G606" s="367" t="n"/>
      <c r="H606" s="94" t="n"/>
      <c r="I606" s="94" t="n"/>
      <c r="J606" s="94" t="n"/>
    </row>
    <row r="607" ht="13.2" customHeight="1" s="405">
      <c r="A607" s="94" t="n"/>
      <c r="B607" s="94" t="n"/>
      <c r="C607" s="94" t="n"/>
      <c r="D607" s="94" t="n"/>
      <c r="E607" s="94" t="n"/>
      <c r="F607" s="367" t="n"/>
      <c r="G607" s="367" t="n"/>
      <c r="H607" s="94" t="n"/>
      <c r="I607" s="94" t="n"/>
      <c r="J607" s="94" t="n"/>
    </row>
    <row r="608" ht="13.2" customHeight="1" s="405">
      <c r="A608" s="94" t="n"/>
      <c r="B608" s="94" t="n"/>
      <c r="C608" s="94" t="n"/>
      <c r="D608" s="94" t="n"/>
      <c r="E608" s="94" t="n"/>
      <c r="F608" s="367" t="n"/>
      <c r="G608" s="367" t="n"/>
      <c r="H608" s="94" t="n"/>
      <c r="I608" s="94" t="n"/>
      <c r="J608" s="94" t="n"/>
    </row>
    <row r="609" ht="13.2" customHeight="1" s="405">
      <c r="A609" s="94" t="n"/>
      <c r="B609" s="94" t="n"/>
      <c r="C609" s="94" t="n"/>
      <c r="D609" s="94" t="n"/>
      <c r="E609" s="94" t="n"/>
      <c r="F609" s="367" t="n"/>
      <c r="G609" s="367" t="n"/>
      <c r="H609" s="94" t="n"/>
      <c r="I609" s="94" t="n"/>
      <c r="J609" s="94" t="n"/>
    </row>
    <row r="610" ht="13.2" customHeight="1" s="405">
      <c r="A610" s="94" t="n"/>
      <c r="B610" s="94" t="n"/>
      <c r="C610" s="94" t="n"/>
      <c r="D610" s="94" t="n"/>
      <c r="E610" s="94" t="n"/>
      <c r="F610" s="367" t="n"/>
      <c r="G610" s="367" t="n"/>
      <c r="H610" s="94" t="n"/>
      <c r="I610" s="94" t="n"/>
      <c r="J610" s="94" t="n"/>
    </row>
    <row r="611" ht="13.2" customHeight="1" s="405">
      <c r="A611" s="94" t="n"/>
      <c r="B611" s="94" t="n"/>
      <c r="C611" s="94" t="n"/>
      <c r="D611" s="94" t="n"/>
      <c r="E611" s="94" t="n"/>
      <c r="F611" s="367" t="n"/>
      <c r="G611" s="367" t="n"/>
      <c r="H611" s="94" t="n"/>
      <c r="I611" s="94" t="n"/>
      <c r="J611" s="94" t="n"/>
    </row>
    <row r="612" ht="13.2" customHeight="1" s="405">
      <c r="A612" s="94" t="n"/>
      <c r="B612" s="94" t="n"/>
      <c r="C612" s="94" t="n"/>
      <c r="D612" s="94" t="n"/>
      <c r="E612" s="94" t="n"/>
      <c r="F612" s="367" t="n"/>
      <c r="G612" s="367" t="n"/>
      <c r="H612" s="94" t="n"/>
      <c r="I612" s="94" t="n"/>
      <c r="J612" s="94" t="n"/>
    </row>
    <row r="613" ht="13.2" customHeight="1" s="405">
      <c r="A613" s="94" t="n"/>
      <c r="B613" s="94" t="n"/>
      <c r="C613" s="94" t="n"/>
      <c r="D613" s="94" t="n"/>
      <c r="E613" s="94" t="n"/>
      <c r="F613" s="367" t="n"/>
      <c r="G613" s="367" t="n"/>
      <c r="H613" s="94" t="n"/>
      <c r="I613" s="94" t="n"/>
      <c r="J613" s="94" t="n"/>
    </row>
    <row r="614" ht="13.2" customHeight="1" s="405">
      <c r="A614" s="94" t="n"/>
      <c r="B614" s="94" t="n"/>
      <c r="C614" s="94" t="n"/>
      <c r="D614" s="94" t="n"/>
      <c r="E614" s="94" t="n"/>
      <c r="F614" s="367" t="n"/>
      <c r="G614" s="367" t="n"/>
      <c r="H614" s="94" t="n"/>
      <c r="I614" s="94" t="n"/>
      <c r="J614" s="94" t="n"/>
    </row>
    <row r="615" ht="13.2" customHeight="1" s="405">
      <c r="A615" s="94" t="n"/>
      <c r="B615" s="94" t="n"/>
      <c r="C615" s="94" t="n"/>
      <c r="D615" s="94" t="n"/>
      <c r="E615" s="94" t="n"/>
      <c r="F615" s="367" t="n"/>
      <c r="G615" s="367" t="n"/>
      <c r="H615" s="94" t="n"/>
      <c r="I615" s="94" t="n"/>
      <c r="J615" s="94" t="n"/>
    </row>
    <row r="616" ht="13.2" customHeight="1" s="405">
      <c r="A616" s="94" t="n"/>
      <c r="B616" s="94" t="n"/>
      <c r="C616" s="94" t="n"/>
      <c r="D616" s="94" t="n"/>
      <c r="E616" s="94" t="n"/>
      <c r="F616" s="367" t="n"/>
      <c r="G616" s="367" t="n"/>
      <c r="H616" s="94" t="n"/>
      <c r="I616" s="94" t="n"/>
      <c r="J616" s="94" t="n"/>
    </row>
    <row r="617" ht="13.2" customHeight="1" s="405">
      <c r="A617" s="94" t="n"/>
      <c r="B617" s="94" t="n"/>
      <c r="C617" s="94" t="n"/>
      <c r="D617" s="94" t="n"/>
      <c r="E617" s="94" t="n"/>
      <c r="F617" s="367" t="n"/>
      <c r="G617" s="367" t="n"/>
      <c r="H617" s="94" t="n"/>
      <c r="I617" s="94" t="n"/>
      <c r="J617" s="94" t="n"/>
    </row>
    <row r="618" ht="13.2" customHeight="1" s="405">
      <c r="A618" s="94" t="n"/>
      <c r="B618" s="94" t="n"/>
      <c r="C618" s="94" t="n"/>
      <c r="D618" s="94" t="n"/>
      <c r="E618" s="94" t="n"/>
      <c r="F618" s="367" t="n"/>
      <c r="G618" s="367" t="n"/>
      <c r="H618" s="94" t="n"/>
      <c r="I618" s="94" t="n"/>
      <c r="J618" s="94" t="n"/>
    </row>
    <row r="619" ht="13.2" customHeight="1" s="405">
      <c r="A619" s="94" t="n"/>
      <c r="B619" s="94" t="n"/>
      <c r="C619" s="94" t="n"/>
      <c r="D619" s="94" t="n"/>
      <c r="E619" s="94" t="n"/>
      <c r="F619" s="367" t="n"/>
      <c r="G619" s="367" t="n"/>
      <c r="H619" s="94" t="n"/>
      <c r="I619" s="94" t="n"/>
      <c r="J619" s="94" t="n"/>
    </row>
    <row r="620" ht="13.2" customHeight="1" s="405">
      <c r="A620" s="94" t="n"/>
      <c r="B620" s="94" t="n"/>
      <c r="C620" s="94" t="n"/>
      <c r="D620" s="94" t="n"/>
      <c r="E620" s="94" t="n"/>
      <c r="F620" s="367" t="n"/>
      <c r="G620" s="367" t="n"/>
      <c r="H620" s="94" t="n"/>
      <c r="I620" s="94" t="n"/>
      <c r="J620" s="94" t="n"/>
    </row>
    <row r="621" ht="13.2" customHeight="1" s="405">
      <c r="A621" s="94" t="n"/>
      <c r="B621" s="94" t="n"/>
      <c r="C621" s="94" t="n"/>
      <c r="D621" s="94" t="n"/>
      <c r="E621" s="94" t="n"/>
      <c r="F621" s="367" t="n"/>
      <c r="G621" s="367" t="n"/>
      <c r="H621" s="94" t="n"/>
      <c r="I621" s="94" t="n"/>
      <c r="J621" s="94" t="n"/>
    </row>
    <row r="622" ht="13.2" customHeight="1" s="405">
      <c r="A622" s="94" t="n"/>
      <c r="B622" s="94" t="n"/>
      <c r="C622" s="94" t="n"/>
      <c r="D622" s="94" t="n"/>
      <c r="E622" s="94" t="n"/>
      <c r="F622" s="367" t="n"/>
      <c r="G622" s="367" t="n"/>
      <c r="H622" s="94" t="n"/>
      <c r="I622" s="94" t="n"/>
      <c r="J622" s="94" t="n"/>
    </row>
    <row r="623" ht="13.2" customHeight="1" s="405">
      <c r="A623" s="94" t="n"/>
      <c r="B623" s="94" t="n"/>
      <c r="C623" s="94" t="n"/>
      <c r="D623" s="94" t="n"/>
      <c r="E623" s="94" t="n"/>
      <c r="F623" s="367" t="n"/>
      <c r="G623" s="367" t="n"/>
      <c r="H623" s="94" t="n"/>
      <c r="I623" s="94" t="n"/>
      <c r="J623" s="94" t="n"/>
    </row>
    <row r="624" ht="13.2" customHeight="1" s="405">
      <c r="A624" s="94" t="n"/>
      <c r="B624" s="94" t="n"/>
      <c r="C624" s="94" t="n"/>
      <c r="D624" s="94" t="n"/>
      <c r="E624" s="94" t="n"/>
      <c r="F624" s="367" t="n"/>
      <c r="G624" s="367" t="n"/>
      <c r="H624" s="94" t="n"/>
      <c r="I624" s="94" t="n"/>
      <c r="J624" s="94" t="n"/>
    </row>
    <row r="625" ht="13.2" customHeight="1" s="405">
      <c r="A625" s="94" t="n"/>
      <c r="B625" s="94" t="n"/>
      <c r="C625" s="94" t="n"/>
      <c r="D625" s="94" t="n"/>
      <c r="E625" s="94" t="n"/>
      <c r="F625" s="367" t="n"/>
      <c r="G625" s="367" t="n"/>
      <c r="H625" s="94" t="n"/>
      <c r="I625" s="94" t="n"/>
      <c r="J625" s="94" t="n"/>
    </row>
    <row r="626" ht="13.2" customHeight="1" s="405">
      <c r="A626" s="94" t="n"/>
      <c r="B626" s="94" t="n"/>
      <c r="C626" s="94" t="n"/>
      <c r="D626" s="94" t="n"/>
      <c r="E626" s="94" t="n"/>
      <c r="F626" s="367" t="n"/>
      <c r="G626" s="367" t="n"/>
      <c r="H626" s="94" t="n"/>
      <c r="I626" s="94" t="n"/>
      <c r="J626" s="94" t="n"/>
    </row>
    <row r="627" ht="13.2" customHeight="1" s="405">
      <c r="A627" s="94" t="n"/>
      <c r="B627" s="94" t="n"/>
      <c r="C627" s="94" t="n"/>
      <c r="D627" s="94" t="n"/>
      <c r="E627" s="94" t="n"/>
      <c r="F627" s="367" t="n"/>
      <c r="G627" s="367" t="n"/>
      <c r="H627" s="94" t="n"/>
      <c r="I627" s="94" t="n"/>
      <c r="J627" s="94" t="n"/>
    </row>
    <row r="628" ht="13.2" customHeight="1" s="405">
      <c r="A628" s="94" t="n"/>
      <c r="B628" s="94" t="n"/>
      <c r="C628" s="94" t="n"/>
      <c r="D628" s="94" t="n"/>
      <c r="E628" s="94" t="n"/>
      <c r="F628" s="367" t="n"/>
      <c r="G628" s="367" t="n"/>
      <c r="H628" s="94" t="n"/>
      <c r="I628" s="94" t="n"/>
      <c r="J628" s="94" t="n"/>
    </row>
    <row r="629" ht="13.2" customHeight="1" s="405">
      <c r="A629" s="94" t="n"/>
      <c r="B629" s="94" t="n"/>
      <c r="C629" s="94" t="n"/>
      <c r="D629" s="94" t="n"/>
      <c r="E629" s="94" t="n"/>
      <c r="F629" s="367" t="n"/>
      <c r="G629" s="367" t="n"/>
      <c r="H629" s="94" t="n"/>
      <c r="I629" s="94" t="n"/>
      <c r="J629" s="94" t="n"/>
    </row>
    <row r="630" ht="13.2" customHeight="1" s="405">
      <c r="A630" s="94" t="n"/>
      <c r="B630" s="94" t="n"/>
      <c r="C630" s="94" t="n"/>
      <c r="D630" s="94" t="n"/>
      <c r="E630" s="94" t="n"/>
      <c r="F630" s="367" t="n"/>
      <c r="G630" s="367" t="n"/>
      <c r="H630" s="94" t="n"/>
      <c r="I630" s="94" t="n"/>
      <c r="J630" s="94" t="n"/>
    </row>
    <row r="631" ht="13.2" customHeight="1" s="405">
      <c r="A631" s="94" t="n"/>
      <c r="B631" s="94" t="n"/>
      <c r="C631" s="94" t="n"/>
      <c r="D631" s="94" t="n"/>
      <c r="E631" s="94" t="n"/>
      <c r="F631" s="367" t="n"/>
      <c r="G631" s="367" t="n"/>
      <c r="H631" s="94" t="n"/>
      <c r="I631" s="94" t="n"/>
      <c r="J631" s="94" t="n"/>
    </row>
    <row r="632" ht="13.2" customHeight="1" s="405">
      <c r="A632" s="94" t="n"/>
      <c r="B632" s="94" t="n"/>
      <c r="C632" s="94" t="n"/>
      <c r="D632" s="94" t="n"/>
      <c r="E632" s="94" t="n"/>
      <c r="F632" s="367" t="n"/>
      <c r="G632" s="367" t="n"/>
      <c r="H632" s="94" t="n"/>
      <c r="I632" s="94" t="n"/>
      <c r="J632" s="94" t="n"/>
    </row>
    <row r="633" ht="13.2" customHeight="1" s="405">
      <c r="A633" s="94" t="n"/>
      <c r="B633" s="94" t="n"/>
      <c r="C633" s="94" t="n"/>
      <c r="D633" s="94" t="n"/>
      <c r="E633" s="94" t="n"/>
      <c r="F633" s="367" t="n"/>
      <c r="G633" s="367" t="n"/>
      <c r="H633" s="94" t="n"/>
      <c r="I633" s="94" t="n"/>
      <c r="J633" s="94" t="n"/>
    </row>
    <row r="634" ht="13.2" customHeight="1" s="405">
      <c r="A634" s="94" t="n"/>
      <c r="B634" s="94" t="n"/>
      <c r="C634" s="94" t="n"/>
      <c r="D634" s="94" t="n"/>
      <c r="E634" s="94" t="n"/>
      <c r="F634" s="367" t="n"/>
      <c r="G634" s="367" t="n"/>
      <c r="H634" s="94" t="n"/>
      <c r="I634" s="94" t="n"/>
      <c r="J634" s="94" t="n"/>
    </row>
    <row r="635" ht="13.2" customHeight="1" s="405">
      <c r="A635" s="94" t="n"/>
      <c r="B635" s="94" t="n"/>
      <c r="C635" s="94" t="n"/>
      <c r="D635" s="94" t="n"/>
      <c r="E635" s="94" t="n"/>
      <c r="F635" s="367" t="n"/>
      <c r="G635" s="367" t="n"/>
      <c r="H635" s="94" t="n"/>
      <c r="I635" s="94" t="n"/>
      <c r="J635" s="94" t="n"/>
    </row>
    <row r="636" ht="13.2" customHeight="1" s="405">
      <c r="A636" s="94" t="n"/>
      <c r="B636" s="94" t="n"/>
      <c r="C636" s="94" t="n"/>
      <c r="D636" s="94" t="n"/>
      <c r="E636" s="94" t="n"/>
      <c r="F636" s="367" t="n"/>
      <c r="G636" s="367" t="n"/>
      <c r="H636" s="94" t="n"/>
      <c r="I636" s="94" t="n"/>
      <c r="J636" s="94" t="n"/>
    </row>
    <row r="637" ht="13.2" customHeight="1" s="405">
      <c r="A637" s="94" t="n"/>
      <c r="B637" s="94" t="n"/>
      <c r="C637" s="94" t="n"/>
      <c r="D637" s="94" t="n"/>
      <c r="E637" s="94" t="n"/>
      <c r="F637" s="367" t="n"/>
      <c r="G637" s="367" t="n"/>
      <c r="H637" s="94" t="n"/>
      <c r="I637" s="94" t="n"/>
      <c r="J637" s="94" t="n"/>
    </row>
    <row r="638" ht="13.2" customHeight="1" s="405">
      <c r="A638" s="94" t="n"/>
      <c r="B638" s="94" t="n"/>
      <c r="C638" s="94" t="n"/>
      <c r="D638" s="94" t="n"/>
      <c r="E638" s="94" t="n"/>
      <c r="F638" s="367" t="n"/>
      <c r="G638" s="367" t="n"/>
      <c r="H638" s="94" t="n"/>
      <c r="I638" s="94" t="n"/>
      <c r="J638" s="94" t="n"/>
    </row>
    <row r="639" ht="13.2" customHeight="1" s="405">
      <c r="A639" s="94" t="n"/>
      <c r="B639" s="94" t="n"/>
      <c r="C639" s="94" t="n"/>
      <c r="D639" s="94" t="n"/>
      <c r="E639" s="94" t="n"/>
      <c r="F639" s="367" t="n"/>
      <c r="G639" s="367" t="n"/>
      <c r="H639" s="94" t="n"/>
      <c r="I639" s="94" t="n"/>
      <c r="J639" s="94" t="n"/>
    </row>
    <row r="640" ht="13.2" customHeight="1" s="405">
      <c r="A640" s="94" t="n"/>
      <c r="B640" s="94" t="n"/>
      <c r="C640" s="94" t="n"/>
      <c r="D640" s="94" t="n"/>
      <c r="E640" s="94" t="n"/>
      <c r="F640" s="367" t="n"/>
      <c r="G640" s="367" t="n"/>
      <c r="H640" s="94" t="n"/>
      <c r="I640" s="94" t="n"/>
      <c r="J640" s="94" t="n"/>
    </row>
    <row r="641" ht="13.2" customHeight="1" s="405">
      <c r="A641" s="94" t="n"/>
      <c r="B641" s="94" t="n"/>
      <c r="C641" s="94" t="n"/>
      <c r="D641" s="94" t="n"/>
      <c r="E641" s="94" t="n"/>
      <c r="F641" s="367" t="n"/>
      <c r="G641" s="367" t="n"/>
      <c r="H641" s="94" t="n"/>
      <c r="I641" s="94" t="n"/>
      <c r="J641" s="94" t="n"/>
    </row>
    <row r="642" ht="13.2" customHeight="1" s="405">
      <c r="A642" s="94" t="n"/>
      <c r="B642" s="94" t="n"/>
      <c r="C642" s="94" t="n"/>
      <c r="D642" s="94" t="n"/>
      <c r="E642" s="94" t="n"/>
      <c r="F642" s="367" t="n"/>
      <c r="G642" s="367" t="n"/>
      <c r="H642" s="94" t="n"/>
      <c r="I642" s="94" t="n"/>
      <c r="J642" s="94" t="n"/>
    </row>
    <row r="643" ht="13.2" customHeight="1" s="405">
      <c r="A643" s="94" t="n"/>
      <c r="B643" s="94" t="n"/>
      <c r="C643" s="94" t="n"/>
      <c r="D643" s="94" t="n"/>
      <c r="E643" s="94" t="n"/>
      <c r="F643" s="367" t="n"/>
      <c r="G643" s="367" t="n"/>
      <c r="H643" s="94" t="n"/>
      <c r="I643" s="94" t="n"/>
      <c r="J643" s="94" t="n"/>
    </row>
    <row r="644" ht="13.2" customHeight="1" s="405">
      <c r="A644" s="94" t="n"/>
      <c r="B644" s="94" t="n"/>
      <c r="C644" s="94" t="n"/>
      <c r="D644" s="94" t="n"/>
      <c r="E644" s="94" t="n"/>
      <c r="F644" s="367" t="n"/>
      <c r="G644" s="367" t="n"/>
      <c r="H644" s="94" t="n"/>
      <c r="I644" s="94" t="n"/>
      <c r="J644" s="94" t="n"/>
    </row>
    <row r="645" ht="13.2" customHeight="1" s="405">
      <c r="A645" s="94" t="n"/>
      <c r="B645" s="94" t="n"/>
      <c r="C645" s="94" t="n"/>
      <c r="D645" s="94" t="n"/>
      <c r="E645" s="94" t="n"/>
      <c r="F645" s="367" t="n"/>
      <c r="G645" s="367" t="n"/>
      <c r="H645" s="94" t="n"/>
      <c r="I645" s="94" t="n"/>
      <c r="J645" s="94" t="n"/>
    </row>
    <row r="646" ht="13.2" customHeight="1" s="405">
      <c r="A646" s="94" t="n"/>
      <c r="B646" s="94" t="n"/>
      <c r="C646" s="94" t="n"/>
      <c r="D646" s="94" t="n"/>
      <c r="E646" s="94" t="n"/>
      <c r="F646" s="367" t="n"/>
      <c r="G646" s="367" t="n"/>
      <c r="H646" s="94" t="n"/>
      <c r="I646" s="94" t="n"/>
      <c r="J646" s="94" t="n"/>
    </row>
    <row r="647" ht="13.2" customHeight="1" s="405">
      <c r="A647" s="94" t="n"/>
      <c r="B647" s="94" t="n"/>
      <c r="C647" s="94" t="n"/>
      <c r="D647" s="94" t="n"/>
      <c r="E647" s="94" t="n"/>
      <c r="F647" s="367" t="n"/>
      <c r="G647" s="367" t="n"/>
      <c r="H647" s="94" t="n"/>
      <c r="I647" s="94" t="n"/>
      <c r="J647" s="94" t="n"/>
    </row>
    <row r="648" ht="13.2" customHeight="1" s="405">
      <c r="A648" s="94" t="n"/>
      <c r="B648" s="94" t="n"/>
      <c r="C648" s="94" t="n"/>
      <c r="D648" s="94" t="n"/>
      <c r="E648" s="94" t="n"/>
      <c r="F648" s="367" t="n"/>
      <c r="G648" s="367" t="n"/>
      <c r="H648" s="94" t="n"/>
      <c r="I648" s="94" t="n"/>
      <c r="J648" s="94" t="n"/>
    </row>
    <row r="649" ht="13.2" customHeight="1" s="405">
      <c r="A649" s="94" t="n"/>
      <c r="B649" s="94" t="n"/>
      <c r="C649" s="94" t="n"/>
      <c r="D649" s="94" t="n"/>
      <c r="E649" s="94" t="n"/>
      <c r="F649" s="367" t="n"/>
      <c r="G649" s="367" t="n"/>
      <c r="H649" s="94" t="n"/>
      <c r="I649" s="94" t="n"/>
      <c r="J649" s="94" t="n"/>
    </row>
    <row r="650" ht="13.2" customHeight="1" s="405">
      <c r="A650" s="94" t="n"/>
      <c r="B650" s="94" t="n"/>
      <c r="C650" s="94" t="n"/>
      <c r="D650" s="94" t="n"/>
      <c r="E650" s="94" t="n"/>
      <c r="F650" s="367" t="n"/>
      <c r="G650" s="367" t="n"/>
      <c r="H650" s="94" t="n"/>
      <c r="I650" s="94" t="n"/>
      <c r="J650" s="94" t="n"/>
    </row>
    <row r="651" ht="13.2" customHeight="1" s="405">
      <c r="A651" s="94" t="n"/>
      <c r="B651" s="94" t="n"/>
      <c r="C651" s="94" t="n"/>
      <c r="D651" s="94" t="n"/>
      <c r="E651" s="94" t="n"/>
      <c r="F651" s="367" t="n"/>
      <c r="G651" s="367" t="n"/>
      <c r="H651" s="94" t="n"/>
      <c r="I651" s="94" t="n"/>
      <c r="J651" s="94" t="n"/>
    </row>
    <row r="652" ht="13.2" customHeight="1" s="405">
      <c r="A652" s="94" t="n"/>
      <c r="B652" s="94" t="n"/>
      <c r="C652" s="94" t="n"/>
      <c r="D652" s="94" t="n"/>
      <c r="E652" s="94" t="n"/>
      <c r="F652" s="367" t="n"/>
      <c r="G652" s="367" t="n"/>
      <c r="H652" s="94" t="n"/>
      <c r="I652" s="94" t="n"/>
      <c r="J652" s="94" t="n"/>
    </row>
    <row r="653" ht="13.2" customHeight="1" s="405">
      <c r="A653" s="94" t="n"/>
      <c r="B653" s="94" t="n"/>
      <c r="C653" s="94" t="n"/>
      <c r="D653" s="94" t="n"/>
      <c r="E653" s="94" t="n"/>
      <c r="F653" s="367" t="n"/>
      <c r="G653" s="367" t="n"/>
      <c r="H653" s="94" t="n"/>
      <c r="I653" s="94" t="n"/>
      <c r="J653" s="94" t="n"/>
    </row>
    <row r="654" ht="13.2" customHeight="1" s="405">
      <c r="A654" s="94" t="n"/>
      <c r="B654" s="94" t="n"/>
      <c r="C654" s="94" t="n"/>
      <c r="D654" s="94" t="n"/>
      <c r="E654" s="94" t="n"/>
      <c r="F654" s="367" t="n"/>
      <c r="G654" s="367" t="n"/>
      <c r="H654" s="94" t="n"/>
      <c r="I654" s="94" t="n"/>
      <c r="J654" s="94" t="n"/>
    </row>
    <row r="655" ht="13.2" customHeight="1" s="405">
      <c r="A655" s="94" t="n"/>
      <c r="B655" s="94" t="n"/>
      <c r="C655" s="94" t="n"/>
      <c r="D655" s="94" t="n"/>
      <c r="E655" s="94" t="n"/>
      <c r="F655" s="367" t="n"/>
      <c r="G655" s="367" t="n"/>
      <c r="H655" s="94" t="n"/>
      <c r="I655" s="94" t="n"/>
      <c r="J655" s="94" t="n"/>
    </row>
    <row r="656" ht="13.2" customHeight="1" s="405">
      <c r="A656" s="94" t="n"/>
      <c r="B656" s="94" t="n"/>
      <c r="C656" s="94" t="n"/>
      <c r="D656" s="94" t="n"/>
      <c r="E656" s="94" t="n"/>
      <c r="F656" s="367" t="n"/>
      <c r="G656" s="367" t="n"/>
      <c r="H656" s="94" t="n"/>
      <c r="I656" s="94" t="n"/>
      <c r="J656" s="94" t="n"/>
    </row>
    <row r="657" ht="13.2" customHeight="1" s="405">
      <c r="A657" s="94" t="n"/>
      <c r="B657" s="94" t="n"/>
      <c r="C657" s="94" t="n"/>
      <c r="D657" s="94" t="n"/>
      <c r="E657" s="94" t="n"/>
      <c r="F657" s="367" t="n"/>
      <c r="G657" s="367" t="n"/>
      <c r="H657" s="94" t="n"/>
      <c r="I657" s="94" t="n"/>
      <c r="J657" s="94" t="n"/>
    </row>
    <row r="658" ht="13.2" customHeight="1" s="405">
      <c r="A658" s="94" t="n"/>
      <c r="B658" s="94" t="n"/>
      <c r="C658" s="94" t="n"/>
      <c r="D658" s="94" t="n"/>
      <c r="E658" s="94" t="n"/>
      <c r="F658" s="367" t="n"/>
      <c r="G658" s="367" t="n"/>
      <c r="H658" s="94" t="n"/>
      <c r="I658" s="94" t="n"/>
      <c r="J658" s="94" t="n"/>
    </row>
    <row r="659" ht="13.2" customHeight="1" s="405">
      <c r="A659" s="94" t="n"/>
      <c r="B659" s="94" t="n"/>
      <c r="C659" s="94" t="n"/>
      <c r="D659" s="94" t="n"/>
      <c r="E659" s="94" t="n"/>
      <c r="F659" s="367" t="n"/>
      <c r="G659" s="367" t="n"/>
      <c r="H659" s="94" t="n"/>
      <c r="I659" s="94" t="n"/>
      <c r="J659" s="94" t="n"/>
    </row>
    <row r="660" ht="13.2" customHeight="1" s="405">
      <c r="A660" s="94" t="n"/>
      <c r="B660" s="94" t="n"/>
      <c r="C660" s="94" t="n"/>
      <c r="D660" s="94" t="n"/>
      <c r="E660" s="94" t="n"/>
      <c r="F660" s="367" t="n"/>
      <c r="G660" s="367" t="n"/>
      <c r="H660" s="94" t="n"/>
      <c r="I660" s="94" t="n"/>
      <c r="J660" s="94" t="n"/>
    </row>
    <row r="661" ht="13.2" customHeight="1" s="405">
      <c r="A661" s="94" t="n"/>
      <c r="B661" s="94" t="n"/>
      <c r="C661" s="94" t="n"/>
      <c r="D661" s="94" t="n"/>
      <c r="E661" s="94" t="n"/>
      <c r="F661" s="367" t="n"/>
      <c r="G661" s="367" t="n"/>
      <c r="H661" s="94" t="n"/>
      <c r="I661" s="94" t="n"/>
      <c r="J661" s="94" t="n"/>
    </row>
    <row r="662" ht="13.2" customHeight="1" s="405">
      <c r="A662" s="94" t="n"/>
      <c r="B662" s="94" t="n"/>
      <c r="C662" s="94" t="n"/>
      <c r="D662" s="94" t="n"/>
      <c r="E662" s="94" t="n"/>
      <c r="F662" s="367" t="n"/>
      <c r="G662" s="367" t="n"/>
      <c r="H662" s="94" t="n"/>
      <c r="I662" s="94" t="n"/>
      <c r="J662" s="94" t="n"/>
    </row>
    <row r="663" ht="13.2" customHeight="1" s="405">
      <c r="A663" s="94" t="n"/>
      <c r="B663" s="94" t="n"/>
      <c r="C663" s="94" t="n"/>
      <c r="D663" s="94" t="n"/>
      <c r="E663" s="94" t="n"/>
      <c r="F663" s="367" t="n"/>
      <c r="G663" s="367" t="n"/>
      <c r="H663" s="94" t="n"/>
      <c r="I663" s="94" t="n"/>
      <c r="J663" s="94" t="n"/>
    </row>
    <row r="664" ht="13.2" customHeight="1" s="405">
      <c r="A664" s="94" t="n"/>
      <c r="B664" s="94" t="n"/>
      <c r="C664" s="94" t="n"/>
      <c r="D664" s="94" t="n"/>
      <c r="E664" s="94" t="n"/>
      <c r="F664" s="367" t="n"/>
      <c r="G664" s="367" t="n"/>
      <c r="H664" s="94" t="n"/>
      <c r="I664" s="94" t="n"/>
      <c r="J664" s="94" t="n"/>
    </row>
    <row r="665" ht="13.2" customHeight="1" s="405">
      <c r="A665" s="94" t="n"/>
      <c r="B665" s="94" t="n"/>
      <c r="C665" s="94" t="n"/>
      <c r="D665" s="94" t="n"/>
      <c r="E665" s="94" t="n"/>
      <c r="F665" s="367" t="n"/>
      <c r="G665" s="367" t="n"/>
      <c r="H665" s="94" t="n"/>
      <c r="I665" s="94" t="n"/>
      <c r="J665" s="94" t="n"/>
    </row>
    <row r="666" ht="13.2" customHeight="1" s="405">
      <c r="A666" s="94" t="n"/>
      <c r="B666" s="94" t="n"/>
      <c r="C666" s="94" t="n"/>
      <c r="D666" s="94" t="n"/>
      <c r="E666" s="94" t="n"/>
      <c r="F666" s="367" t="n"/>
      <c r="G666" s="367" t="n"/>
      <c r="H666" s="94" t="n"/>
      <c r="I666" s="94" t="n"/>
      <c r="J666" s="94" t="n"/>
    </row>
    <row r="667" ht="13.2" customHeight="1" s="405">
      <c r="A667" s="94" t="n"/>
      <c r="B667" s="94" t="n"/>
      <c r="C667" s="94" t="n"/>
      <c r="D667" s="94" t="n"/>
      <c r="E667" s="94" t="n"/>
      <c r="F667" s="367" t="n"/>
      <c r="G667" s="367" t="n"/>
      <c r="H667" s="94" t="n"/>
      <c r="I667" s="94" t="n"/>
      <c r="J667" s="94" t="n"/>
    </row>
    <row r="668" ht="13.2" customHeight="1" s="405">
      <c r="A668" s="94" t="n"/>
      <c r="B668" s="94" t="n"/>
      <c r="C668" s="94" t="n"/>
      <c r="D668" s="94" t="n"/>
      <c r="E668" s="94" t="n"/>
      <c r="F668" s="367" t="n"/>
      <c r="G668" s="367" t="n"/>
      <c r="H668" s="94" t="n"/>
      <c r="I668" s="94" t="n"/>
      <c r="J668" s="94" t="n"/>
    </row>
    <row r="669" ht="13.2" customHeight="1" s="405">
      <c r="A669" s="94" t="n"/>
      <c r="B669" s="94" t="n"/>
      <c r="C669" s="94" t="n"/>
      <c r="D669" s="94" t="n"/>
      <c r="E669" s="94" t="n"/>
      <c r="F669" s="367" t="n"/>
      <c r="G669" s="367" t="n"/>
      <c r="H669" s="94" t="n"/>
      <c r="I669" s="94" t="n"/>
      <c r="J669" s="94" t="n"/>
    </row>
    <row r="670" ht="13.2" customHeight="1" s="405">
      <c r="A670" s="94" t="n"/>
      <c r="B670" s="94" t="n"/>
      <c r="C670" s="94" t="n"/>
      <c r="D670" s="94" t="n"/>
      <c r="E670" s="94" t="n"/>
      <c r="F670" s="367" t="n"/>
      <c r="G670" s="367" t="n"/>
      <c r="H670" s="94" t="n"/>
      <c r="I670" s="94" t="n"/>
      <c r="J670" s="94" t="n"/>
    </row>
    <row r="671" ht="13.2" customHeight="1" s="405">
      <c r="A671" s="94" t="n"/>
      <c r="B671" s="94" t="n"/>
      <c r="C671" s="94" t="n"/>
      <c r="D671" s="94" t="n"/>
      <c r="E671" s="94" t="n"/>
      <c r="F671" s="367" t="n"/>
      <c r="G671" s="367" t="n"/>
      <c r="H671" s="94" t="n"/>
      <c r="I671" s="94" t="n"/>
      <c r="J671" s="94" t="n"/>
    </row>
    <row r="672" ht="13.2" customHeight="1" s="405">
      <c r="A672" s="94" t="n"/>
      <c r="B672" s="94" t="n"/>
      <c r="C672" s="94" t="n"/>
      <c r="D672" s="94" t="n"/>
      <c r="E672" s="94" t="n"/>
      <c r="F672" s="367" t="n"/>
      <c r="G672" s="367" t="n"/>
      <c r="H672" s="94" t="n"/>
      <c r="I672" s="94" t="n"/>
      <c r="J672" s="94" t="n"/>
    </row>
    <row r="673" ht="13.2" customHeight="1" s="405">
      <c r="A673" s="94" t="n"/>
      <c r="B673" s="94" t="n"/>
      <c r="C673" s="94" t="n"/>
      <c r="D673" s="94" t="n"/>
      <c r="E673" s="94" t="n"/>
      <c r="F673" s="367" t="n"/>
      <c r="G673" s="367" t="n"/>
      <c r="H673" s="94" t="n"/>
      <c r="I673" s="94" t="n"/>
      <c r="J673" s="94" t="n"/>
    </row>
    <row r="674" ht="13.2" customHeight="1" s="405">
      <c r="A674" s="94" t="n"/>
      <c r="B674" s="94" t="n"/>
      <c r="C674" s="94" t="n"/>
      <c r="D674" s="94" t="n"/>
      <c r="E674" s="94" t="n"/>
      <c r="F674" s="367" t="n"/>
      <c r="G674" s="367" t="n"/>
      <c r="H674" s="94" t="n"/>
      <c r="I674" s="94" t="n"/>
      <c r="J674" s="94" t="n"/>
    </row>
    <row r="675" ht="13.2" customHeight="1" s="405">
      <c r="A675" s="94" t="n"/>
      <c r="B675" s="94" t="n"/>
      <c r="C675" s="94" t="n"/>
      <c r="D675" s="94" t="n"/>
      <c r="E675" s="94" t="n"/>
      <c r="F675" s="367" t="n"/>
      <c r="G675" s="367" t="n"/>
      <c r="H675" s="94" t="n"/>
      <c r="I675" s="94" t="n"/>
      <c r="J675" s="94" t="n"/>
    </row>
    <row r="676" ht="13.2" customHeight="1" s="405">
      <c r="A676" s="94" t="n"/>
      <c r="B676" s="94" t="n"/>
      <c r="C676" s="94" t="n"/>
      <c r="D676" s="94" t="n"/>
      <c r="E676" s="94" t="n"/>
      <c r="F676" s="367" t="n"/>
      <c r="G676" s="367" t="n"/>
      <c r="H676" s="94" t="n"/>
      <c r="I676" s="94" t="n"/>
      <c r="J676" s="94" t="n"/>
    </row>
    <row r="677" ht="13.2" customHeight="1" s="405">
      <c r="A677" s="94" t="n"/>
      <c r="B677" s="94" t="n"/>
      <c r="C677" s="94" t="n"/>
      <c r="D677" s="94" t="n"/>
      <c r="E677" s="94" t="n"/>
      <c r="F677" s="367" t="n"/>
      <c r="G677" s="367" t="n"/>
      <c r="H677" s="94" t="n"/>
      <c r="I677" s="94" t="n"/>
      <c r="J677" s="94" t="n"/>
    </row>
    <row r="678" ht="13.2" customHeight="1" s="405">
      <c r="A678" s="94" t="n"/>
      <c r="B678" s="94" t="n"/>
      <c r="C678" s="94" t="n"/>
      <c r="D678" s="94" t="n"/>
      <c r="E678" s="94" t="n"/>
      <c r="F678" s="367" t="n"/>
      <c r="G678" s="367" t="n"/>
      <c r="H678" s="94" t="n"/>
      <c r="I678" s="94" t="n"/>
      <c r="J678" s="94" t="n"/>
    </row>
    <row r="679" ht="13.2" customHeight="1" s="405">
      <c r="A679" s="94" t="n"/>
      <c r="B679" s="94" t="n"/>
      <c r="C679" s="94" t="n"/>
      <c r="D679" s="94" t="n"/>
      <c r="E679" s="94" t="n"/>
      <c r="F679" s="367" t="n"/>
      <c r="G679" s="367" t="n"/>
      <c r="H679" s="94" t="n"/>
      <c r="I679" s="94" t="n"/>
      <c r="J679" s="94" t="n"/>
    </row>
    <row r="680" ht="13.2" customHeight="1" s="405">
      <c r="A680" s="94" t="n"/>
      <c r="B680" s="94" t="n"/>
      <c r="C680" s="94" t="n"/>
      <c r="D680" s="94" t="n"/>
      <c r="E680" s="94" t="n"/>
      <c r="F680" s="367" t="n"/>
      <c r="G680" s="367" t="n"/>
      <c r="H680" s="94" t="n"/>
      <c r="I680" s="94" t="n"/>
      <c r="J680" s="94" t="n"/>
    </row>
    <row r="681" ht="13.2" customHeight="1" s="405">
      <c r="A681" s="94" t="n"/>
      <c r="B681" s="94" t="n"/>
      <c r="C681" s="94" t="n"/>
      <c r="D681" s="94" t="n"/>
      <c r="E681" s="94" t="n"/>
      <c r="F681" s="367" t="n"/>
      <c r="G681" s="367" t="n"/>
      <c r="H681" s="94" t="n"/>
      <c r="I681" s="94" t="n"/>
      <c r="J681" s="94" t="n"/>
    </row>
    <row r="682" ht="13.2" customHeight="1" s="405">
      <c r="A682" s="94" t="n"/>
      <c r="B682" s="94" t="n"/>
      <c r="C682" s="94" t="n"/>
      <c r="D682" s="94" t="n"/>
      <c r="E682" s="94" t="n"/>
      <c r="F682" s="367" t="n"/>
      <c r="G682" s="367" t="n"/>
      <c r="H682" s="94" t="n"/>
      <c r="I682" s="94" t="n"/>
      <c r="J682" s="94" t="n"/>
    </row>
    <row r="683" ht="13.2" customHeight="1" s="405">
      <c r="A683" s="94" t="n"/>
      <c r="B683" s="94" t="n"/>
      <c r="C683" s="94" t="n"/>
      <c r="D683" s="94" t="n"/>
      <c r="E683" s="94" t="n"/>
      <c r="F683" s="367" t="n"/>
      <c r="G683" s="367" t="n"/>
      <c r="H683" s="94" t="n"/>
      <c r="I683" s="94" t="n"/>
      <c r="J683" s="94" t="n"/>
    </row>
    <row r="684" ht="13.2" customHeight="1" s="405">
      <c r="A684" s="94" t="n"/>
      <c r="B684" s="94" t="n"/>
      <c r="C684" s="94" t="n"/>
      <c r="D684" s="94" t="n"/>
      <c r="E684" s="94" t="n"/>
      <c r="F684" s="367" t="n"/>
      <c r="G684" s="367" t="n"/>
      <c r="H684" s="94" t="n"/>
      <c r="I684" s="94" t="n"/>
      <c r="J684" s="94" t="n"/>
    </row>
    <row r="685" ht="13.2" customHeight="1" s="405">
      <c r="A685" s="94" t="n"/>
      <c r="B685" s="94" t="n"/>
      <c r="C685" s="94" t="n"/>
      <c r="D685" s="94" t="n"/>
      <c r="E685" s="94" t="n"/>
      <c r="F685" s="367" t="n"/>
      <c r="G685" s="367" t="n"/>
      <c r="H685" s="94" t="n"/>
      <c r="I685" s="94" t="n"/>
      <c r="J685" s="94" t="n"/>
    </row>
    <row r="686" ht="13.2" customHeight="1" s="405">
      <c r="A686" s="94" t="n"/>
      <c r="B686" s="94" t="n"/>
      <c r="C686" s="94" t="n"/>
      <c r="D686" s="94" t="n"/>
      <c r="E686" s="94" t="n"/>
      <c r="F686" s="367" t="n"/>
      <c r="G686" s="367" t="n"/>
      <c r="H686" s="94" t="n"/>
      <c r="I686" s="94" t="n"/>
      <c r="J686" s="94" t="n"/>
    </row>
    <row r="687" ht="13.2" customHeight="1" s="405">
      <c r="A687" s="94" t="n"/>
      <c r="B687" s="94" t="n"/>
      <c r="C687" s="94" t="n"/>
      <c r="D687" s="94" t="n"/>
      <c r="E687" s="94" t="n"/>
      <c r="F687" s="367" t="n"/>
      <c r="G687" s="367" t="n"/>
      <c r="H687" s="94" t="n"/>
      <c r="I687" s="94" t="n"/>
      <c r="J687" s="94" t="n"/>
    </row>
    <row r="688" ht="13.2" customHeight="1" s="405">
      <c r="A688" s="94" t="n"/>
      <c r="B688" s="94" t="n"/>
      <c r="C688" s="94" t="n"/>
      <c r="D688" s="94" t="n"/>
      <c r="E688" s="94" t="n"/>
      <c r="F688" s="367" t="n"/>
      <c r="G688" s="367" t="n"/>
      <c r="H688" s="94" t="n"/>
      <c r="I688" s="94" t="n"/>
      <c r="J688" s="94" t="n"/>
    </row>
    <row r="689" ht="13.2" customHeight="1" s="405">
      <c r="A689" s="94" t="n"/>
      <c r="B689" s="94" t="n"/>
      <c r="C689" s="94" t="n"/>
      <c r="D689" s="94" t="n"/>
      <c r="E689" s="94" t="n"/>
      <c r="F689" s="367" t="n"/>
      <c r="G689" s="367" t="n"/>
      <c r="H689" s="94" t="n"/>
      <c r="I689" s="94" t="n"/>
      <c r="J689" s="94" t="n"/>
    </row>
    <row r="690" ht="13.2" customHeight="1" s="405">
      <c r="A690" s="94" t="n"/>
      <c r="B690" s="94" t="n"/>
      <c r="C690" s="94" t="n"/>
      <c r="D690" s="94" t="n"/>
      <c r="E690" s="94" t="n"/>
      <c r="F690" s="367" t="n"/>
      <c r="G690" s="367" t="n"/>
      <c r="H690" s="94" t="n"/>
      <c r="I690" s="94" t="n"/>
      <c r="J690" s="94" t="n"/>
    </row>
    <row r="691" ht="13.2" customHeight="1" s="405">
      <c r="A691" s="94" t="n"/>
      <c r="B691" s="94" t="n"/>
      <c r="C691" s="94" t="n"/>
      <c r="D691" s="94" t="n"/>
      <c r="E691" s="94" t="n"/>
      <c r="F691" s="367" t="n"/>
      <c r="G691" s="367" t="n"/>
      <c r="H691" s="94" t="n"/>
      <c r="I691" s="94" t="n"/>
      <c r="J691" s="94" t="n"/>
    </row>
    <row r="692" ht="13.2" customHeight="1" s="405">
      <c r="A692" s="94" t="n"/>
      <c r="B692" s="94" t="n"/>
      <c r="C692" s="94" t="n"/>
      <c r="D692" s="94" t="n"/>
      <c r="E692" s="94" t="n"/>
      <c r="F692" s="367" t="n"/>
      <c r="G692" s="367" t="n"/>
      <c r="H692" s="94" t="n"/>
      <c r="I692" s="94" t="n"/>
      <c r="J692" s="94" t="n"/>
    </row>
    <row r="693" ht="13.2" customHeight="1" s="405">
      <c r="A693" s="94" t="n"/>
      <c r="B693" s="94" t="n"/>
      <c r="C693" s="94" t="n"/>
      <c r="D693" s="94" t="n"/>
      <c r="E693" s="94" t="n"/>
      <c r="F693" s="367" t="n"/>
      <c r="G693" s="367" t="n"/>
      <c r="H693" s="94" t="n"/>
      <c r="I693" s="94" t="n"/>
      <c r="J693" s="94" t="n"/>
    </row>
    <row r="694" ht="13.2" customHeight="1" s="405">
      <c r="A694" s="94" t="n"/>
      <c r="B694" s="94" t="n"/>
      <c r="C694" s="94" t="n"/>
      <c r="D694" s="94" t="n"/>
      <c r="E694" s="94" t="n"/>
      <c r="F694" s="367" t="n"/>
      <c r="G694" s="367" t="n"/>
      <c r="H694" s="94" t="n"/>
      <c r="I694" s="94" t="n"/>
      <c r="J694" s="94" t="n"/>
    </row>
    <row r="695" ht="13.2" customHeight="1" s="405">
      <c r="A695" s="94" t="n"/>
      <c r="B695" s="94" t="n"/>
      <c r="C695" s="94" t="n"/>
      <c r="D695" s="94" t="n"/>
      <c r="E695" s="94" t="n"/>
      <c r="F695" s="367" t="n"/>
      <c r="G695" s="367" t="n"/>
      <c r="H695" s="94" t="n"/>
      <c r="I695" s="94" t="n"/>
      <c r="J695" s="94" t="n"/>
    </row>
    <row r="696" ht="13.2" customHeight="1" s="405">
      <c r="A696" s="94" t="n"/>
      <c r="B696" s="94" t="n"/>
      <c r="C696" s="94" t="n"/>
      <c r="D696" s="94" t="n"/>
      <c r="E696" s="94" t="n"/>
      <c r="F696" s="367" t="n"/>
      <c r="G696" s="367" t="n"/>
      <c r="H696" s="94" t="n"/>
      <c r="I696" s="94" t="n"/>
      <c r="J696" s="94" t="n"/>
    </row>
    <row r="697" ht="13.2" customHeight="1" s="405">
      <c r="A697" s="94" t="n"/>
      <c r="B697" s="94" t="n"/>
      <c r="C697" s="94" t="n"/>
      <c r="D697" s="94" t="n"/>
      <c r="E697" s="94" t="n"/>
      <c r="F697" s="367" t="n"/>
      <c r="G697" s="367" t="n"/>
      <c r="H697" s="94" t="n"/>
      <c r="I697" s="94" t="n"/>
      <c r="J697" s="94" t="n"/>
    </row>
    <row r="698" ht="13.2" customHeight="1" s="405">
      <c r="A698" s="94" t="n"/>
      <c r="B698" s="94" t="n"/>
      <c r="C698" s="94" t="n"/>
      <c r="D698" s="94" t="n"/>
      <c r="E698" s="94" t="n"/>
      <c r="F698" s="367" t="n"/>
      <c r="G698" s="367" t="n"/>
      <c r="H698" s="94" t="n"/>
      <c r="I698" s="94" t="n"/>
      <c r="J698" s="94" t="n"/>
    </row>
    <row r="699" ht="13.2" customHeight="1" s="405">
      <c r="A699" s="94" t="n"/>
      <c r="B699" s="94" t="n"/>
      <c r="C699" s="94" t="n"/>
      <c r="D699" s="94" t="n"/>
      <c r="E699" s="94" t="n"/>
      <c r="F699" s="367" t="n"/>
      <c r="G699" s="367" t="n"/>
      <c r="H699" s="94" t="n"/>
      <c r="I699" s="94" t="n"/>
      <c r="J699" s="94" t="n"/>
    </row>
    <row r="700" ht="13.2" customHeight="1" s="405">
      <c r="A700" s="94" t="n"/>
      <c r="B700" s="94" t="n"/>
      <c r="C700" s="94" t="n"/>
      <c r="D700" s="94" t="n"/>
      <c r="E700" s="94" t="n"/>
      <c r="F700" s="367" t="n"/>
      <c r="G700" s="367" t="n"/>
      <c r="H700" s="94" t="n"/>
      <c r="I700" s="94" t="n"/>
      <c r="J700" s="94" t="n"/>
    </row>
    <row r="701" ht="13.2" customHeight="1" s="405">
      <c r="A701" s="94" t="n"/>
      <c r="B701" s="94" t="n"/>
      <c r="C701" s="94" t="n"/>
      <c r="D701" s="94" t="n"/>
      <c r="E701" s="94" t="n"/>
      <c r="F701" s="367" t="n"/>
      <c r="G701" s="367" t="n"/>
      <c r="H701" s="94" t="n"/>
      <c r="I701" s="94" t="n"/>
      <c r="J701" s="94" t="n"/>
    </row>
    <row r="702" ht="13.2" customHeight="1" s="405">
      <c r="A702" s="94" t="n"/>
      <c r="B702" s="94" t="n"/>
      <c r="C702" s="94" t="n"/>
      <c r="D702" s="94" t="n"/>
      <c r="E702" s="94" t="n"/>
      <c r="F702" s="367" t="n"/>
      <c r="G702" s="367" t="n"/>
      <c r="H702" s="94" t="n"/>
      <c r="I702" s="94" t="n"/>
      <c r="J702" s="94" t="n"/>
    </row>
    <row r="703" ht="13.2" customHeight="1" s="405">
      <c r="A703" s="94" t="n"/>
      <c r="B703" s="94" t="n"/>
      <c r="C703" s="94" t="n"/>
      <c r="D703" s="94" t="n"/>
      <c r="E703" s="94" t="n"/>
      <c r="F703" s="367" t="n"/>
      <c r="G703" s="367" t="n"/>
      <c r="H703" s="94" t="n"/>
      <c r="I703" s="94" t="n"/>
      <c r="J703" s="94" t="n"/>
    </row>
    <row r="704" ht="13.2" customHeight="1" s="405">
      <c r="A704" s="94" t="n"/>
      <c r="B704" s="94" t="n"/>
      <c r="C704" s="94" t="n"/>
      <c r="D704" s="94" t="n"/>
      <c r="E704" s="94" t="n"/>
      <c r="F704" s="367" t="n"/>
      <c r="G704" s="367" t="n"/>
      <c r="H704" s="94" t="n"/>
      <c r="I704" s="94" t="n"/>
      <c r="J704" s="94" t="n"/>
    </row>
    <row r="705" ht="13.2" customHeight="1" s="405">
      <c r="A705" s="94" t="n"/>
      <c r="B705" s="94" t="n"/>
      <c r="C705" s="94" t="n"/>
      <c r="D705" s="94" t="n"/>
      <c r="E705" s="94" t="n"/>
      <c r="F705" s="367" t="n"/>
      <c r="G705" s="367" t="n"/>
      <c r="H705" s="94" t="n"/>
      <c r="I705" s="94" t="n"/>
      <c r="J705" s="94" t="n"/>
    </row>
    <row r="706" ht="13.2" customHeight="1" s="405">
      <c r="A706" s="94" t="n"/>
      <c r="B706" s="94" t="n"/>
      <c r="C706" s="94" t="n"/>
      <c r="D706" s="94" t="n"/>
      <c r="E706" s="94" t="n"/>
      <c r="F706" s="367" t="n"/>
      <c r="G706" s="367" t="n"/>
      <c r="H706" s="94" t="n"/>
      <c r="I706" s="94" t="n"/>
      <c r="J706" s="94" t="n"/>
    </row>
    <row r="707" ht="13.2" customHeight="1" s="405">
      <c r="A707" s="94" t="n"/>
      <c r="B707" s="94" t="n"/>
      <c r="C707" s="94" t="n"/>
      <c r="D707" s="94" t="n"/>
      <c r="E707" s="94" t="n"/>
      <c r="F707" s="367" t="n"/>
      <c r="G707" s="367" t="n"/>
      <c r="H707" s="94" t="n"/>
      <c r="I707" s="94" t="n"/>
      <c r="J707" s="94" t="n"/>
    </row>
    <row r="708" ht="13.2" customHeight="1" s="405">
      <c r="A708" s="94" t="n"/>
      <c r="B708" s="94" t="n"/>
      <c r="C708" s="94" t="n"/>
      <c r="D708" s="94" t="n"/>
      <c r="E708" s="94" t="n"/>
      <c r="F708" s="367" t="n"/>
      <c r="G708" s="367" t="n"/>
      <c r="H708" s="94" t="n"/>
      <c r="I708" s="94" t="n"/>
      <c r="J708" s="94" t="n"/>
    </row>
    <row r="709" ht="13.2" customHeight="1" s="405">
      <c r="A709" s="94" t="n"/>
      <c r="B709" s="94" t="n"/>
      <c r="C709" s="94" t="n"/>
      <c r="D709" s="94" t="n"/>
      <c r="E709" s="94" t="n"/>
      <c r="F709" s="367" t="n"/>
      <c r="G709" s="367" t="n"/>
      <c r="H709" s="94" t="n"/>
      <c r="I709" s="94" t="n"/>
      <c r="J709" s="94" t="n"/>
    </row>
    <row r="710" ht="13.2" customHeight="1" s="405">
      <c r="A710" s="94" t="n"/>
      <c r="B710" s="94" t="n"/>
      <c r="C710" s="94" t="n"/>
      <c r="D710" s="94" t="n"/>
      <c r="E710" s="94" t="n"/>
      <c r="F710" s="367" t="n"/>
      <c r="G710" s="367" t="n"/>
      <c r="H710" s="94" t="n"/>
      <c r="I710" s="94" t="n"/>
      <c r="J710" s="94" t="n"/>
    </row>
    <row r="711" ht="13.2" customHeight="1" s="405">
      <c r="A711" s="94" t="n"/>
      <c r="B711" s="94" t="n"/>
      <c r="C711" s="94" t="n"/>
      <c r="D711" s="94" t="n"/>
      <c r="E711" s="94" t="n"/>
      <c r="F711" s="367" t="n"/>
      <c r="G711" s="367" t="n"/>
      <c r="H711" s="94" t="n"/>
      <c r="I711" s="94" t="n"/>
      <c r="J711" s="94" t="n"/>
    </row>
    <row r="712" ht="13.2" customHeight="1" s="405">
      <c r="A712" s="94" t="n"/>
      <c r="B712" s="94" t="n"/>
      <c r="C712" s="94" t="n"/>
      <c r="D712" s="94" t="n"/>
      <c r="E712" s="94" t="n"/>
      <c r="F712" s="367" t="n"/>
      <c r="G712" s="367" t="n"/>
      <c r="H712" s="94" t="n"/>
      <c r="I712" s="94" t="n"/>
      <c r="J712" s="94" t="n"/>
    </row>
    <row r="713" ht="13.2" customHeight="1" s="405">
      <c r="A713" s="94" t="n"/>
      <c r="B713" s="94" t="n"/>
      <c r="C713" s="94" t="n"/>
      <c r="D713" s="94" t="n"/>
      <c r="E713" s="94" t="n"/>
      <c r="F713" s="367" t="n"/>
      <c r="G713" s="367" t="n"/>
      <c r="H713" s="94" t="n"/>
      <c r="I713" s="94" t="n"/>
      <c r="J713" s="94" t="n"/>
    </row>
    <row r="714" ht="13.2" customHeight="1" s="405">
      <c r="A714" s="94" t="n"/>
      <c r="B714" s="94" t="n"/>
      <c r="C714" s="94" t="n"/>
      <c r="D714" s="94" t="n"/>
      <c r="E714" s="94" t="n"/>
      <c r="F714" s="367" t="n"/>
      <c r="G714" s="367" t="n"/>
      <c r="H714" s="94" t="n"/>
      <c r="I714" s="94" t="n"/>
      <c r="J714" s="94" t="n"/>
    </row>
    <row r="715" ht="13.2" customHeight="1" s="405">
      <c r="A715" s="94" t="n"/>
      <c r="B715" s="94" t="n"/>
      <c r="C715" s="94" t="n"/>
      <c r="D715" s="94" t="n"/>
      <c r="E715" s="94" t="n"/>
      <c r="F715" s="367" t="n"/>
      <c r="G715" s="367" t="n"/>
      <c r="H715" s="94" t="n"/>
      <c r="I715" s="94" t="n"/>
      <c r="J715" s="94" t="n"/>
    </row>
    <row r="716" ht="13.2" customHeight="1" s="405">
      <c r="A716" s="94" t="n"/>
      <c r="B716" s="94" t="n"/>
      <c r="C716" s="94" t="n"/>
      <c r="D716" s="94" t="n"/>
      <c r="E716" s="94" t="n"/>
      <c r="F716" s="367" t="n"/>
      <c r="G716" s="367" t="n"/>
      <c r="H716" s="94" t="n"/>
      <c r="I716" s="94" t="n"/>
      <c r="J716" s="94" t="n"/>
    </row>
    <row r="717" ht="13.2" customHeight="1" s="405">
      <c r="A717" s="94" t="n"/>
      <c r="B717" s="94" t="n"/>
      <c r="C717" s="94" t="n"/>
      <c r="D717" s="94" t="n"/>
      <c r="E717" s="94" t="n"/>
      <c r="F717" s="367" t="n"/>
      <c r="G717" s="367" t="n"/>
      <c r="H717" s="94" t="n"/>
      <c r="I717" s="94" t="n"/>
      <c r="J717" s="94" t="n"/>
    </row>
    <row r="718" ht="13.2" customHeight="1" s="405">
      <c r="A718" s="94" t="n"/>
      <c r="B718" s="94" t="n"/>
      <c r="C718" s="94" t="n"/>
      <c r="D718" s="94" t="n"/>
      <c r="E718" s="94" t="n"/>
      <c r="F718" s="367" t="n"/>
      <c r="G718" s="367" t="n"/>
      <c r="H718" s="94" t="n"/>
      <c r="I718" s="94" t="n"/>
      <c r="J718" s="94" t="n"/>
    </row>
    <row r="719" ht="13.2" customHeight="1" s="405">
      <c r="A719" s="94" t="n"/>
      <c r="B719" s="94" t="n"/>
      <c r="C719" s="94" t="n"/>
      <c r="D719" s="94" t="n"/>
      <c r="E719" s="94" t="n"/>
      <c r="F719" s="367" t="n"/>
      <c r="G719" s="367" t="n"/>
      <c r="H719" s="94" t="n"/>
      <c r="I719" s="94" t="n"/>
      <c r="J719" s="94" t="n"/>
    </row>
    <row r="720" ht="13.2" customHeight="1" s="405">
      <c r="A720" s="94" t="n"/>
      <c r="B720" s="94" t="n"/>
      <c r="C720" s="94" t="n"/>
      <c r="D720" s="94" t="n"/>
      <c r="E720" s="94" t="n"/>
      <c r="F720" s="367" t="n"/>
      <c r="G720" s="367" t="n"/>
      <c r="H720" s="94" t="n"/>
      <c r="I720" s="94" t="n"/>
      <c r="J720" s="94" t="n"/>
    </row>
    <row r="721" ht="13.2" customHeight="1" s="405">
      <c r="A721" s="94" t="n"/>
      <c r="B721" s="94" t="n"/>
      <c r="C721" s="94" t="n"/>
      <c r="D721" s="94" t="n"/>
      <c r="E721" s="94" t="n"/>
      <c r="F721" s="367" t="n"/>
      <c r="G721" s="367" t="n"/>
      <c r="H721" s="94" t="n"/>
      <c r="I721" s="94" t="n"/>
      <c r="J721" s="94" t="n"/>
    </row>
    <row r="722" ht="13.2" customHeight="1" s="405">
      <c r="A722" s="94" t="n"/>
      <c r="B722" s="94" t="n"/>
      <c r="C722" s="94" t="n"/>
      <c r="D722" s="94" t="n"/>
      <c r="E722" s="94" t="n"/>
      <c r="F722" s="367" t="n"/>
      <c r="G722" s="367" t="n"/>
      <c r="H722" s="94" t="n"/>
      <c r="I722" s="94" t="n"/>
      <c r="J722" s="94" t="n"/>
    </row>
    <row r="723" ht="13.2" customHeight="1" s="405">
      <c r="A723" s="94" t="n"/>
      <c r="B723" s="94" t="n"/>
      <c r="C723" s="94" t="n"/>
      <c r="D723" s="94" t="n"/>
      <c r="E723" s="94" t="n"/>
      <c r="F723" s="367" t="n"/>
      <c r="G723" s="367" t="n"/>
      <c r="H723" s="94" t="n"/>
      <c r="I723" s="94" t="n"/>
      <c r="J723" s="94" t="n"/>
    </row>
    <row r="724" ht="13.2" customHeight="1" s="405">
      <c r="A724" s="94" t="n"/>
      <c r="B724" s="94" t="n"/>
      <c r="C724" s="94" t="n"/>
      <c r="D724" s="94" t="n"/>
      <c r="E724" s="94" t="n"/>
      <c r="F724" s="367" t="n"/>
      <c r="G724" s="367" t="n"/>
      <c r="H724" s="94" t="n"/>
      <c r="I724" s="94" t="n"/>
      <c r="J724" s="94" t="n"/>
    </row>
    <row r="725" ht="13.2" customHeight="1" s="405">
      <c r="A725" s="94" t="n"/>
      <c r="B725" s="94" t="n"/>
      <c r="C725" s="94" t="n"/>
      <c r="D725" s="94" t="n"/>
      <c r="E725" s="94" t="n"/>
      <c r="F725" s="367" t="n"/>
      <c r="G725" s="367" t="n"/>
      <c r="H725" s="94" t="n"/>
      <c r="I725" s="94" t="n"/>
      <c r="J725" s="94" t="n"/>
    </row>
    <row r="726" ht="13.2" customHeight="1" s="405">
      <c r="A726" s="94" t="n"/>
      <c r="B726" s="94" t="n"/>
      <c r="C726" s="94" t="n"/>
      <c r="D726" s="94" t="n"/>
      <c r="E726" s="94" t="n"/>
      <c r="F726" s="367" t="n"/>
      <c r="G726" s="367" t="n"/>
      <c r="H726" s="94" t="n"/>
      <c r="I726" s="94" t="n"/>
      <c r="J726" s="94" t="n"/>
    </row>
    <row r="727" ht="13.2" customHeight="1" s="405">
      <c r="A727" s="94" t="n"/>
      <c r="B727" s="94" t="n"/>
      <c r="C727" s="94" t="n"/>
      <c r="D727" s="94" t="n"/>
      <c r="E727" s="94" t="n"/>
      <c r="F727" s="367" t="n"/>
      <c r="G727" s="367" t="n"/>
      <c r="H727" s="94" t="n"/>
      <c r="I727" s="94" t="n"/>
      <c r="J727" s="94" t="n"/>
    </row>
    <row r="728" ht="13.2" customHeight="1" s="405">
      <c r="A728" s="94" t="n"/>
      <c r="B728" s="94" t="n"/>
      <c r="C728" s="94" t="n"/>
      <c r="D728" s="94" t="n"/>
      <c r="E728" s="94" t="n"/>
      <c r="F728" s="367" t="n"/>
      <c r="G728" s="367" t="n"/>
      <c r="H728" s="94" t="n"/>
      <c r="I728" s="94" t="n"/>
      <c r="J728" s="94" t="n"/>
    </row>
    <row r="729" ht="13.2" customHeight="1" s="405">
      <c r="A729" s="94" t="n"/>
      <c r="B729" s="94" t="n"/>
      <c r="C729" s="94" t="n"/>
      <c r="D729" s="94" t="n"/>
      <c r="E729" s="94" t="n"/>
      <c r="F729" s="367" t="n"/>
      <c r="G729" s="367" t="n"/>
      <c r="H729" s="94" t="n"/>
      <c r="I729" s="94" t="n"/>
      <c r="J729" s="94" t="n"/>
    </row>
    <row r="730" ht="13.2" customHeight="1" s="405">
      <c r="A730" s="94" t="n"/>
      <c r="B730" s="94" t="n"/>
      <c r="C730" s="94" t="n"/>
      <c r="D730" s="94" t="n"/>
      <c r="E730" s="94" t="n"/>
      <c r="F730" s="367" t="n"/>
      <c r="G730" s="367" t="n"/>
      <c r="H730" s="94" t="n"/>
      <c r="I730" s="94" t="n"/>
      <c r="J730" s="94" t="n"/>
    </row>
    <row r="731" ht="13.2" customHeight="1" s="405">
      <c r="A731" s="94" t="n"/>
      <c r="B731" s="94" t="n"/>
      <c r="C731" s="94" t="n"/>
      <c r="D731" s="94" t="n"/>
      <c r="E731" s="94" t="n"/>
      <c r="F731" s="367" t="n"/>
      <c r="G731" s="367" t="n"/>
      <c r="H731" s="94" t="n"/>
      <c r="I731" s="94" t="n"/>
      <c r="J731" s="94" t="n"/>
    </row>
    <row r="732" ht="13.2" customHeight="1" s="405">
      <c r="A732" s="94" t="n"/>
      <c r="B732" s="94" t="n"/>
      <c r="C732" s="94" t="n"/>
      <c r="D732" s="94" t="n"/>
      <c r="E732" s="94" t="n"/>
      <c r="F732" s="367" t="n"/>
      <c r="G732" s="367" t="n"/>
      <c r="H732" s="94" t="n"/>
      <c r="I732" s="94" t="n"/>
      <c r="J732" s="94" t="n"/>
    </row>
    <row r="733" ht="13.2" customHeight="1" s="405">
      <c r="A733" s="94" t="n"/>
      <c r="B733" s="94" t="n"/>
      <c r="C733" s="94" t="n"/>
      <c r="D733" s="94" t="n"/>
      <c r="E733" s="94" t="n"/>
      <c r="F733" s="367" t="n"/>
      <c r="G733" s="367" t="n"/>
      <c r="H733" s="94" t="n"/>
      <c r="I733" s="94" t="n"/>
      <c r="J733" s="94" t="n"/>
    </row>
    <row r="734" ht="13.2" customHeight="1" s="405">
      <c r="A734" s="94" t="n"/>
      <c r="B734" s="94" t="n"/>
      <c r="C734" s="94" t="n"/>
      <c r="D734" s="94" t="n"/>
      <c r="E734" s="94" t="n"/>
      <c r="F734" s="367" t="n"/>
      <c r="G734" s="367" t="n"/>
      <c r="H734" s="94" t="n"/>
      <c r="I734" s="94" t="n"/>
      <c r="J734" s="94" t="n"/>
    </row>
    <row r="735" ht="13.2" customHeight="1" s="405">
      <c r="A735" s="94" t="n"/>
      <c r="B735" s="94" t="n"/>
      <c r="C735" s="94" t="n"/>
      <c r="D735" s="94" t="n"/>
      <c r="E735" s="94" t="n"/>
      <c r="F735" s="367" t="n"/>
      <c r="G735" s="367" t="n"/>
      <c r="H735" s="94" t="n"/>
      <c r="I735" s="94" t="n"/>
      <c r="J735" s="94" t="n"/>
    </row>
    <row r="736" ht="13.2" customHeight="1" s="405">
      <c r="A736" s="94" t="n"/>
      <c r="B736" s="94" t="n"/>
      <c r="C736" s="94" t="n"/>
      <c r="D736" s="94" t="n"/>
      <c r="E736" s="94" t="n"/>
      <c r="F736" s="367" t="n"/>
      <c r="G736" s="367" t="n"/>
      <c r="H736" s="94" t="n"/>
      <c r="I736" s="94" t="n"/>
      <c r="J736" s="94" t="n"/>
    </row>
    <row r="737" ht="13.2" customHeight="1" s="405">
      <c r="A737" s="94" t="n"/>
      <c r="B737" s="94" t="n"/>
      <c r="C737" s="94" t="n"/>
      <c r="D737" s="94" t="n"/>
      <c r="E737" s="94" t="n"/>
      <c r="F737" s="367" t="n"/>
      <c r="G737" s="367" t="n"/>
      <c r="H737" s="94" t="n"/>
      <c r="I737" s="94" t="n"/>
      <c r="J737" s="94" t="n"/>
    </row>
    <row r="738" ht="13.2" customHeight="1" s="405">
      <c r="A738" s="94" t="n"/>
      <c r="B738" s="94" t="n"/>
      <c r="C738" s="94" t="n"/>
      <c r="D738" s="94" t="n"/>
      <c r="E738" s="94" t="n"/>
      <c r="F738" s="367" t="n"/>
      <c r="G738" s="367" t="n"/>
      <c r="H738" s="94" t="n"/>
      <c r="I738" s="94" t="n"/>
      <c r="J738" s="94" t="n"/>
    </row>
    <row r="739" ht="13.2" customHeight="1" s="405">
      <c r="A739" s="94" t="n"/>
      <c r="B739" s="94" t="n"/>
      <c r="C739" s="94" t="n"/>
      <c r="D739" s="94" t="n"/>
      <c r="E739" s="94" t="n"/>
      <c r="F739" s="367" t="n"/>
      <c r="G739" s="367" t="n"/>
      <c r="H739" s="94" t="n"/>
      <c r="I739" s="94" t="n"/>
      <c r="J739" s="94" t="n"/>
    </row>
    <row r="740" ht="13.2" customHeight="1" s="405">
      <c r="A740" s="94" t="n"/>
      <c r="B740" s="94" t="n"/>
      <c r="C740" s="94" t="n"/>
      <c r="D740" s="94" t="n"/>
      <c r="E740" s="94" t="n"/>
      <c r="F740" s="367" t="n"/>
      <c r="G740" s="367" t="n"/>
      <c r="H740" s="94" t="n"/>
      <c r="I740" s="94" t="n"/>
      <c r="J740" s="94" t="n"/>
    </row>
    <row r="741" ht="13.2" customHeight="1" s="405">
      <c r="A741" s="94" t="n"/>
      <c r="B741" s="94" t="n"/>
      <c r="C741" s="94" t="n"/>
      <c r="D741" s="94" t="n"/>
      <c r="E741" s="94" t="n"/>
      <c r="F741" s="367" t="n"/>
      <c r="G741" s="367" t="n"/>
      <c r="H741" s="94" t="n"/>
      <c r="I741" s="94" t="n"/>
      <c r="J741" s="94" t="n"/>
    </row>
    <row r="742" ht="13.2" customHeight="1" s="405">
      <c r="A742" s="94" t="n"/>
      <c r="B742" s="94" t="n"/>
      <c r="C742" s="94" t="n"/>
      <c r="D742" s="94" t="n"/>
      <c r="E742" s="94" t="n"/>
      <c r="F742" s="367" t="n"/>
      <c r="G742" s="367" t="n"/>
      <c r="H742" s="94" t="n"/>
      <c r="I742" s="94" t="n"/>
      <c r="J742" s="94" t="n"/>
    </row>
    <row r="743" ht="13.2" customHeight="1" s="405">
      <c r="A743" s="94" t="n"/>
      <c r="B743" s="94" t="n"/>
      <c r="C743" s="94" t="n"/>
      <c r="D743" s="94" t="n"/>
      <c r="E743" s="94" t="n"/>
      <c r="F743" s="367" t="n"/>
      <c r="G743" s="367" t="n"/>
      <c r="H743" s="94" t="n"/>
      <c r="I743" s="94" t="n"/>
      <c r="J743" s="94" t="n"/>
    </row>
    <row r="744" ht="13.2" customHeight="1" s="405">
      <c r="A744" s="94" t="n"/>
      <c r="B744" s="94" t="n"/>
      <c r="C744" s="94" t="n"/>
      <c r="D744" s="94" t="n"/>
      <c r="E744" s="94" t="n"/>
      <c r="F744" s="367" t="n"/>
      <c r="G744" s="367" t="n"/>
      <c r="H744" s="94" t="n"/>
      <c r="I744" s="94" t="n"/>
      <c r="J744" s="94" t="n"/>
    </row>
    <row r="745" ht="13.2" customHeight="1" s="405">
      <c r="A745" s="94" t="n"/>
      <c r="B745" s="94" t="n"/>
      <c r="C745" s="94" t="n"/>
      <c r="D745" s="94" t="n"/>
      <c r="E745" s="94" t="n"/>
      <c r="F745" s="367" t="n"/>
      <c r="G745" s="367" t="n"/>
      <c r="H745" s="94" t="n"/>
      <c r="I745" s="94" t="n"/>
      <c r="J745" s="94" t="n"/>
    </row>
    <row r="746" ht="13.2" customHeight="1" s="405">
      <c r="A746" s="94" t="n"/>
      <c r="B746" s="94" t="n"/>
      <c r="C746" s="94" t="n"/>
      <c r="D746" s="94" t="n"/>
      <c r="E746" s="94" t="n"/>
      <c r="F746" s="367" t="n"/>
      <c r="G746" s="367" t="n"/>
      <c r="H746" s="94" t="n"/>
      <c r="I746" s="94" t="n"/>
      <c r="J746" s="94" t="n"/>
    </row>
    <row r="747" ht="13.2" customHeight="1" s="405">
      <c r="A747" s="94" t="n"/>
      <c r="B747" s="94" t="n"/>
      <c r="C747" s="94" t="n"/>
      <c r="D747" s="94" t="n"/>
      <c r="E747" s="94" t="n"/>
      <c r="F747" s="367" t="n"/>
      <c r="G747" s="367" t="n"/>
      <c r="H747" s="94" t="n"/>
      <c r="I747" s="94" t="n"/>
      <c r="J747" s="94" t="n"/>
    </row>
    <row r="748" ht="13.2" customHeight="1" s="405">
      <c r="A748" s="94" t="n"/>
      <c r="B748" s="94" t="n"/>
      <c r="C748" s="94" t="n"/>
      <c r="D748" s="94" t="n"/>
      <c r="E748" s="94" t="n"/>
      <c r="F748" s="367" t="n"/>
      <c r="G748" s="367" t="n"/>
      <c r="H748" s="94" t="n"/>
      <c r="I748" s="94" t="n"/>
      <c r="J748" s="94" t="n"/>
    </row>
    <row r="749" ht="13.2" customHeight="1" s="405">
      <c r="A749" s="94" t="n"/>
      <c r="B749" s="94" t="n"/>
      <c r="C749" s="94" t="n"/>
      <c r="D749" s="94" t="n"/>
      <c r="E749" s="94" t="n"/>
      <c r="F749" s="367" t="n"/>
      <c r="G749" s="367" t="n"/>
      <c r="H749" s="94" t="n"/>
      <c r="I749" s="94" t="n"/>
      <c r="J749" s="94" t="n"/>
    </row>
    <row r="750" ht="13.2" customHeight="1" s="405">
      <c r="A750" s="94" t="n"/>
      <c r="B750" s="94" t="n"/>
      <c r="C750" s="94" t="n"/>
      <c r="D750" s="94" t="n"/>
      <c r="E750" s="94" t="n"/>
      <c r="F750" s="367" t="n"/>
      <c r="G750" s="367" t="n"/>
      <c r="H750" s="94" t="n"/>
      <c r="I750" s="94" t="n"/>
      <c r="J750" s="94" t="n"/>
    </row>
    <row r="751" ht="13.2" customHeight="1" s="405">
      <c r="A751" s="94" t="n"/>
      <c r="B751" s="94" t="n"/>
      <c r="C751" s="94" t="n"/>
      <c r="D751" s="94" t="n"/>
      <c r="E751" s="94" t="n"/>
      <c r="F751" s="367" t="n"/>
      <c r="G751" s="367" t="n"/>
      <c r="H751" s="94" t="n"/>
      <c r="I751" s="94" t="n"/>
      <c r="J751" s="94" t="n"/>
    </row>
    <row r="752" ht="13.2" customHeight="1" s="405">
      <c r="A752" s="94" t="n"/>
      <c r="B752" s="94" t="n"/>
      <c r="C752" s="94" t="n"/>
      <c r="D752" s="94" t="n"/>
      <c r="E752" s="94" t="n"/>
      <c r="F752" s="367" t="n"/>
      <c r="G752" s="367" t="n"/>
      <c r="H752" s="94" t="n"/>
      <c r="I752" s="94" t="n"/>
      <c r="J752" s="94" t="n"/>
    </row>
    <row r="753" ht="13.2" customHeight="1" s="405">
      <c r="A753" s="94" t="n"/>
      <c r="B753" s="94" t="n"/>
      <c r="C753" s="94" t="n"/>
      <c r="D753" s="94" t="n"/>
      <c r="E753" s="94" t="n"/>
      <c r="F753" s="367" t="n"/>
      <c r="G753" s="367" t="n"/>
      <c r="H753" s="94" t="n"/>
      <c r="I753" s="94" t="n"/>
      <c r="J753" s="94" t="n"/>
    </row>
    <row r="754" ht="13.2" customHeight="1" s="405">
      <c r="A754" s="94" t="n"/>
      <c r="B754" s="94" t="n"/>
      <c r="C754" s="94" t="n"/>
      <c r="D754" s="94" t="n"/>
      <c r="E754" s="94" t="n"/>
      <c r="F754" s="367" t="n"/>
      <c r="G754" s="367" t="n"/>
      <c r="H754" s="94" t="n"/>
      <c r="I754" s="94" t="n"/>
      <c r="J754" s="94" t="n"/>
    </row>
    <row r="755" ht="13.2" customHeight="1" s="405">
      <c r="A755" s="94" t="n"/>
      <c r="B755" s="94" t="n"/>
      <c r="C755" s="94" t="n"/>
      <c r="D755" s="94" t="n"/>
      <c r="E755" s="94" t="n"/>
      <c r="F755" s="367" t="n"/>
      <c r="G755" s="367" t="n"/>
      <c r="H755" s="94" t="n"/>
      <c r="I755" s="94" t="n"/>
      <c r="J755" s="94" t="n"/>
    </row>
    <row r="756" ht="13.2" customHeight="1" s="405">
      <c r="A756" s="94" t="n"/>
      <c r="B756" s="94" t="n"/>
      <c r="C756" s="94" t="n"/>
      <c r="D756" s="94" t="n"/>
      <c r="E756" s="94" t="n"/>
      <c r="F756" s="367" t="n"/>
      <c r="G756" s="367" t="n"/>
      <c r="H756" s="94" t="n"/>
      <c r="I756" s="94" t="n"/>
      <c r="J756" s="94" t="n"/>
    </row>
    <row r="757" ht="13.2" customHeight="1" s="405">
      <c r="A757" s="94" t="n"/>
      <c r="B757" s="94" t="n"/>
      <c r="C757" s="94" t="n"/>
      <c r="D757" s="94" t="n"/>
      <c r="E757" s="94" t="n"/>
      <c r="F757" s="367" t="n"/>
      <c r="G757" s="367" t="n"/>
      <c r="H757" s="94" t="n"/>
      <c r="I757" s="94" t="n"/>
      <c r="J757" s="94" t="n"/>
    </row>
    <row r="758" ht="13.2" customHeight="1" s="405">
      <c r="A758" s="94" t="n"/>
      <c r="B758" s="94" t="n"/>
      <c r="C758" s="94" t="n"/>
      <c r="D758" s="94" t="n"/>
      <c r="E758" s="94" t="n"/>
      <c r="F758" s="367" t="n"/>
      <c r="G758" s="367" t="n"/>
      <c r="H758" s="94" t="n"/>
      <c r="I758" s="94" t="n"/>
      <c r="J758" s="94" t="n"/>
    </row>
    <row r="759" ht="13.2" customHeight="1" s="405">
      <c r="A759" s="94" t="n"/>
      <c r="B759" s="94" t="n"/>
      <c r="C759" s="94" t="n"/>
      <c r="D759" s="94" t="n"/>
      <c r="E759" s="94" t="n"/>
      <c r="F759" s="367" t="n"/>
      <c r="G759" s="367" t="n"/>
      <c r="H759" s="94" t="n"/>
      <c r="I759" s="94" t="n"/>
      <c r="J759" s="94" t="n"/>
    </row>
    <row r="760" ht="13.2" customHeight="1" s="405">
      <c r="A760" s="94" t="n"/>
      <c r="B760" s="94" t="n"/>
      <c r="C760" s="94" t="n"/>
      <c r="D760" s="94" t="n"/>
      <c r="E760" s="94" t="n"/>
      <c r="F760" s="367" t="n"/>
      <c r="G760" s="367" t="n"/>
      <c r="H760" s="94" t="n"/>
      <c r="I760" s="94" t="n"/>
      <c r="J760" s="94" t="n"/>
    </row>
    <row r="761" ht="13.2" customHeight="1" s="405">
      <c r="A761" s="94" t="n"/>
      <c r="B761" s="94" t="n"/>
      <c r="C761" s="94" t="n"/>
      <c r="D761" s="94" t="n"/>
      <c r="E761" s="94" t="n"/>
      <c r="F761" s="367" t="n"/>
      <c r="G761" s="367" t="n"/>
      <c r="H761" s="94" t="n"/>
      <c r="I761" s="94" t="n"/>
      <c r="J761" s="94" t="n"/>
    </row>
    <row r="762" ht="13.2" customHeight="1" s="405">
      <c r="A762" s="94" t="n"/>
      <c r="B762" s="94" t="n"/>
      <c r="C762" s="94" t="n"/>
      <c r="D762" s="94" t="n"/>
      <c r="E762" s="94" t="n"/>
      <c r="F762" s="367" t="n"/>
      <c r="G762" s="367" t="n"/>
      <c r="H762" s="94" t="n"/>
      <c r="I762" s="94" t="n"/>
      <c r="J762" s="94" t="n"/>
    </row>
    <row r="763" ht="13.2" customHeight="1" s="405">
      <c r="A763" s="94" t="n"/>
      <c r="B763" s="94" t="n"/>
      <c r="C763" s="94" t="n"/>
      <c r="D763" s="94" t="n"/>
      <c r="E763" s="94" t="n"/>
      <c r="F763" s="367" t="n"/>
      <c r="G763" s="367" t="n"/>
      <c r="H763" s="94" t="n"/>
      <c r="I763" s="94" t="n"/>
      <c r="J763" s="94" t="n"/>
    </row>
    <row r="764" ht="13.2" customHeight="1" s="405">
      <c r="A764" s="94" t="n"/>
      <c r="B764" s="94" t="n"/>
      <c r="C764" s="94" t="n"/>
      <c r="D764" s="94" t="n"/>
      <c r="E764" s="94" t="n"/>
      <c r="F764" s="367" t="n"/>
      <c r="G764" s="367" t="n"/>
      <c r="H764" s="94" t="n"/>
      <c r="I764" s="94" t="n"/>
      <c r="J764" s="94" t="n"/>
    </row>
    <row r="765" ht="13.2" customHeight="1" s="405">
      <c r="A765" s="94" t="n"/>
      <c r="B765" s="94" t="n"/>
      <c r="C765" s="94" t="n"/>
      <c r="D765" s="94" t="n"/>
      <c r="E765" s="94" t="n"/>
      <c r="F765" s="367" t="n"/>
      <c r="G765" s="367" t="n"/>
      <c r="H765" s="94" t="n"/>
      <c r="I765" s="94" t="n"/>
      <c r="J765" s="94" t="n"/>
    </row>
    <row r="766" ht="13.2" customHeight="1" s="405">
      <c r="A766" s="94" t="n"/>
      <c r="B766" s="94" t="n"/>
      <c r="C766" s="94" t="n"/>
      <c r="D766" s="94" t="n"/>
      <c r="E766" s="94" t="n"/>
      <c r="F766" s="367" t="n"/>
      <c r="G766" s="367" t="n"/>
      <c r="H766" s="94" t="n"/>
      <c r="I766" s="94" t="n"/>
      <c r="J766" s="94" t="n"/>
    </row>
    <row r="767" ht="13.2" customHeight="1" s="405">
      <c r="A767" s="94" t="n"/>
      <c r="B767" s="94" t="n"/>
      <c r="C767" s="94" t="n"/>
      <c r="D767" s="94" t="n"/>
      <c r="E767" s="94" t="n"/>
      <c r="F767" s="367" t="n"/>
      <c r="G767" s="367" t="n"/>
      <c r="H767" s="94" t="n"/>
      <c r="I767" s="94" t="n"/>
      <c r="J767" s="94" t="n"/>
    </row>
    <row r="768" ht="13.2" customHeight="1" s="405">
      <c r="A768" s="94" t="n"/>
      <c r="B768" s="94" t="n"/>
      <c r="C768" s="94" t="n"/>
      <c r="D768" s="94" t="n"/>
      <c r="E768" s="94" t="n"/>
      <c r="F768" s="367" t="n"/>
      <c r="G768" s="367" t="n"/>
      <c r="H768" s="94" t="n"/>
      <c r="I768" s="94" t="n"/>
      <c r="J768" s="94" t="n"/>
    </row>
    <row r="769" ht="13.2" customHeight="1" s="405">
      <c r="A769" s="94" t="n"/>
      <c r="B769" s="94" t="n"/>
      <c r="C769" s="94" t="n"/>
      <c r="D769" s="94" t="n"/>
      <c r="E769" s="94" t="n"/>
      <c r="F769" s="367" t="n"/>
      <c r="G769" s="367" t="n"/>
      <c r="H769" s="94" t="n"/>
      <c r="I769" s="94" t="n"/>
      <c r="J769" s="94" t="n"/>
    </row>
    <row r="770" ht="13.2" customHeight="1" s="405">
      <c r="A770" s="94" t="n"/>
      <c r="B770" s="94" t="n"/>
      <c r="C770" s="94" t="n"/>
      <c r="D770" s="94" t="n"/>
      <c r="E770" s="94" t="n"/>
      <c r="F770" s="367" t="n"/>
      <c r="G770" s="367" t="n"/>
      <c r="H770" s="94" t="n"/>
      <c r="I770" s="94" t="n"/>
      <c r="J770" s="94" t="n"/>
    </row>
    <row r="771" ht="13.2" customHeight="1" s="405">
      <c r="A771" s="94" t="n"/>
      <c r="B771" s="94" t="n"/>
      <c r="C771" s="94" t="n"/>
      <c r="D771" s="94" t="n"/>
      <c r="E771" s="94" t="n"/>
      <c r="F771" s="367" t="n"/>
      <c r="G771" s="367" t="n"/>
      <c r="H771" s="94" t="n"/>
      <c r="I771" s="94" t="n"/>
      <c r="J771" s="94" t="n"/>
    </row>
    <row r="772" ht="13.2" customHeight="1" s="405">
      <c r="A772" s="94" t="n"/>
      <c r="B772" s="94" t="n"/>
      <c r="C772" s="94" t="n"/>
      <c r="D772" s="94" t="n"/>
      <c r="E772" s="94" t="n"/>
      <c r="F772" s="367" t="n"/>
      <c r="G772" s="367" t="n"/>
      <c r="H772" s="94" t="n"/>
      <c r="I772" s="94" t="n"/>
      <c r="J772" s="94" t="n"/>
    </row>
    <row r="773" ht="13.2" customHeight="1" s="405">
      <c r="A773" s="94" t="n"/>
      <c r="B773" s="94" t="n"/>
      <c r="C773" s="94" t="n"/>
      <c r="D773" s="94" t="n"/>
      <c r="E773" s="94" t="n"/>
      <c r="F773" s="367" t="n"/>
      <c r="G773" s="367" t="n"/>
      <c r="H773" s="94" t="n"/>
      <c r="I773" s="94" t="n"/>
      <c r="J773" s="94" t="n"/>
    </row>
    <row r="774" ht="13.2" customHeight="1" s="405">
      <c r="A774" s="94" t="n"/>
      <c r="B774" s="94" t="n"/>
      <c r="C774" s="94" t="n"/>
      <c r="D774" s="94" t="n"/>
      <c r="E774" s="94" t="n"/>
      <c r="F774" s="367" t="n"/>
      <c r="G774" s="367" t="n"/>
      <c r="H774" s="94" t="n"/>
      <c r="I774" s="94" t="n"/>
      <c r="J774" s="94" t="n"/>
    </row>
    <row r="775" ht="13.2" customHeight="1" s="405">
      <c r="A775" s="94" t="n"/>
      <c r="B775" s="94" t="n"/>
      <c r="C775" s="94" t="n"/>
      <c r="D775" s="94" t="n"/>
      <c r="E775" s="94" t="n"/>
      <c r="F775" s="367" t="n"/>
      <c r="G775" s="367" t="n"/>
      <c r="H775" s="94" t="n"/>
      <c r="I775" s="94" t="n"/>
      <c r="J775" s="94" t="n"/>
    </row>
    <row r="776" ht="13.2" customHeight="1" s="405">
      <c r="A776" s="94" t="n"/>
      <c r="B776" s="94" t="n"/>
      <c r="C776" s="94" t="n"/>
      <c r="D776" s="94" t="n"/>
      <c r="E776" s="94" t="n"/>
      <c r="F776" s="367" t="n"/>
      <c r="G776" s="367" t="n"/>
      <c r="H776" s="94" t="n"/>
      <c r="I776" s="94" t="n"/>
      <c r="J776" s="94" t="n"/>
    </row>
    <row r="777" ht="13.2" customHeight="1" s="405">
      <c r="A777" s="94" t="n"/>
      <c r="B777" s="94" t="n"/>
      <c r="C777" s="94" t="n"/>
      <c r="D777" s="94" t="n"/>
      <c r="E777" s="94" t="n"/>
      <c r="F777" s="367" t="n"/>
      <c r="G777" s="367" t="n"/>
      <c r="H777" s="94" t="n"/>
      <c r="I777" s="94" t="n"/>
      <c r="J777" s="94" t="n"/>
    </row>
    <row r="778" ht="13.2" customHeight="1" s="405">
      <c r="A778" s="94" t="n"/>
      <c r="B778" s="94" t="n"/>
      <c r="C778" s="94" t="n"/>
      <c r="D778" s="94" t="n"/>
      <c r="E778" s="94" t="n"/>
      <c r="F778" s="367" t="n"/>
      <c r="G778" s="367" t="n"/>
      <c r="H778" s="94" t="n"/>
      <c r="I778" s="94" t="n"/>
      <c r="J778" s="94" t="n"/>
    </row>
    <row r="779" ht="13.2" customHeight="1" s="405">
      <c r="A779" s="94" t="n"/>
      <c r="B779" s="94" t="n"/>
      <c r="C779" s="94" t="n"/>
      <c r="D779" s="94" t="n"/>
      <c r="E779" s="94" t="n"/>
      <c r="F779" s="367" t="n"/>
      <c r="G779" s="367" t="n"/>
      <c r="H779" s="94" t="n"/>
      <c r="I779" s="94" t="n"/>
      <c r="J779" s="94" t="n"/>
    </row>
    <row r="780" ht="13.2" customHeight="1" s="405">
      <c r="A780" s="94" t="n"/>
      <c r="B780" s="94" t="n"/>
      <c r="C780" s="94" t="n"/>
      <c r="D780" s="94" t="n"/>
      <c r="E780" s="94" t="n"/>
      <c r="F780" s="367" t="n"/>
      <c r="G780" s="367" t="n"/>
      <c r="H780" s="94" t="n"/>
      <c r="I780" s="94" t="n"/>
      <c r="J780" s="94" t="n"/>
    </row>
    <row r="781" ht="13.2" customHeight="1" s="405">
      <c r="A781" s="94" t="n"/>
      <c r="B781" s="94" t="n"/>
      <c r="C781" s="94" t="n"/>
      <c r="D781" s="94" t="n"/>
      <c r="E781" s="94" t="n"/>
      <c r="F781" s="367" t="n"/>
      <c r="G781" s="367" t="n"/>
      <c r="H781" s="94" t="n"/>
      <c r="I781" s="94" t="n"/>
      <c r="J781" s="94" t="n"/>
    </row>
    <row r="782" ht="13.2" customHeight="1" s="405">
      <c r="A782" s="94" t="n"/>
      <c r="B782" s="94" t="n"/>
      <c r="C782" s="94" t="n"/>
      <c r="D782" s="94" t="n"/>
      <c r="E782" s="94" t="n"/>
      <c r="F782" s="367" t="n"/>
      <c r="G782" s="367" t="n"/>
      <c r="H782" s="94" t="n"/>
      <c r="I782" s="94" t="n"/>
      <c r="J782" s="94" t="n"/>
    </row>
    <row r="783" ht="13.2" customHeight="1" s="405">
      <c r="A783" s="94" t="n"/>
      <c r="B783" s="94" t="n"/>
      <c r="C783" s="94" t="n"/>
      <c r="D783" s="94" t="n"/>
      <c r="E783" s="94" t="n"/>
      <c r="F783" s="367" t="n"/>
      <c r="G783" s="367" t="n"/>
      <c r="H783" s="94" t="n"/>
      <c r="I783" s="94" t="n"/>
      <c r="J783" s="94" t="n"/>
    </row>
    <row r="784" ht="13.2" customHeight="1" s="405">
      <c r="A784" s="94" t="n"/>
      <c r="B784" s="94" t="n"/>
      <c r="C784" s="94" t="n"/>
      <c r="D784" s="94" t="n"/>
      <c r="E784" s="94" t="n"/>
      <c r="F784" s="367" t="n"/>
      <c r="G784" s="367" t="n"/>
      <c r="H784" s="94" t="n"/>
      <c r="I784" s="94" t="n"/>
      <c r="J784" s="94" t="n"/>
    </row>
    <row r="785" ht="13.2" customHeight="1" s="405">
      <c r="A785" s="94" t="n"/>
      <c r="B785" s="94" t="n"/>
      <c r="C785" s="94" t="n"/>
      <c r="D785" s="94" t="n"/>
      <c r="E785" s="94" t="n"/>
      <c r="F785" s="367" t="n"/>
      <c r="G785" s="367" t="n"/>
      <c r="H785" s="94" t="n"/>
      <c r="I785" s="94" t="n"/>
      <c r="J785" s="94" t="n"/>
    </row>
    <row r="786" ht="13.2" customHeight="1" s="405">
      <c r="A786" s="94" t="n"/>
      <c r="B786" s="94" t="n"/>
      <c r="C786" s="94" t="n"/>
      <c r="D786" s="94" t="n"/>
      <c r="E786" s="94" t="n"/>
      <c r="F786" s="367" t="n"/>
      <c r="G786" s="367" t="n"/>
      <c r="H786" s="94" t="n"/>
      <c r="I786" s="94" t="n"/>
      <c r="J786" s="94" t="n"/>
    </row>
    <row r="787" ht="13.2" customHeight="1" s="405">
      <c r="A787" s="94" t="n"/>
      <c r="B787" s="94" t="n"/>
      <c r="C787" s="94" t="n"/>
      <c r="D787" s="94" t="n"/>
      <c r="E787" s="94" t="n"/>
      <c r="F787" s="367" t="n"/>
      <c r="G787" s="367" t="n"/>
      <c r="H787" s="94" t="n"/>
      <c r="I787" s="94" t="n"/>
      <c r="J787" s="94" t="n"/>
    </row>
    <row r="788" ht="13.2" customHeight="1" s="405">
      <c r="A788" s="94" t="n"/>
      <c r="B788" s="94" t="n"/>
      <c r="C788" s="94" t="n"/>
      <c r="D788" s="94" t="n"/>
      <c r="E788" s="94" t="n"/>
      <c r="F788" s="367" t="n"/>
      <c r="G788" s="367" t="n"/>
      <c r="H788" s="94" t="n"/>
      <c r="I788" s="94" t="n"/>
      <c r="J788" s="94" t="n"/>
    </row>
    <row r="789" ht="13.2" customHeight="1" s="405">
      <c r="A789" s="94" t="n"/>
      <c r="B789" s="94" t="n"/>
      <c r="C789" s="94" t="n"/>
      <c r="D789" s="94" t="n"/>
      <c r="E789" s="94" t="n"/>
      <c r="F789" s="367" t="n"/>
      <c r="G789" s="367" t="n"/>
      <c r="H789" s="94" t="n"/>
      <c r="I789" s="94" t="n"/>
      <c r="J789" s="94" t="n"/>
    </row>
    <row r="790" ht="13.2" customHeight="1" s="405">
      <c r="A790" s="94" t="n"/>
      <c r="B790" s="94" t="n"/>
      <c r="C790" s="94" t="n"/>
      <c r="D790" s="94" t="n"/>
      <c r="E790" s="94" t="n"/>
      <c r="F790" s="367" t="n"/>
      <c r="G790" s="367" t="n"/>
      <c r="H790" s="94" t="n"/>
      <c r="I790" s="94" t="n"/>
      <c r="J790" s="94" t="n"/>
    </row>
    <row r="791" ht="13.2" customHeight="1" s="405">
      <c r="A791" s="94" t="n"/>
      <c r="B791" s="94" t="n"/>
      <c r="C791" s="94" t="n"/>
      <c r="D791" s="94" t="n"/>
      <c r="E791" s="94" t="n"/>
      <c r="F791" s="367" t="n"/>
      <c r="G791" s="367" t="n"/>
      <c r="H791" s="94" t="n"/>
      <c r="I791" s="94" t="n"/>
      <c r="J791" s="94" t="n"/>
    </row>
    <row r="792" ht="13.2" customHeight="1" s="405">
      <c r="A792" s="94" t="n"/>
      <c r="B792" s="94" t="n"/>
      <c r="C792" s="94" t="n"/>
      <c r="D792" s="94" t="n"/>
      <c r="E792" s="94" t="n"/>
      <c r="F792" s="367" t="n"/>
      <c r="G792" s="367" t="n"/>
      <c r="H792" s="94" t="n"/>
      <c r="I792" s="94" t="n"/>
      <c r="J792" s="94" t="n"/>
    </row>
    <row r="793" ht="13.2" customHeight="1" s="405">
      <c r="A793" s="94" t="n"/>
      <c r="B793" s="94" t="n"/>
      <c r="C793" s="94" t="n"/>
      <c r="D793" s="94" t="n"/>
      <c r="E793" s="94" t="n"/>
      <c r="F793" s="367" t="n"/>
      <c r="G793" s="367" t="n"/>
      <c r="H793" s="94" t="n"/>
      <c r="I793" s="94" t="n"/>
      <c r="J793" s="94" t="n"/>
    </row>
    <row r="794" ht="13.2" customHeight="1" s="405">
      <c r="A794" s="94" t="n"/>
      <c r="B794" s="94" t="n"/>
      <c r="C794" s="94" t="n"/>
      <c r="D794" s="94" t="n"/>
      <c r="E794" s="94" t="n"/>
      <c r="F794" s="367" t="n"/>
      <c r="G794" s="367" t="n"/>
      <c r="H794" s="94" t="n"/>
      <c r="I794" s="94" t="n"/>
      <c r="J794" s="94" t="n"/>
    </row>
    <row r="795" ht="13.2" customHeight="1" s="405">
      <c r="A795" s="94" t="n"/>
      <c r="B795" s="94" t="n"/>
      <c r="C795" s="94" t="n"/>
      <c r="D795" s="94" t="n"/>
      <c r="E795" s="94" t="n"/>
      <c r="F795" s="367" t="n"/>
      <c r="G795" s="367" t="n"/>
      <c r="H795" s="94" t="n"/>
      <c r="I795" s="94" t="n"/>
      <c r="J795" s="94" t="n"/>
    </row>
    <row r="796" ht="13.2" customHeight="1" s="405">
      <c r="A796" s="94" t="n"/>
      <c r="B796" s="94" t="n"/>
      <c r="C796" s="94" t="n"/>
      <c r="D796" s="94" t="n"/>
      <c r="E796" s="94" t="n"/>
      <c r="F796" s="367" t="n"/>
      <c r="G796" s="367" t="n"/>
      <c r="H796" s="94" t="n"/>
      <c r="I796" s="94" t="n"/>
      <c r="J796" s="94" t="n"/>
    </row>
    <row r="797" ht="13.2" customHeight="1" s="405">
      <c r="A797" s="94" t="n"/>
      <c r="B797" s="94" t="n"/>
      <c r="C797" s="94" t="n"/>
      <c r="D797" s="94" t="n"/>
      <c r="E797" s="94" t="n"/>
      <c r="F797" s="367" t="n"/>
      <c r="G797" s="367" t="n"/>
      <c r="H797" s="94" t="n"/>
      <c r="I797" s="94" t="n"/>
      <c r="J797" s="94" t="n"/>
    </row>
    <row r="798" ht="13.2" customHeight="1" s="405">
      <c r="A798" s="94" t="n"/>
      <c r="B798" s="94" t="n"/>
      <c r="C798" s="94" t="n"/>
      <c r="D798" s="94" t="n"/>
      <c r="E798" s="94" t="n"/>
      <c r="F798" s="367" t="n"/>
      <c r="G798" s="367" t="n"/>
      <c r="H798" s="94" t="n"/>
      <c r="I798" s="94" t="n"/>
      <c r="J798" s="94" t="n"/>
    </row>
    <row r="799" ht="13.2" customHeight="1" s="405">
      <c r="A799" s="94" t="n"/>
      <c r="B799" s="94" t="n"/>
      <c r="C799" s="94" t="n"/>
      <c r="D799" s="94" t="n"/>
      <c r="E799" s="94" t="n"/>
      <c r="F799" s="367" t="n"/>
      <c r="G799" s="367" t="n"/>
      <c r="H799" s="94" t="n"/>
      <c r="I799" s="94" t="n"/>
      <c r="J799" s="94" t="n"/>
    </row>
    <row r="800" ht="13.2" customHeight="1" s="405">
      <c r="A800" s="94" t="n"/>
      <c r="B800" s="94" t="n"/>
      <c r="C800" s="94" t="n"/>
      <c r="D800" s="94" t="n"/>
      <c r="E800" s="94" t="n"/>
      <c r="F800" s="367" t="n"/>
      <c r="G800" s="367" t="n"/>
      <c r="H800" s="94" t="n"/>
      <c r="I800" s="94" t="n"/>
      <c r="J800" s="94" t="n"/>
    </row>
    <row r="801" ht="13.2" customHeight="1" s="405">
      <c r="A801" s="94" t="n"/>
      <c r="B801" s="94" t="n"/>
      <c r="C801" s="94" t="n"/>
      <c r="D801" s="94" t="n"/>
      <c r="E801" s="94" t="n"/>
      <c r="F801" s="367" t="n"/>
      <c r="G801" s="367" t="n"/>
      <c r="H801" s="94" t="n"/>
      <c r="I801" s="94" t="n"/>
      <c r="J801" s="94" t="n"/>
    </row>
    <row r="802" ht="13.2" customHeight="1" s="405">
      <c r="A802" s="94" t="n"/>
      <c r="B802" s="94" t="n"/>
      <c r="C802" s="94" t="n"/>
      <c r="D802" s="94" t="n"/>
      <c r="E802" s="94" t="n"/>
      <c r="F802" s="367" t="n"/>
      <c r="G802" s="367" t="n"/>
      <c r="H802" s="94" t="n"/>
      <c r="I802" s="94" t="n"/>
      <c r="J802" s="94" t="n"/>
    </row>
    <row r="803" ht="13.2" customHeight="1" s="405">
      <c r="A803" s="94" t="n"/>
      <c r="B803" s="94" t="n"/>
      <c r="C803" s="94" t="n"/>
      <c r="D803" s="94" t="n"/>
      <c r="E803" s="94" t="n"/>
      <c r="F803" s="367" t="n"/>
      <c r="G803" s="367" t="n"/>
      <c r="H803" s="94" t="n"/>
      <c r="I803" s="94" t="n"/>
      <c r="J803" s="94" t="n"/>
    </row>
    <row r="804" ht="13.2" customHeight="1" s="405">
      <c r="A804" s="94" t="n"/>
      <c r="B804" s="94" t="n"/>
      <c r="C804" s="94" t="n"/>
      <c r="D804" s="94" t="n"/>
      <c r="E804" s="94" t="n"/>
      <c r="F804" s="367" t="n"/>
      <c r="G804" s="367" t="n"/>
      <c r="H804" s="94" t="n"/>
      <c r="I804" s="94" t="n"/>
      <c r="J804" s="94" t="n"/>
    </row>
    <row r="805" ht="13.2" customHeight="1" s="405">
      <c r="A805" s="94" t="n"/>
      <c r="B805" s="94" t="n"/>
      <c r="C805" s="94" t="n"/>
      <c r="D805" s="94" t="n"/>
      <c r="E805" s="94" t="n"/>
      <c r="F805" s="367" t="n"/>
      <c r="G805" s="367" t="n"/>
      <c r="H805" s="94" t="n"/>
      <c r="I805" s="94" t="n"/>
      <c r="J805" s="94" t="n"/>
    </row>
    <row r="806" ht="13.2" customHeight="1" s="405">
      <c r="A806" s="94" t="n"/>
      <c r="B806" s="94" t="n"/>
      <c r="C806" s="94" t="n"/>
      <c r="D806" s="94" t="n"/>
      <c r="E806" s="94" t="n"/>
      <c r="F806" s="367" t="n"/>
      <c r="G806" s="367" t="n"/>
      <c r="H806" s="94" t="n"/>
      <c r="I806" s="94" t="n"/>
      <c r="J806" s="94" t="n"/>
    </row>
    <row r="807" ht="13.2" customHeight="1" s="405">
      <c r="A807" s="94" t="n"/>
      <c r="B807" s="94" t="n"/>
      <c r="C807" s="94" t="n"/>
      <c r="D807" s="94" t="n"/>
      <c r="E807" s="94" t="n"/>
      <c r="F807" s="367" t="n"/>
      <c r="G807" s="367" t="n"/>
      <c r="H807" s="94" t="n"/>
      <c r="I807" s="94" t="n"/>
      <c r="J807" s="94" t="n"/>
    </row>
    <row r="808" ht="13.2" customHeight="1" s="405">
      <c r="A808" s="94" t="n"/>
      <c r="B808" s="94" t="n"/>
      <c r="C808" s="94" t="n"/>
      <c r="D808" s="94" t="n"/>
      <c r="E808" s="94" t="n"/>
      <c r="F808" s="367" t="n"/>
      <c r="G808" s="367" t="n"/>
      <c r="H808" s="94" t="n"/>
      <c r="I808" s="94" t="n"/>
      <c r="J808" s="94" t="n"/>
    </row>
    <row r="809" ht="13.2" customHeight="1" s="405">
      <c r="A809" s="94" t="n"/>
      <c r="B809" s="94" t="n"/>
      <c r="C809" s="94" t="n"/>
      <c r="D809" s="94" t="n"/>
      <c r="E809" s="94" t="n"/>
      <c r="F809" s="367" t="n"/>
      <c r="G809" s="367" t="n"/>
      <c r="H809" s="94" t="n"/>
      <c r="I809" s="94" t="n"/>
      <c r="J809" s="94" t="n"/>
    </row>
    <row r="810" ht="13.2" customHeight="1" s="405">
      <c r="A810" s="94" t="n"/>
      <c r="B810" s="94" t="n"/>
      <c r="C810" s="94" t="n"/>
      <c r="D810" s="94" t="n"/>
      <c r="E810" s="94" t="n"/>
      <c r="F810" s="367" t="n"/>
      <c r="G810" s="367" t="n"/>
      <c r="H810" s="94" t="n"/>
      <c r="I810" s="94" t="n"/>
      <c r="J810" s="94" t="n"/>
    </row>
    <row r="811" ht="13.2" customHeight="1" s="405">
      <c r="A811" s="94" t="n"/>
      <c r="B811" s="94" t="n"/>
      <c r="C811" s="94" t="n"/>
      <c r="D811" s="94" t="n"/>
      <c r="E811" s="94" t="n"/>
      <c r="F811" s="367" t="n"/>
      <c r="G811" s="367" t="n"/>
      <c r="H811" s="94" t="n"/>
      <c r="I811" s="94" t="n"/>
      <c r="J811" s="94" t="n"/>
    </row>
    <row r="812" ht="13.2" customHeight="1" s="405">
      <c r="A812" s="94" t="n"/>
      <c r="B812" s="94" t="n"/>
      <c r="C812" s="94" t="n"/>
      <c r="D812" s="94" t="n"/>
      <c r="E812" s="94" t="n"/>
      <c r="F812" s="367" t="n"/>
      <c r="G812" s="367" t="n"/>
      <c r="H812" s="94" t="n"/>
      <c r="I812" s="94" t="n"/>
      <c r="J812" s="94" t="n"/>
    </row>
    <row r="813" ht="13.2" customHeight="1" s="405">
      <c r="A813" s="94" t="n"/>
      <c r="B813" s="94" t="n"/>
      <c r="C813" s="94" t="n"/>
      <c r="D813" s="94" t="n"/>
      <c r="E813" s="94" t="n"/>
      <c r="F813" s="367" t="n"/>
      <c r="G813" s="367" t="n"/>
      <c r="H813" s="94" t="n"/>
      <c r="I813" s="94" t="n"/>
      <c r="J813" s="94" t="n"/>
    </row>
    <row r="814" ht="13.2" customHeight="1" s="405">
      <c r="A814" s="94" t="n"/>
      <c r="B814" s="94" t="n"/>
      <c r="C814" s="94" t="n"/>
      <c r="D814" s="94" t="n"/>
      <c r="E814" s="94" t="n"/>
      <c r="F814" s="367" t="n"/>
      <c r="G814" s="367" t="n"/>
      <c r="H814" s="94" t="n"/>
      <c r="I814" s="94" t="n"/>
      <c r="J814" s="94" t="n"/>
    </row>
    <row r="815" ht="13.2" customHeight="1" s="405">
      <c r="A815" s="94" t="n"/>
      <c r="B815" s="94" t="n"/>
      <c r="C815" s="94" t="n"/>
      <c r="D815" s="94" t="n"/>
      <c r="E815" s="94" t="n"/>
      <c r="F815" s="367" t="n"/>
      <c r="G815" s="367" t="n"/>
      <c r="H815" s="94" t="n"/>
      <c r="I815" s="94" t="n"/>
      <c r="J815" s="94" t="n"/>
    </row>
    <row r="816" ht="13.2" customHeight="1" s="405">
      <c r="A816" s="94" t="n"/>
      <c r="B816" s="94" t="n"/>
      <c r="C816" s="94" t="n"/>
      <c r="D816" s="94" t="n"/>
      <c r="E816" s="94" t="n"/>
      <c r="F816" s="367" t="n"/>
      <c r="G816" s="367" t="n"/>
      <c r="H816" s="94" t="n"/>
      <c r="I816" s="94" t="n"/>
      <c r="J816" s="94" t="n"/>
    </row>
    <row r="817" ht="13.2" customHeight="1" s="405">
      <c r="A817" s="94" t="n"/>
      <c r="B817" s="94" t="n"/>
      <c r="C817" s="94" t="n"/>
      <c r="D817" s="94" t="n"/>
      <c r="E817" s="94" t="n"/>
      <c r="F817" s="367" t="n"/>
      <c r="G817" s="367" t="n"/>
      <c r="H817" s="94" t="n"/>
      <c r="I817" s="94" t="n"/>
      <c r="J817" s="94" t="n"/>
    </row>
    <row r="818" ht="13.2" customHeight="1" s="405">
      <c r="A818" s="94" t="n"/>
      <c r="B818" s="94" t="n"/>
      <c r="C818" s="94" t="n"/>
      <c r="D818" s="94" t="n"/>
      <c r="E818" s="94" t="n"/>
      <c r="F818" s="367" t="n"/>
      <c r="G818" s="367" t="n"/>
      <c r="H818" s="94" t="n"/>
      <c r="I818" s="94" t="n"/>
      <c r="J818" s="94" t="n"/>
    </row>
    <row r="819" ht="13.2" customHeight="1" s="405">
      <c r="A819" s="94" t="n"/>
      <c r="B819" s="94" t="n"/>
      <c r="C819" s="94" t="n"/>
      <c r="D819" s="94" t="n"/>
      <c r="E819" s="94" t="n"/>
      <c r="F819" s="367" t="n"/>
      <c r="G819" s="367" t="n"/>
      <c r="H819" s="94" t="n"/>
      <c r="I819" s="94" t="n"/>
      <c r="J819" s="94" t="n"/>
    </row>
    <row r="820" ht="13.2" customHeight="1" s="405">
      <c r="A820" s="94" t="n"/>
      <c r="B820" s="94" t="n"/>
      <c r="C820" s="94" t="n"/>
      <c r="D820" s="94" t="n"/>
      <c r="E820" s="94" t="n"/>
      <c r="F820" s="367" t="n"/>
      <c r="G820" s="367" t="n"/>
      <c r="H820" s="94" t="n"/>
      <c r="I820" s="94" t="n"/>
      <c r="J820" s="94" t="n"/>
    </row>
    <row r="821" ht="13.2" customHeight="1" s="405">
      <c r="A821" s="94" t="n"/>
      <c r="B821" s="94" t="n"/>
      <c r="C821" s="94" t="n"/>
      <c r="D821" s="94" t="n"/>
      <c r="E821" s="94" t="n"/>
      <c r="F821" s="367" t="n"/>
      <c r="G821" s="367" t="n"/>
      <c r="H821" s="94" t="n"/>
      <c r="I821" s="94" t="n"/>
      <c r="J821" s="94" t="n"/>
    </row>
    <row r="822" ht="13.2" customHeight="1" s="405">
      <c r="A822" s="94" t="n"/>
      <c r="B822" s="94" t="n"/>
      <c r="C822" s="94" t="n"/>
      <c r="D822" s="94" t="n"/>
      <c r="E822" s="94" t="n"/>
      <c r="F822" s="367" t="n"/>
      <c r="G822" s="367" t="n"/>
      <c r="H822" s="94" t="n"/>
      <c r="I822" s="94" t="n"/>
      <c r="J822" s="94" t="n"/>
    </row>
    <row r="823" ht="13.2" customHeight="1" s="405">
      <c r="A823" s="94" t="n"/>
      <c r="B823" s="94" t="n"/>
      <c r="C823" s="94" t="n"/>
      <c r="D823" s="94" t="n"/>
      <c r="E823" s="94" t="n"/>
      <c r="F823" s="367" t="n"/>
      <c r="G823" s="367" t="n"/>
      <c r="H823" s="94" t="n"/>
      <c r="I823" s="94" t="n"/>
      <c r="J823" s="94" t="n"/>
    </row>
    <row r="824" ht="13.2" customHeight="1" s="405">
      <c r="A824" s="94" t="n"/>
      <c r="B824" s="94" t="n"/>
      <c r="C824" s="94" t="n"/>
      <c r="D824" s="94" t="n"/>
      <c r="E824" s="94" t="n"/>
      <c r="F824" s="367" t="n"/>
      <c r="G824" s="367" t="n"/>
      <c r="H824" s="94" t="n"/>
      <c r="I824" s="94" t="n"/>
      <c r="J824" s="94" t="n"/>
    </row>
    <row r="825" ht="13.2" customHeight="1" s="405">
      <c r="A825" s="94" t="n"/>
      <c r="B825" s="94" t="n"/>
      <c r="C825" s="94" t="n"/>
      <c r="D825" s="94" t="n"/>
      <c r="E825" s="94" t="n"/>
      <c r="F825" s="367" t="n"/>
      <c r="G825" s="367" t="n"/>
      <c r="H825" s="94" t="n"/>
      <c r="I825" s="94" t="n"/>
      <c r="J825" s="94" t="n"/>
    </row>
    <row r="826" ht="13.2" customHeight="1" s="405">
      <c r="A826" s="94" t="n"/>
      <c r="B826" s="94" t="n"/>
      <c r="C826" s="94" t="n"/>
      <c r="D826" s="94" t="n"/>
      <c r="E826" s="94" t="n"/>
      <c r="F826" s="367" t="n"/>
      <c r="G826" s="367" t="n"/>
      <c r="H826" s="94" t="n"/>
      <c r="I826" s="94" t="n"/>
      <c r="J826" s="94" t="n"/>
    </row>
    <row r="827" ht="13.2" customHeight="1" s="405">
      <c r="A827" s="94" t="n"/>
      <c r="B827" s="94" t="n"/>
      <c r="C827" s="94" t="n"/>
      <c r="D827" s="94" t="n"/>
      <c r="E827" s="94" t="n"/>
      <c r="F827" s="367" t="n"/>
      <c r="G827" s="367" t="n"/>
      <c r="H827" s="94" t="n"/>
      <c r="I827" s="94" t="n"/>
      <c r="J827" s="94" t="n"/>
    </row>
    <row r="828" ht="13.2" customHeight="1" s="405">
      <c r="A828" s="94" t="n"/>
      <c r="B828" s="94" t="n"/>
      <c r="C828" s="94" t="n"/>
      <c r="D828" s="94" t="n"/>
      <c r="E828" s="94" t="n"/>
      <c r="F828" s="367" t="n"/>
      <c r="G828" s="367" t="n"/>
      <c r="H828" s="94" t="n"/>
      <c r="I828" s="94" t="n"/>
      <c r="J828" s="94" t="n"/>
    </row>
    <row r="829" ht="13.2" customHeight="1" s="405">
      <c r="A829" s="94" t="n"/>
      <c r="B829" s="94" t="n"/>
      <c r="C829" s="94" t="n"/>
      <c r="D829" s="94" t="n"/>
      <c r="E829" s="94" t="n"/>
      <c r="F829" s="367" t="n"/>
      <c r="G829" s="367" t="n"/>
      <c r="H829" s="94" t="n"/>
      <c r="I829" s="94" t="n"/>
      <c r="J829" s="94" t="n"/>
    </row>
    <row r="830" ht="13.2" customHeight="1" s="405">
      <c r="A830" s="94" t="n"/>
      <c r="B830" s="94" t="n"/>
      <c r="C830" s="94" t="n"/>
      <c r="D830" s="94" t="n"/>
      <c r="E830" s="94" t="n"/>
      <c r="F830" s="367" t="n"/>
      <c r="G830" s="367" t="n"/>
      <c r="H830" s="94" t="n"/>
      <c r="I830" s="94" t="n"/>
      <c r="J830" s="94" t="n"/>
    </row>
    <row r="831" ht="13.2" customHeight="1" s="405">
      <c r="A831" s="94" t="n"/>
      <c r="B831" s="94" t="n"/>
      <c r="C831" s="94" t="n"/>
      <c r="D831" s="94" t="n"/>
      <c r="E831" s="94" t="n"/>
      <c r="F831" s="367" t="n"/>
      <c r="G831" s="367" t="n"/>
      <c r="H831" s="94" t="n"/>
      <c r="I831" s="94" t="n"/>
      <c r="J831" s="94" t="n"/>
    </row>
    <row r="832" ht="13.2" customHeight="1" s="405">
      <c r="A832" s="94" t="n"/>
      <c r="B832" s="94" t="n"/>
      <c r="C832" s="94" t="n"/>
      <c r="D832" s="94" t="n"/>
      <c r="E832" s="94" t="n"/>
      <c r="F832" s="367" t="n"/>
      <c r="G832" s="367" t="n"/>
      <c r="H832" s="94" t="n"/>
      <c r="I832" s="94" t="n"/>
      <c r="J832" s="94" t="n"/>
    </row>
    <row r="833" ht="13.2" customHeight="1" s="405">
      <c r="A833" s="94" t="n"/>
      <c r="B833" s="94" t="n"/>
      <c r="C833" s="94" t="n"/>
      <c r="D833" s="94" t="n"/>
      <c r="E833" s="94" t="n"/>
      <c r="F833" s="367" t="n"/>
      <c r="G833" s="367" t="n"/>
      <c r="H833" s="94" t="n"/>
      <c r="I833" s="94" t="n"/>
      <c r="J833" s="94" t="n"/>
    </row>
    <row r="834" ht="13.2" customHeight="1" s="405">
      <c r="A834" s="94" t="n"/>
      <c r="B834" s="94" t="n"/>
      <c r="C834" s="94" t="n"/>
      <c r="D834" s="94" t="n"/>
      <c r="E834" s="94" t="n"/>
      <c r="F834" s="367" t="n"/>
      <c r="G834" s="367" t="n"/>
      <c r="H834" s="94" t="n"/>
      <c r="I834" s="94" t="n"/>
      <c r="J834" s="94" t="n"/>
    </row>
    <row r="835" ht="13.2" customHeight="1" s="405">
      <c r="A835" s="94" t="n"/>
      <c r="B835" s="94" t="n"/>
      <c r="C835" s="94" t="n"/>
      <c r="D835" s="94" t="n"/>
      <c r="E835" s="94" t="n"/>
      <c r="F835" s="367" t="n"/>
      <c r="G835" s="367" t="n"/>
      <c r="H835" s="94" t="n"/>
      <c r="I835" s="94" t="n"/>
      <c r="J835" s="94" t="n"/>
    </row>
    <row r="836" ht="13.2" customHeight="1" s="405">
      <c r="A836" s="94" t="n"/>
      <c r="B836" s="94" t="n"/>
      <c r="C836" s="94" t="n"/>
      <c r="D836" s="94" t="n"/>
      <c r="E836" s="94" t="n"/>
      <c r="F836" s="367" t="n"/>
      <c r="G836" s="367" t="n"/>
      <c r="H836" s="94" t="n"/>
      <c r="I836" s="94" t="n"/>
      <c r="J836" s="94" t="n"/>
    </row>
    <row r="837" ht="13.2" customHeight="1" s="405">
      <c r="A837" s="94" t="n"/>
      <c r="B837" s="94" t="n"/>
      <c r="C837" s="94" t="n"/>
      <c r="D837" s="94" t="n"/>
      <c r="E837" s="94" t="n"/>
      <c r="F837" s="367" t="n"/>
      <c r="G837" s="367" t="n"/>
      <c r="H837" s="94" t="n"/>
      <c r="I837" s="94" t="n"/>
      <c r="J837" s="94" t="n"/>
    </row>
    <row r="838" ht="13.2" customHeight="1" s="405">
      <c r="A838" s="94" t="n"/>
      <c r="B838" s="94" t="n"/>
      <c r="C838" s="94" t="n"/>
      <c r="D838" s="94" t="n"/>
      <c r="E838" s="94" t="n"/>
      <c r="F838" s="367" t="n"/>
      <c r="G838" s="367" t="n"/>
      <c r="H838" s="94" t="n"/>
      <c r="I838" s="94" t="n"/>
      <c r="J838" s="94" t="n"/>
    </row>
    <row r="839" ht="13.2" customHeight="1" s="405">
      <c r="A839" s="94" t="n"/>
      <c r="B839" s="94" t="n"/>
      <c r="C839" s="94" t="n"/>
      <c r="D839" s="94" t="n"/>
      <c r="E839" s="94" t="n"/>
      <c r="F839" s="367" t="n"/>
      <c r="G839" s="367" t="n"/>
      <c r="H839" s="94" t="n"/>
      <c r="I839" s="94" t="n"/>
      <c r="J839" s="94" t="n"/>
    </row>
    <row r="840" ht="13.2" customHeight="1" s="405">
      <c r="A840" s="94" t="n"/>
      <c r="B840" s="94" t="n"/>
      <c r="C840" s="94" t="n"/>
      <c r="D840" s="94" t="n"/>
      <c r="E840" s="94" t="n"/>
      <c r="F840" s="367" t="n"/>
      <c r="G840" s="367" t="n"/>
      <c r="H840" s="94" t="n"/>
      <c r="I840" s="94" t="n"/>
      <c r="J840" s="94" t="n"/>
    </row>
    <row r="841" ht="13.2" customHeight="1" s="405">
      <c r="A841" s="94" t="n"/>
      <c r="B841" s="94" t="n"/>
      <c r="C841" s="94" t="n"/>
      <c r="D841" s="94" t="n"/>
      <c r="E841" s="94" t="n"/>
      <c r="F841" s="367" t="n"/>
      <c r="G841" s="367" t="n"/>
      <c r="H841" s="94" t="n"/>
      <c r="I841" s="94" t="n"/>
      <c r="J841" s="94" t="n"/>
    </row>
    <row r="842" ht="13.2" customHeight="1" s="405">
      <c r="A842" s="94" t="n"/>
      <c r="B842" s="94" t="n"/>
      <c r="C842" s="94" t="n"/>
      <c r="D842" s="94" t="n"/>
      <c r="E842" s="94" t="n"/>
      <c r="F842" s="367" t="n"/>
      <c r="G842" s="367" t="n"/>
      <c r="H842" s="94" t="n"/>
      <c r="I842" s="94" t="n"/>
      <c r="J842" s="94" t="n"/>
    </row>
    <row r="843" ht="13.2" customHeight="1" s="405">
      <c r="A843" s="94" t="n"/>
      <c r="B843" s="94" t="n"/>
      <c r="C843" s="94" t="n"/>
      <c r="D843" s="94" t="n"/>
      <c r="E843" s="94" t="n"/>
      <c r="F843" s="367" t="n"/>
      <c r="G843" s="367" t="n"/>
      <c r="H843" s="94" t="n"/>
      <c r="I843" s="94" t="n"/>
      <c r="J843" s="94" t="n"/>
    </row>
    <row r="844" ht="13.2" customHeight="1" s="405">
      <c r="A844" s="94" t="n"/>
      <c r="B844" s="94" t="n"/>
      <c r="C844" s="94" t="n"/>
      <c r="D844" s="94" t="n"/>
      <c r="E844" s="94" t="n"/>
      <c r="F844" s="367" t="n"/>
      <c r="G844" s="367" t="n"/>
      <c r="H844" s="94" t="n"/>
      <c r="I844" s="94" t="n"/>
      <c r="J844" s="94" t="n"/>
    </row>
    <row r="845" ht="13.2" customHeight="1" s="405">
      <c r="A845" s="94" t="n"/>
      <c r="B845" s="94" t="n"/>
      <c r="C845" s="94" t="n"/>
      <c r="D845" s="94" t="n"/>
      <c r="E845" s="94" t="n"/>
      <c r="F845" s="367" t="n"/>
      <c r="G845" s="367" t="n"/>
      <c r="H845" s="94" t="n"/>
      <c r="I845" s="94" t="n"/>
      <c r="J845" s="94" t="n"/>
    </row>
    <row r="846" ht="13.2" customHeight="1" s="405">
      <c r="A846" s="94" t="n"/>
      <c r="B846" s="94" t="n"/>
      <c r="C846" s="94" t="n"/>
      <c r="D846" s="94" t="n"/>
      <c r="E846" s="94" t="n"/>
      <c r="F846" s="367" t="n"/>
      <c r="G846" s="367" t="n"/>
      <c r="H846" s="94" t="n"/>
      <c r="I846" s="94" t="n"/>
      <c r="J846" s="94" t="n"/>
    </row>
    <row r="847" ht="13.2" customHeight="1" s="405">
      <c r="A847" s="94" t="n"/>
      <c r="B847" s="94" t="n"/>
      <c r="C847" s="94" t="n"/>
      <c r="D847" s="94" t="n"/>
      <c r="E847" s="94" t="n"/>
      <c r="F847" s="367" t="n"/>
      <c r="G847" s="367" t="n"/>
      <c r="H847" s="94" t="n"/>
      <c r="I847" s="94" t="n"/>
      <c r="J847" s="94" t="n"/>
    </row>
    <row r="848" ht="13.2" customHeight="1" s="405">
      <c r="A848" s="94" t="n"/>
      <c r="B848" s="94" t="n"/>
      <c r="C848" s="94" t="n"/>
      <c r="D848" s="94" t="n"/>
      <c r="E848" s="94" t="n"/>
      <c r="F848" s="367" t="n"/>
      <c r="G848" s="367" t="n"/>
      <c r="H848" s="94" t="n"/>
      <c r="I848" s="94" t="n"/>
      <c r="J848" s="94" t="n"/>
    </row>
    <row r="849" ht="13.2" customHeight="1" s="405">
      <c r="A849" s="94" t="n"/>
      <c r="B849" s="94" t="n"/>
      <c r="C849" s="94" t="n"/>
      <c r="D849" s="94" t="n"/>
      <c r="E849" s="94" t="n"/>
      <c r="F849" s="367" t="n"/>
      <c r="G849" s="367" t="n"/>
      <c r="H849" s="94" t="n"/>
      <c r="I849" s="94" t="n"/>
      <c r="J849" s="94" t="n"/>
    </row>
    <row r="850" ht="13.2" customHeight="1" s="405">
      <c r="A850" s="94" t="n"/>
      <c r="B850" s="94" t="n"/>
      <c r="C850" s="94" t="n"/>
      <c r="D850" s="94" t="n"/>
      <c r="E850" s="94" t="n"/>
      <c r="F850" s="367" t="n"/>
      <c r="G850" s="367" t="n"/>
      <c r="H850" s="94" t="n"/>
      <c r="I850" s="94" t="n"/>
      <c r="J850" s="94" t="n"/>
    </row>
    <row r="851" ht="13.2" customHeight="1" s="405">
      <c r="A851" s="94" t="n"/>
      <c r="B851" s="94" t="n"/>
      <c r="C851" s="94" t="n"/>
      <c r="D851" s="94" t="n"/>
      <c r="E851" s="94" t="n"/>
      <c r="F851" s="367" t="n"/>
      <c r="G851" s="367" t="n"/>
      <c r="H851" s="94" t="n"/>
      <c r="I851" s="94" t="n"/>
      <c r="J851" s="94" t="n"/>
    </row>
    <row r="852" ht="13.2" customHeight="1" s="405">
      <c r="A852" s="94" t="n"/>
      <c r="B852" s="94" t="n"/>
      <c r="C852" s="94" t="n"/>
      <c r="D852" s="94" t="n"/>
      <c r="E852" s="94" t="n"/>
      <c r="F852" s="367" t="n"/>
      <c r="G852" s="367" t="n"/>
      <c r="H852" s="94" t="n"/>
      <c r="I852" s="94" t="n"/>
      <c r="J852" s="94" t="n"/>
    </row>
    <row r="853" ht="13.2" customHeight="1" s="405">
      <c r="A853" s="94" t="n"/>
      <c r="B853" s="94" t="n"/>
      <c r="C853" s="94" t="n"/>
      <c r="D853" s="94" t="n"/>
      <c r="E853" s="94" t="n"/>
      <c r="F853" s="367" t="n"/>
      <c r="G853" s="367" t="n"/>
      <c r="H853" s="94" t="n"/>
      <c r="I853" s="94" t="n"/>
      <c r="J853" s="94" t="n"/>
    </row>
    <row r="854" ht="13.2" customHeight="1" s="405">
      <c r="A854" s="94" t="n"/>
      <c r="B854" s="94" t="n"/>
      <c r="C854" s="94" t="n"/>
      <c r="D854" s="94" t="n"/>
      <c r="E854" s="94" t="n"/>
      <c r="F854" s="367" t="n"/>
      <c r="G854" s="367" t="n"/>
      <c r="H854" s="94" t="n"/>
      <c r="I854" s="94" t="n"/>
      <c r="J854" s="94" t="n"/>
    </row>
    <row r="855" ht="13.2" customHeight="1" s="405">
      <c r="A855" s="94" t="n"/>
      <c r="B855" s="94" t="n"/>
      <c r="C855" s="94" t="n"/>
      <c r="D855" s="94" t="n"/>
      <c r="E855" s="94" t="n"/>
      <c r="F855" s="367" t="n"/>
      <c r="G855" s="367" t="n"/>
      <c r="H855" s="94" t="n"/>
      <c r="I855" s="94" t="n"/>
      <c r="J855" s="94" t="n"/>
    </row>
    <row r="856" ht="13.2" customHeight="1" s="405">
      <c r="A856" s="94" t="n"/>
      <c r="B856" s="94" t="n"/>
      <c r="C856" s="94" t="n"/>
      <c r="D856" s="94" t="n"/>
      <c r="E856" s="94" t="n"/>
      <c r="F856" s="367" t="n"/>
      <c r="G856" s="367" t="n"/>
      <c r="H856" s="94" t="n"/>
      <c r="I856" s="94" t="n"/>
      <c r="J856" s="94" t="n"/>
    </row>
    <row r="857" ht="13.2" customHeight="1" s="405">
      <c r="A857" s="94" t="n"/>
      <c r="B857" s="94" t="n"/>
      <c r="C857" s="94" t="n"/>
      <c r="D857" s="94" t="n"/>
      <c r="E857" s="94" t="n"/>
      <c r="F857" s="367" t="n"/>
      <c r="G857" s="367" t="n"/>
      <c r="H857" s="94" t="n"/>
      <c r="I857" s="94" t="n"/>
      <c r="J857" s="94" t="n"/>
    </row>
    <row r="858" ht="13.2" customHeight="1" s="405">
      <c r="A858" s="94" t="n"/>
      <c r="B858" s="94" t="n"/>
      <c r="C858" s="94" t="n"/>
      <c r="D858" s="94" t="n"/>
      <c r="E858" s="94" t="n"/>
      <c r="F858" s="367" t="n"/>
      <c r="G858" s="367" t="n"/>
      <c r="H858" s="94" t="n"/>
      <c r="I858" s="94" t="n"/>
      <c r="J858" s="94" t="n"/>
    </row>
    <row r="859" ht="13.2" customHeight="1" s="405">
      <c r="A859" s="94" t="n"/>
      <c r="B859" s="94" t="n"/>
      <c r="C859" s="94" t="n"/>
      <c r="D859" s="94" t="n"/>
      <c r="E859" s="94" t="n"/>
      <c r="F859" s="367" t="n"/>
      <c r="G859" s="367" t="n"/>
      <c r="H859" s="94" t="n"/>
      <c r="I859" s="94" t="n"/>
      <c r="J859" s="94" t="n"/>
    </row>
    <row r="860" ht="13.2" customHeight="1" s="405">
      <c r="A860" s="94" t="n"/>
      <c r="B860" s="94" t="n"/>
      <c r="C860" s="94" t="n"/>
      <c r="D860" s="94" t="n"/>
      <c r="E860" s="94" t="n"/>
      <c r="F860" s="367" t="n"/>
      <c r="G860" s="367" t="n"/>
      <c r="H860" s="94" t="n"/>
      <c r="I860" s="94" t="n"/>
      <c r="J860" s="94" t="n"/>
    </row>
    <row r="861" ht="13.2" customHeight="1" s="405">
      <c r="A861" s="94" t="n"/>
      <c r="B861" s="94" t="n"/>
      <c r="C861" s="94" t="n"/>
      <c r="D861" s="94" t="n"/>
      <c r="E861" s="94" t="n"/>
      <c r="F861" s="367" t="n"/>
      <c r="G861" s="367" t="n"/>
      <c r="H861" s="94" t="n"/>
      <c r="I861" s="94" t="n"/>
      <c r="J861" s="94" t="n"/>
    </row>
    <row r="862" ht="13.2" customHeight="1" s="405">
      <c r="A862" s="94" t="n"/>
      <c r="B862" s="94" t="n"/>
      <c r="C862" s="94" t="n"/>
      <c r="D862" s="94" t="n"/>
      <c r="E862" s="94" t="n"/>
      <c r="F862" s="367" t="n"/>
      <c r="G862" s="367" t="n"/>
      <c r="H862" s="94" t="n"/>
      <c r="I862" s="94" t="n"/>
      <c r="J862" s="94" t="n"/>
    </row>
    <row r="863" ht="13.2" customHeight="1" s="405">
      <c r="A863" s="94" t="n"/>
      <c r="B863" s="94" t="n"/>
      <c r="C863" s="94" t="n"/>
      <c r="D863" s="94" t="n"/>
      <c r="E863" s="94" t="n"/>
      <c r="F863" s="367" t="n"/>
      <c r="G863" s="367" t="n"/>
      <c r="H863" s="94" t="n"/>
      <c r="I863" s="94" t="n"/>
      <c r="J863" s="94" t="n"/>
    </row>
    <row r="864" ht="13.2" customHeight="1" s="405">
      <c r="A864" s="94" t="n"/>
      <c r="B864" s="94" t="n"/>
      <c r="C864" s="94" t="n"/>
      <c r="D864" s="94" t="n"/>
      <c r="E864" s="94" t="n"/>
      <c r="F864" s="367" t="n"/>
      <c r="G864" s="367" t="n"/>
      <c r="H864" s="94" t="n"/>
      <c r="I864" s="94" t="n"/>
      <c r="J864" s="94" t="n"/>
    </row>
    <row r="865" ht="13.2" customHeight="1" s="405">
      <c r="A865" s="94" t="n"/>
      <c r="B865" s="94" t="n"/>
      <c r="C865" s="94" t="n"/>
      <c r="D865" s="94" t="n"/>
      <c r="E865" s="94" t="n"/>
      <c r="F865" s="367" t="n"/>
      <c r="G865" s="367" t="n"/>
      <c r="H865" s="94" t="n"/>
      <c r="I865" s="94" t="n"/>
      <c r="J865" s="94" t="n"/>
    </row>
    <row r="866" ht="13.2" customHeight="1" s="405">
      <c r="A866" s="94" t="n"/>
      <c r="B866" s="94" t="n"/>
      <c r="C866" s="94" t="n"/>
      <c r="D866" s="94" t="n"/>
      <c r="E866" s="94" t="n"/>
      <c r="F866" s="367" t="n"/>
      <c r="G866" s="367" t="n"/>
      <c r="H866" s="94" t="n"/>
      <c r="I866" s="94" t="n"/>
      <c r="J866" s="94" t="n"/>
    </row>
    <row r="867" ht="13.2" customHeight="1" s="405">
      <c r="A867" s="94" t="n"/>
      <c r="B867" s="94" t="n"/>
      <c r="C867" s="94" t="n"/>
      <c r="D867" s="94" t="n"/>
      <c r="E867" s="94" t="n"/>
      <c r="F867" s="367" t="n"/>
      <c r="G867" s="367" t="n"/>
      <c r="H867" s="94" t="n"/>
      <c r="I867" s="94" t="n"/>
      <c r="J867" s="94" t="n"/>
    </row>
    <row r="868" ht="13.2" customHeight="1" s="405">
      <c r="A868" s="94" t="n"/>
      <c r="B868" s="94" t="n"/>
      <c r="C868" s="94" t="n"/>
      <c r="D868" s="94" t="n"/>
      <c r="E868" s="94" t="n"/>
      <c r="F868" s="367" t="n"/>
      <c r="G868" s="367" t="n"/>
      <c r="H868" s="94" t="n"/>
      <c r="I868" s="94" t="n"/>
      <c r="J868" s="94" t="n"/>
    </row>
    <row r="869" ht="13.2" customHeight="1" s="405">
      <c r="A869" s="94" t="n"/>
      <c r="B869" s="94" t="n"/>
      <c r="C869" s="94" t="n"/>
      <c r="D869" s="94" t="n"/>
      <c r="E869" s="94" t="n"/>
      <c r="F869" s="367" t="n"/>
      <c r="G869" s="367" t="n"/>
      <c r="H869" s="94" t="n"/>
      <c r="I869" s="94" t="n"/>
      <c r="J869" s="94" t="n"/>
    </row>
    <row r="870" ht="13.2" customHeight="1" s="405">
      <c r="A870" s="94" t="n"/>
      <c r="B870" s="94" t="n"/>
      <c r="C870" s="94" t="n"/>
      <c r="D870" s="94" t="n"/>
      <c r="E870" s="94" t="n"/>
      <c r="F870" s="367" t="n"/>
      <c r="G870" s="367" t="n"/>
      <c r="H870" s="94" t="n"/>
      <c r="I870" s="94" t="n"/>
      <c r="J870" s="94" t="n"/>
    </row>
    <row r="871" ht="13.2" customHeight="1" s="405">
      <c r="A871" s="94" t="n"/>
      <c r="B871" s="94" t="n"/>
      <c r="C871" s="94" t="n"/>
      <c r="D871" s="94" t="n"/>
      <c r="E871" s="94" t="n"/>
      <c r="F871" s="367" t="n"/>
      <c r="G871" s="367" t="n"/>
      <c r="H871" s="94" t="n"/>
      <c r="I871" s="94" t="n"/>
      <c r="J871" s="94" t="n"/>
    </row>
    <row r="872" ht="13.2" customHeight="1" s="405">
      <c r="A872" s="94" t="n"/>
      <c r="B872" s="94" t="n"/>
      <c r="C872" s="94" t="n"/>
      <c r="D872" s="94" t="n"/>
      <c r="E872" s="94" t="n"/>
      <c r="F872" s="367" t="n"/>
      <c r="G872" s="367" t="n"/>
      <c r="H872" s="94" t="n"/>
      <c r="I872" s="94" t="n"/>
      <c r="J872" s="94" t="n"/>
    </row>
    <row r="873" ht="13.2" customHeight="1" s="405">
      <c r="A873" s="94" t="n"/>
      <c r="B873" s="94" t="n"/>
      <c r="C873" s="94" t="n"/>
      <c r="D873" s="94" t="n"/>
      <c r="E873" s="94" t="n"/>
      <c r="F873" s="367" t="n"/>
      <c r="G873" s="367" t="n"/>
      <c r="H873" s="94" t="n"/>
      <c r="I873" s="94" t="n"/>
      <c r="J873" s="94" t="n"/>
    </row>
    <row r="874" ht="13.2" customHeight="1" s="405">
      <c r="A874" s="94" t="n"/>
      <c r="B874" s="94" t="n"/>
      <c r="C874" s="94" t="n"/>
      <c r="D874" s="94" t="n"/>
      <c r="E874" s="94" t="n"/>
      <c r="F874" s="367" t="n"/>
      <c r="G874" s="367" t="n"/>
      <c r="H874" s="94" t="n"/>
      <c r="I874" s="94" t="n"/>
      <c r="J874" s="94" t="n"/>
    </row>
    <row r="875" ht="13.2" customHeight="1" s="405">
      <c r="A875" s="94" t="n"/>
      <c r="B875" s="94" t="n"/>
      <c r="C875" s="94" t="n"/>
      <c r="D875" s="94" t="n"/>
      <c r="E875" s="94" t="n"/>
      <c r="F875" s="367" t="n"/>
      <c r="G875" s="367" t="n"/>
      <c r="H875" s="94" t="n"/>
      <c r="I875" s="94" t="n"/>
      <c r="J875" s="94" t="n"/>
    </row>
    <row r="876" ht="13.2" customHeight="1" s="405">
      <c r="A876" s="94" t="n"/>
      <c r="B876" s="94" t="n"/>
      <c r="C876" s="94" t="n"/>
      <c r="D876" s="94" t="n"/>
      <c r="E876" s="94" t="n"/>
      <c r="F876" s="367" t="n"/>
      <c r="G876" s="367" t="n"/>
      <c r="H876" s="94" t="n"/>
      <c r="I876" s="94" t="n"/>
      <c r="J876" s="94" t="n"/>
    </row>
    <row r="877" ht="13.2" customHeight="1" s="405">
      <c r="A877" s="94" t="n"/>
      <c r="B877" s="94" t="n"/>
      <c r="C877" s="94" t="n"/>
      <c r="D877" s="94" t="n"/>
      <c r="E877" s="94" t="n"/>
      <c r="F877" s="367" t="n"/>
      <c r="G877" s="367" t="n"/>
      <c r="H877" s="94" t="n"/>
      <c r="I877" s="94" t="n"/>
      <c r="J877" s="94" t="n"/>
    </row>
    <row r="878" ht="13.2" customHeight="1" s="405">
      <c r="A878" s="94" t="n"/>
      <c r="B878" s="94" t="n"/>
      <c r="C878" s="94" t="n"/>
      <c r="D878" s="94" t="n"/>
      <c r="E878" s="94" t="n"/>
      <c r="F878" s="367" t="n"/>
      <c r="G878" s="367" t="n"/>
      <c r="H878" s="94" t="n"/>
      <c r="I878" s="94" t="n"/>
      <c r="J878" s="94" t="n"/>
    </row>
    <row r="879" ht="13.2" customHeight="1" s="405">
      <c r="A879" s="94" t="n"/>
      <c r="B879" s="94" t="n"/>
      <c r="C879" s="94" t="n"/>
      <c r="D879" s="94" t="n"/>
      <c r="E879" s="94" t="n"/>
      <c r="F879" s="367" t="n"/>
      <c r="G879" s="367" t="n"/>
      <c r="H879" s="94" t="n"/>
      <c r="I879" s="94" t="n"/>
      <c r="J879" s="94" t="n"/>
    </row>
    <row r="880" ht="13.2" customHeight="1" s="405">
      <c r="A880" s="94" t="n"/>
      <c r="B880" s="94" t="n"/>
      <c r="C880" s="94" t="n"/>
      <c r="D880" s="94" t="n"/>
      <c r="E880" s="94" t="n"/>
      <c r="F880" s="367" t="n"/>
      <c r="G880" s="367" t="n"/>
      <c r="H880" s="94" t="n"/>
      <c r="I880" s="94" t="n"/>
      <c r="J880" s="94" t="n"/>
    </row>
    <row r="881" ht="13.2" customHeight="1" s="405">
      <c r="A881" s="94" t="n"/>
      <c r="B881" s="94" t="n"/>
      <c r="C881" s="94" t="n"/>
      <c r="D881" s="94" t="n"/>
      <c r="E881" s="94" t="n"/>
      <c r="F881" s="367" t="n"/>
      <c r="G881" s="367" t="n"/>
      <c r="H881" s="94" t="n"/>
      <c r="I881" s="94" t="n"/>
      <c r="J881" s="94" t="n"/>
    </row>
    <row r="882" ht="13.2" customHeight="1" s="405">
      <c r="A882" s="94" t="n"/>
      <c r="B882" s="94" t="n"/>
      <c r="C882" s="94" t="n"/>
      <c r="D882" s="94" t="n"/>
      <c r="E882" s="94" t="n"/>
      <c r="F882" s="367" t="n"/>
      <c r="G882" s="367" t="n"/>
      <c r="H882" s="94" t="n"/>
      <c r="I882" s="94" t="n"/>
      <c r="J882" s="94" t="n"/>
    </row>
    <row r="883" ht="13.2" customHeight="1" s="405">
      <c r="A883" s="94" t="n"/>
      <c r="B883" s="94" t="n"/>
      <c r="C883" s="94" t="n"/>
      <c r="D883" s="94" t="n"/>
      <c r="E883" s="94" t="n"/>
      <c r="F883" s="367" t="n"/>
      <c r="G883" s="367" t="n"/>
      <c r="H883" s="94" t="n"/>
      <c r="I883" s="94" t="n"/>
      <c r="J883" s="94" t="n"/>
    </row>
    <row r="884" ht="13.2" customHeight="1" s="405">
      <c r="A884" s="94" t="n"/>
      <c r="B884" s="94" t="n"/>
      <c r="C884" s="94" t="n"/>
      <c r="D884" s="94" t="n"/>
      <c r="E884" s="94" t="n"/>
      <c r="F884" s="367" t="n"/>
      <c r="G884" s="367" t="n"/>
      <c r="H884" s="94" t="n"/>
      <c r="I884" s="94" t="n"/>
      <c r="J884" s="94" t="n"/>
    </row>
    <row r="885" ht="13.2" customHeight="1" s="405">
      <c r="A885" s="94" t="n"/>
      <c r="B885" s="94" t="n"/>
      <c r="C885" s="94" t="n"/>
      <c r="D885" s="94" t="n"/>
      <c r="E885" s="94" t="n"/>
      <c r="F885" s="367" t="n"/>
      <c r="G885" s="367" t="n"/>
      <c r="H885" s="94" t="n"/>
      <c r="I885" s="94" t="n"/>
      <c r="J885" s="94" t="n"/>
    </row>
    <row r="886" ht="13.2" customHeight="1" s="405">
      <c r="A886" s="94" t="n"/>
      <c r="B886" s="94" t="n"/>
      <c r="C886" s="94" t="n"/>
      <c r="D886" s="94" t="n"/>
      <c r="E886" s="94" t="n"/>
      <c r="F886" s="367" t="n"/>
      <c r="G886" s="367" t="n"/>
      <c r="H886" s="94" t="n"/>
      <c r="I886" s="94" t="n"/>
      <c r="J886" s="94" t="n"/>
    </row>
    <row r="887" ht="13.2" customHeight="1" s="405">
      <c r="A887" s="94" t="n"/>
      <c r="B887" s="94" t="n"/>
      <c r="C887" s="94" t="n"/>
      <c r="D887" s="94" t="n"/>
      <c r="E887" s="94" t="n"/>
      <c r="F887" s="367" t="n"/>
      <c r="G887" s="367" t="n"/>
      <c r="H887" s="94" t="n"/>
      <c r="I887" s="94" t="n"/>
      <c r="J887" s="94" t="n"/>
    </row>
    <row r="888" ht="13.2" customHeight="1" s="405">
      <c r="A888" s="94" t="n"/>
      <c r="B888" s="94" t="n"/>
      <c r="C888" s="94" t="n"/>
      <c r="D888" s="94" t="n"/>
      <c r="E888" s="94" t="n"/>
      <c r="F888" s="367" t="n"/>
      <c r="G888" s="367" t="n"/>
      <c r="H888" s="94" t="n"/>
      <c r="I888" s="94" t="n"/>
      <c r="J888" s="94" t="n"/>
    </row>
    <row r="889" ht="13.2" customHeight="1" s="405">
      <c r="A889" s="94" t="n"/>
      <c r="B889" s="94" t="n"/>
      <c r="C889" s="94" t="n"/>
      <c r="D889" s="94" t="n"/>
      <c r="E889" s="94" t="n"/>
      <c r="F889" s="367" t="n"/>
      <c r="G889" s="367" t="n"/>
      <c r="H889" s="94" t="n"/>
      <c r="I889" s="94" t="n"/>
      <c r="J889" s="94" t="n"/>
    </row>
    <row r="890" ht="13.2" customHeight="1" s="405">
      <c r="A890" s="94" t="n"/>
      <c r="B890" s="94" t="n"/>
      <c r="C890" s="94" t="n"/>
      <c r="D890" s="94" t="n"/>
      <c r="E890" s="94" t="n"/>
      <c r="F890" s="367" t="n"/>
      <c r="G890" s="367" t="n"/>
      <c r="H890" s="94" t="n"/>
      <c r="I890" s="94" t="n"/>
      <c r="J890" s="94" t="n"/>
    </row>
    <row r="891" ht="13.2" customHeight="1" s="405">
      <c r="A891" s="94" t="n"/>
      <c r="B891" s="94" t="n"/>
      <c r="C891" s="94" t="n"/>
      <c r="D891" s="94" t="n"/>
      <c r="E891" s="94" t="n"/>
      <c r="F891" s="367" t="n"/>
      <c r="G891" s="367" t="n"/>
      <c r="H891" s="94" t="n"/>
      <c r="I891" s="94" t="n"/>
      <c r="J891" s="94" t="n"/>
    </row>
    <row r="892" ht="13.2" customHeight="1" s="405">
      <c r="A892" s="94" t="n"/>
      <c r="B892" s="94" t="n"/>
      <c r="C892" s="94" t="n"/>
      <c r="D892" s="94" t="n"/>
      <c r="E892" s="94" t="n"/>
      <c r="F892" s="367" t="n"/>
      <c r="G892" s="367" t="n"/>
      <c r="H892" s="94" t="n"/>
      <c r="I892" s="94" t="n"/>
      <c r="J892" s="94" t="n"/>
    </row>
    <row r="893" ht="13.2" customHeight="1" s="405">
      <c r="A893" s="94" t="n"/>
      <c r="B893" s="94" t="n"/>
      <c r="C893" s="94" t="n"/>
      <c r="D893" s="94" t="n"/>
      <c r="E893" s="94" t="n"/>
      <c r="F893" s="367" t="n"/>
      <c r="G893" s="367" t="n"/>
      <c r="H893" s="94" t="n"/>
      <c r="I893" s="94" t="n"/>
      <c r="J893" s="94" t="n"/>
    </row>
    <row r="894" ht="13.2" customHeight="1" s="405">
      <c r="A894" s="94" t="n"/>
      <c r="B894" s="94" t="n"/>
      <c r="C894" s="94" t="n"/>
      <c r="D894" s="94" t="n"/>
      <c r="E894" s="94" t="n"/>
      <c r="F894" s="367" t="n"/>
      <c r="G894" s="367" t="n"/>
      <c r="H894" s="94" t="n"/>
      <c r="I894" s="94" t="n"/>
      <c r="J894" s="94" t="n"/>
    </row>
    <row r="895" ht="13.2" customHeight="1" s="405">
      <c r="A895" s="94" t="n"/>
      <c r="B895" s="94" t="n"/>
      <c r="C895" s="94" t="n"/>
      <c r="D895" s="94" t="n"/>
      <c r="E895" s="94" t="n"/>
      <c r="F895" s="367" t="n"/>
      <c r="G895" s="367" t="n"/>
      <c r="H895" s="94" t="n"/>
      <c r="I895" s="94" t="n"/>
      <c r="J895" s="94" t="n"/>
    </row>
    <row r="896" ht="13.2" customHeight="1" s="405">
      <c r="A896" s="94" t="n"/>
      <c r="B896" s="94" t="n"/>
      <c r="C896" s="94" t="n"/>
      <c r="D896" s="94" t="n"/>
      <c r="E896" s="94" t="n"/>
      <c r="F896" s="367" t="n"/>
      <c r="G896" s="367" t="n"/>
      <c r="H896" s="94" t="n"/>
      <c r="I896" s="94" t="n"/>
      <c r="J896" s="94" t="n"/>
    </row>
    <row r="897" ht="13.2" customHeight="1" s="405">
      <c r="A897" s="94" t="n"/>
      <c r="B897" s="94" t="n"/>
      <c r="C897" s="94" t="n"/>
      <c r="D897" s="94" t="n"/>
      <c r="E897" s="94" t="n"/>
      <c r="F897" s="367" t="n"/>
      <c r="G897" s="367" t="n"/>
      <c r="H897" s="94" t="n"/>
      <c r="I897" s="94" t="n"/>
      <c r="J897" s="94" t="n"/>
    </row>
    <row r="898" ht="13.2" customHeight="1" s="405">
      <c r="A898" s="94" t="n"/>
      <c r="B898" s="94" t="n"/>
      <c r="C898" s="94" t="n"/>
      <c r="D898" s="94" t="n"/>
      <c r="E898" s="94" t="n"/>
      <c r="F898" s="367" t="n"/>
      <c r="G898" s="367" t="n"/>
      <c r="H898" s="94" t="n"/>
      <c r="I898" s="94" t="n"/>
      <c r="J898" s="94" t="n"/>
    </row>
    <row r="899" ht="13.2" customHeight="1" s="405">
      <c r="A899" s="94" t="n"/>
      <c r="B899" s="94" t="n"/>
      <c r="C899" s="94" t="n"/>
      <c r="D899" s="94" t="n"/>
      <c r="E899" s="94" t="n"/>
      <c r="F899" s="367" t="n"/>
      <c r="G899" s="367" t="n"/>
      <c r="H899" s="94" t="n"/>
      <c r="I899" s="94" t="n"/>
      <c r="J899" s="94" t="n"/>
    </row>
    <row r="900" ht="13.2" customHeight="1" s="405">
      <c r="A900" s="94" t="n"/>
      <c r="B900" s="94" t="n"/>
      <c r="C900" s="94" t="n"/>
      <c r="D900" s="94" t="n"/>
      <c r="E900" s="94" t="n"/>
      <c r="F900" s="367" t="n"/>
      <c r="G900" s="367" t="n"/>
      <c r="H900" s="94" t="n"/>
      <c r="I900" s="94" t="n"/>
      <c r="J900" s="94" t="n"/>
    </row>
    <row r="901" ht="13.2" customHeight="1" s="405">
      <c r="A901" s="94" t="n"/>
      <c r="B901" s="94" t="n"/>
      <c r="C901" s="94" t="n"/>
      <c r="D901" s="94" t="n"/>
      <c r="E901" s="94" t="n"/>
      <c r="F901" s="367" t="n"/>
      <c r="G901" s="367" t="n"/>
      <c r="H901" s="94" t="n"/>
      <c r="I901" s="94" t="n"/>
      <c r="J901" s="94" t="n"/>
    </row>
    <row r="902" ht="13.2" customHeight="1" s="405">
      <c r="A902" s="94" t="n"/>
      <c r="B902" s="94" t="n"/>
      <c r="C902" s="94" t="n"/>
      <c r="D902" s="94" t="n"/>
      <c r="E902" s="94" t="n"/>
      <c r="F902" s="367" t="n"/>
      <c r="G902" s="367" t="n"/>
      <c r="H902" s="94" t="n"/>
      <c r="I902" s="94" t="n"/>
      <c r="J902" s="94" t="n"/>
    </row>
    <row r="903" ht="13.2" customHeight="1" s="405">
      <c r="A903" s="94" t="n"/>
      <c r="B903" s="94" t="n"/>
      <c r="C903" s="94" t="n"/>
      <c r="D903" s="94" t="n"/>
      <c r="E903" s="94" t="n"/>
      <c r="F903" s="367" t="n"/>
      <c r="G903" s="367" t="n"/>
      <c r="H903" s="94" t="n"/>
      <c r="I903" s="94" t="n"/>
      <c r="J903" s="94" t="n"/>
    </row>
    <row r="904" ht="13.2" customHeight="1" s="405">
      <c r="A904" s="94" t="n"/>
      <c r="B904" s="94" t="n"/>
      <c r="C904" s="94" t="n"/>
      <c r="D904" s="94" t="n"/>
      <c r="E904" s="94" t="n"/>
      <c r="F904" s="367" t="n"/>
      <c r="G904" s="367" t="n"/>
      <c r="H904" s="94" t="n"/>
      <c r="I904" s="94" t="n"/>
      <c r="J904" s="94" t="n"/>
    </row>
    <row r="905" ht="13.2" customHeight="1" s="405">
      <c r="A905" s="94" t="n"/>
      <c r="B905" s="94" t="n"/>
      <c r="C905" s="94" t="n"/>
      <c r="D905" s="94" t="n"/>
      <c r="E905" s="94" t="n"/>
      <c r="F905" s="367" t="n"/>
      <c r="G905" s="367" t="n"/>
      <c r="H905" s="94" t="n"/>
      <c r="I905" s="94" t="n"/>
      <c r="J905" s="94" t="n"/>
    </row>
    <row r="906" ht="13.2" customHeight="1" s="405">
      <c r="A906" s="94" t="n"/>
      <c r="B906" s="94" t="n"/>
      <c r="C906" s="94" t="n"/>
      <c r="D906" s="94" t="n"/>
      <c r="E906" s="94" t="n"/>
      <c r="F906" s="367" t="n"/>
      <c r="G906" s="367" t="n"/>
      <c r="H906" s="94" t="n"/>
      <c r="I906" s="94" t="n"/>
      <c r="J906" s="94" t="n"/>
    </row>
    <row r="907" ht="13.2" customHeight="1" s="405">
      <c r="A907" s="94" t="n"/>
      <c r="B907" s="94" t="n"/>
      <c r="C907" s="94" t="n"/>
      <c r="D907" s="94" t="n"/>
      <c r="E907" s="94" t="n"/>
      <c r="F907" s="367" t="n"/>
      <c r="G907" s="367" t="n"/>
      <c r="H907" s="94" t="n"/>
      <c r="I907" s="94" t="n"/>
      <c r="J907" s="94" t="n"/>
    </row>
    <row r="908" ht="13.2" customHeight="1" s="405">
      <c r="A908" s="94" t="n"/>
      <c r="B908" s="94" t="n"/>
      <c r="C908" s="94" t="n"/>
      <c r="D908" s="94" t="n"/>
      <c r="E908" s="94" t="n"/>
      <c r="F908" s="367" t="n"/>
      <c r="G908" s="367" t="n"/>
      <c r="H908" s="94" t="n"/>
      <c r="I908" s="94" t="n"/>
      <c r="J908" s="94" t="n"/>
    </row>
    <row r="909" ht="13.2" customHeight="1" s="405">
      <c r="A909" s="94" t="n"/>
      <c r="B909" s="94" t="n"/>
      <c r="C909" s="94" t="n"/>
      <c r="D909" s="94" t="n"/>
      <c r="E909" s="94" t="n"/>
      <c r="F909" s="367" t="n"/>
      <c r="G909" s="367" t="n"/>
      <c r="H909" s="94" t="n"/>
      <c r="I909" s="94" t="n"/>
      <c r="J909" s="94" t="n"/>
    </row>
    <row r="910" ht="13.2" customHeight="1" s="405">
      <c r="A910" s="94" t="n"/>
      <c r="B910" s="94" t="n"/>
      <c r="C910" s="94" t="n"/>
      <c r="D910" s="94" t="n"/>
      <c r="E910" s="94" t="n"/>
      <c r="F910" s="367" t="n"/>
      <c r="G910" s="367" t="n"/>
      <c r="H910" s="94" t="n"/>
      <c r="I910" s="94" t="n"/>
      <c r="J910" s="94" t="n"/>
    </row>
    <row r="911" ht="13.2" customHeight="1" s="405">
      <c r="A911" s="94" t="n"/>
      <c r="B911" s="94" t="n"/>
      <c r="C911" s="94" t="n"/>
      <c r="D911" s="94" t="n"/>
      <c r="E911" s="94" t="n"/>
      <c r="F911" s="367" t="n"/>
      <c r="G911" s="367" t="n"/>
      <c r="H911" s="94" t="n"/>
      <c r="I911" s="94" t="n"/>
      <c r="J911" s="94" t="n"/>
    </row>
    <row r="912" ht="13.2" customHeight="1" s="405">
      <c r="A912" s="94" t="n"/>
      <c r="B912" s="94" t="n"/>
      <c r="C912" s="94" t="n"/>
      <c r="D912" s="94" t="n"/>
      <c r="E912" s="94" t="n"/>
      <c r="F912" s="367" t="n"/>
      <c r="G912" s="367" t="n"/>
      <c r="H912" s="94" t="n"/>
      <c r="I912" s="94" t="n"/>
      <c r="J912" s="94" t="n"/>
    </row>
    <row r="913" ht="13.2" customHeight="1" s="405">
      <c r="A913" s="94" t="n"/>
      <c r="B913" s="94" t="n"/>
      <c r="C913" s="94" t="n"/>
      <c r="D913" s="94" t="n"/>
      <c r="E913" s="94" t="n"/>
      <c r="F913" s="367" t="n"/>
      <c r="G913" s="367" t="n"/>
      <c r="H913" s="94" t="n"/>
      <c r="I913" s="94" t="n"/>
      <c r="J913" s="94" t="n"/>
    </row>
    <row r="914" ht="13.2" customHeight="1" s="405">
      <c r="A914" s="94" t="n"/>
      <c r="B914" s="94" t="n"/>
      <c r="C914" s="94" t="n"/>
      <c r="D914" s="94" t="n"/>
      <c r="E914" s="94" t="n"/>
      <c r="F914" s="367" t="n"/>
      <c r="G914" s="367" t="n"/>
      <c r="H914" s="94" t="n"/>
      <c r="I914" s="94" t="n"/>
      <c r="J914" s="94" t="n"/>
    </row>
    <row r="915" ht="13.2" customHeight="1" s="405">
      <c r="A915" s="94" t="n"/>
      <c r="B915" s="94" t="n"/>
      <c r="C915" s="94" t="n"/>
      <c r="D915" s="94" t="n"/>
      <c r="E915" s="94" t="n"/>
      <c r="F915" s="367" t="n"/>
      <c r="G915" s="367" t="n"/>
      <c r="H915" s="94" t="n"/>
      <c r="I915" s="94" t="n"/>
      <c r="J915" s="94" t="n"/>
    </row>
    <row r="916" ht="13.2" customHeight="1" s="405">
      <c r="A916" s="94" t="n"/>
      <c r="B916" s="94" t="n"/>
      <c r="C916" s="94" t="n"/>
      <c r="D916" s="94" t="n"/>
      <c r="E916" s="94" t="n"/>
      <c r="F916" s="367" t="n"/>
      <c r="G916" s="367" t="n"/>
      <c r="H916" s="94" t="n"/>
      <c r="I916" s="94" t="n"/>
      <c r="J916" s="94" t="n"/>
    </row>
    <row r="917" ht="13.2" customHeight="1" s="405">
      <c r="A917" s="94" t="n"/>
      <c r="B917" s="94" t="n"/>
      <c r="C917" s="94" t="n"/>
      <c r="D917" s="94" t="n"/>
      <c r="E917" s="94" t="n"/>
      <c r="F917" s="367" t="n"/>
      <c r="G917" s="367" t="n"/>
      <c r="H917" s="94" t="n"/>
      <c r="I917" s="94" t="n"/>
      <c r="J917" s="94" t="n"/>
    </row>
    <row r="918" ht="13.2" customHeight="1" s="405">
      <c r="A918" s="94" t="n"/>
      <c r="B918" s="94" t="n"/>
      <c r="C918" s="94" t="n"/>
      <c r="D918" s="94" t="n"/>
      <c r="E918" s="94" t="n"/>
      <c r="F918" s="367" t="n"/>
      <c r="G918" s="367" t="n"/>
      <c r="H918" s="94" t="n"/>
      <c r="I918" s="94" t="n"/>
      <c r="J918" s="94" t="n"/>
    </row>
    <row r="919" ht="13.2" customHeight="1" s="405">
      <c r="A919" s="94" t="n"/>
      <c r="B919" s="94" t="n"/>
      <c r="C919" s="94" t="n"/>
      <c r="D919" s="94" t="n"/>
      <c r="E919" s="94" t="n"/>
      <c r="F919" s="367" t="n"/>
      <c r="G919" s="367" t="n"/>
      <c r="H919" s="94" t="n"/>
      <c r="I919" s="94" t="n"/>
      <c r="J919" s="94" t="n"/>
    </row>
    <row r="920" ht="13.2" customHeight="1" s="405">
      <c r="A920" s="94" t="n"/>
      <c r="B920" s="94" t="n"/>
      <c r="C920" s="94" t="n"/>
      <c r="D920" s="94" t="n"/>
      <c r="E920" s="94" t="n"/>
      <c r="F920" s="367" t="n"/>
      <c r="G920" s="367" t="n"/>
      <c r="H920" s="94" t="n"/>
      <c r="I920" s="94" t="n"/>
      <c r="J920" s="94" t="n"/>
    </row>
    <row r="921" ht="13.2" customHeight="1" s="405">
      <c r="A921" s="94" t="n"/>
      <c r="B921" s="94" t="n"/>
      <c r="C921" s="94" t="n"/>
      <c r="D921" s="94" t="n"/>
      <c r="E921" s="94" t="n"/>
      <c r="F921" s="367" t="n"/>
      <c r="G921" s="367" t="n"/>
      <c r="H921" s="94" t="n"/>
      <c r="I921" s="94" t="n"/>
      <c r="J921" s="94" t="n"/>
    </row>
    <row r="922" ht="13.2" customHeight="1" s="405">
      <c r="A922" s="94" t="n"/>
      <c r="B922" s="94" t="n"/>
      <c r="C922" s="94" t="n"/>
      <c r="D922" s="94" t="n"/>
      <c r="E922" s="94" t="n"/>
      <c r="F922" s="367" t="n"/>
      <c r="G922" s="367" t="n"/>
      <c r="H922" s="94" t="n"/>
      <c r="I922" s="94" t="n"/>
      <c r="J922" s="94" t="n"/>
    </row>
    <row r="923" ht="13.2" customHeight="1" s="405">
      <c r="A923" s="94" t="n"/>
      <c r="B923" s="94" t="n"/>
      <c r="C923" s="94" t="n"/>
      <c r="D923" s="94" t="n"/>
      <c r="E923" s="94" t="n"/>
      <c r="F923" s="367" t="n"/>
      <c r="G923" s="367" t="n"/>
      <c r="H923" s="94" t="n"/>
      <c r="I923" s="94" t="n"/>
      <c r="J923" s="94" t="n"/>
    </row>
    <row r="924" ht="13.2" customHeight="1" s="405">
      <c r="A924" s="94" t="n"/>
      <c r="B924" s="94" t="n"/>
      <c r="C924" s="94" t="n"/>
      <c r="D924" s="94" t="n"/>
      <c r="E924" s="94" t="n"/>
      <c r="F924" s="367" t="n"/>
      <c r="G924" s="367" t="n"/>
      <c r="H924" s="94" t="n"/>
      <c r="I924" s="94" t="n"/>
      <c r="J924" s="94" t="n"/>
    </row>
    <row r="925" ht="13.2" customHeight="1" s="405">
      <c r="A925" s="94" t="n"/>
      <c r="B925" s="94" t="n"/>
      <c r="C925" s="94" t="n"/>
      <c r="D925" s="94" t="n"/>
      <c r="E925" s="94" t="n"/>
      <c r="F925" s="367" t="n"/>
      <c r="G925" s="367" t="n"/>
      <c r="H925" s="94" t="n"/>
      <c r="I925" s="94" t="n"/>
      <c r="J925" s="94" t="n"/>
    </row>
    <row r="926" ht="13.2" customHeight="1" s="405">
      <c r="A926" s="94" t="n"/>
      <c r="B926" s="94" t="n"/>
      <c r="C926" s="94" t="n"/>
      <c r="D926" s="94" t="n"/>
      <c r="E926" s="94" t="n"/>
      <c r="F926" s="367" t="n"/>
      <c r="G926" s="367" t="n"/>
      <c r="H926" s="94" t="n"/>
      <c r="I926" s="94" t="n"/>
      <c r="J926" s="94" t="n"/>
    </row>
    <row r="927" ht="13.2" customHeight="1" s="405">
      <c r="A927" s="94" t="n"/>
      <c r="B927" s="94" t="n"/>
      <c r="C927" s="94" t="n"/>
      <c r="D927" s="94" t="n"/>
      <c r="E927" s="94" t="n"/>
      <c r="F927" s="367" t="n"/>
      <c r="G927" s="367" t="n"/>
      <c r="H927" s="94" t="n"/>
      <c r="I927" s="94" t="n"/>
      <c r="J927" s="94" t="n"/>
    </row>
    <row r="928" ht="13.2" customHeight="1" s="405">
      <c r="A928" s="94" t="n"/>
      <c r="B928" s="94" t="n"/>
      <c r="C928" s="94" t="n"/>
      <c r="D928" s="94" t="n"/>
      <c r="E928" s="94" t="n"/>
      <c r="F928" s="367" t="n"/>
      <c r="G928" s="367" t="n"/>
      <c r="H928" s="94" t="n"/>
      <c r="I928" s="94" t="n"/>
      <c r="J928" s="94" t="n"/>
    </row>
    <row r="929" ht="13.2" customHeight="1" s="405">
      <c r="A929" s="94" t="n"/>
      <c r="B929" s="94" t="n"/>
      <c r="C929" s="94" t="n"/>
      <c r="D929" s="94" t="n"/>
      <c r="E929" s="94" t="n"/>
      <c r="F929" s="367" t="n"/>
      <c r="G929" s="367" t="n"/>
      <c r="H929" s="94" t="n"/>
      <c r="I929" s="94" t="n"/>
      <c r="J929" s="94" t="n"/>
    </row>
    <row r="930" ht="13.2" customHeight="1" s="405">
      <c r="A930" s="94" t="n"/>
      <c r="B930" s="94" t="n"/>
      <c r="C930" s="94" t="n"/>
      <c r="D930" s="94" t="n"/>
      <c r="E930" s="94" t="n"/>
      <c r="F930" s="367" t="n"/>
      <c r="G930" s="367" t="n"/>
      <c r="H930" s="94" t="n"/>
      <c r="I930" s="94" t="n"/>
      <c r="J930" s="94" t="n"/>
    </row>
    <row r="931" ht="13.2" customHeight="1" s="405">
      <c r="A931" s="94" t="n"/>
      <c r="B931" s="94" t="n"/>
      <c r="C931" s="94" t="n"/>
      <c r="D931" s="94" t="n"/>
      <c r="E931" s="94" t="n"/>
      <c r="F931" s="367" t="n"/>
      <c r="G931" s="367" t="n"/>
      <c r="H931" s="94" t="n"/>
      <c r="I931" s="94" t="n"/>
      <c r="J931" s="94" t="n"/>
    </row>
    <row r="932" ht="13.2" customHeight="1" s="405">
      <c r="A932" s="94" t="n"/>
      <c r="B932" s="94" t="n"/>
      <c r="C932" s="94" t="n"/>
      <c r="D932" s="94" t="n"/>
      <c r="E932" s="94" t="n"/>
      <c r="F932" s="367" t="n"/>
      <c r="G932" s="367" t="n"/>
      <c r="H932" s="94" t="n"/>
      <c r="I932" s="94" t="n"/>
      <c r="J932" s="94" t="n"/>
    </row>
    <row r="933" ht="13.2" customHeight="1" s="405">
      <c r="A933" s="94" t="n"/>
      <c r="B933" s="94" t="n"/>
      <c r="C933" s="94" t="n"/>
      <c r="D933" s="94" t="n"/>
      <c r="E933" s="94" t="n"/>
      <c r="F933" s="367" t="n"/>
      <c r="G933" s="367" t="n"/>
      <c r="H933" s="94" t="n"/>
      <c r="I933" s="94" t="n"/>
      <c r="J933" s="94" t="n"/>
    </row>
    <row r="934" ht="13.2" customHeight="1" s="405">
      <c r="A934" s="94" t="n"/>
      <c r="B934" s="94" t="n"/>
      <c r="C934" s="94" t="n"/>
      <c r="D934" s="94" t="n"/>
      <c r="E934" s="94" t="n"/>
      <c r="F934" s="367" t="n"/>
      <c r="G934" s="367" t="n"/>
      <c r="H934" s="94" t="n"/>
      <c r="I934" s="94" t="n"/>
      <c r="J934" s="94" t="n"/>
    </row>
    <row r="935" ht="13.2" customHeight="1" s="405">
      <c r="A935" s="94" t="n"/>
      <c r="B935" s="94" t="n"/>
      <c r="C935" s="94" t="n"/>
      <c r="D935" s="94" t="n"/>
      <c r="E935" s="94" t="n"/>
      <c r="F935" s="367" t="n"/>
      <c r="G935" s="367" t="n"/>
      <c r="H935" s="94" t="n"/>
      <c r="I935" s="94" t="n"/>
      <c r="J935" s="94" t="n"/>
    </row>
    <row r="936" ht="13.2" customHeight="1" s="405">
      <c r="A936" s="94" t="n"/>
      <c r="B936" s="94" t="n"/>
      <c r="C936" s="94" t="n"/>
      <c r="D936" s="94" t="n"/>
      <c r="E936" s="94" t="n"/>
      <c r="F936" s="367" t="n"/>
      <c r="G936" s="367" t="n"/>
      <c r="H936" s="94" t="n"/>
      <c r="I936" s="94" t="n"/>
      <c r="J936" s="94" t="n"/>
    </row>
    <row r="937" ht="13.2" customHeight="1" s="405">
      <c r="A937" s="94" t="n"/>
      <c r="B937" s="94" t="n"/>
      <c r="C937" s="94" t="n"/>
      <c r="D937" s="94" t="n"/>
      <c r="E937" s="94" t="n"/>
      <c r="F937" s="367" t="n"/>
      <c r="G937" s="367" t="n"/>
      <c r="H937" s="94" t="n"/>
      <c r="I937" s="94" t="n"/>
      <c r="J937" s="94" t="n"/>
    </row>
    <row r="938" ht="13.2" customHeight="1" s="405">
      <c r="A938" s="94" t="n"/>
      <c r="B938" s="94" t="n"/>
      <c r="C938" s="94" t="n"/>
      <c r="D938" s="94" t="n"/>
      <c r="E938" s="94" t="n"/>
      <c r="F938" s="367" t="n"/>
      <c r="G938" s="367" t="n"/>
      <c r="H938" s="94" t="n"/>
      <c r="I938" s="94" t="n"/>
      <c r="J938" s="94" t="n"/>
    </row>
    <row r="939" ht="13.2" customHeight="1" s="405">
      <c r="A939" s="94" t="n"/>
      <c r="B939" s="94" t="n"/>
      <c r="C939" s="94" t="n"/>
      <c r="D939" s="94" t="n"/>
      <c r="E939" s="94" t="n"/>
      <c r="F939" s="367" t="n"/>
      <c r="G939" s="367" t="n"/>
      <c r="H939" s="94" t="n"/>
      <c r="I939" s="94" t="n"/>
      <c r="J939" s="94" t="n"/>
    </row>
    <row r="940" ht="13.2" customHeight="1" s="405">
      <c r="A940" s="94" t="n"/>
      <c r="B940" s="94" t="n"/>
      <c r="C940" s="94" t="n"/>
      <c r="D940" s="94" t="n"/>
      <c r="E940" s="94" t="n"/>
      <c r="F940" s="367" t="n"/>
      <c r="G940" s="367" t="n"/>
      <c r="H940" s="94" t="n"/>
      <c r="I940" s="94" t="n"/>
      <c r="J940" s="94" t="n"/>
    </row>
    <row r="941" ht="13.2" customHeight="1" s="405">
      <c r="A941" s="94" t="n"/>
      <c r="B941" s="94" t="n"/>
      <c r="C941" s="94" t="n"/>
      <c r="D941" s="94" t="n"/>
      <c r="E941" s="94" t="n"/>
      <c r="F941" s="367" t="n"/>
      <c r="G941" s="367" t="n"/>
      <c r="H941" s="94" t="n"/>
      <c r="I941" s="94" t="n"/>
      <c r="J941" s="94" t="n"/>
    </row>
    <row r="942" ht="13.2" customHeight="1" s="405">
      <c r="A942" s="94" t="n"/>
      <c r="B942" s="94" t="n"/>
      <c r="C942" s="94" t="n"/>
      <c r="D942" s="94" t="n"/>
      <c r="E942" s="94" t="n"/>
      <c r="F942" s="367" t="n"/>
      <c r="G942" s="367" t="n"/>
      <c r="H942" s="94" t="n"/>
      <c r="I942" s="94" t="n"/>
      <c r="J942" s="94" t="n"/>
    </row>
    <row r="943" ht="13.2" customHeight="1" s="405">
      <c r="A943" s="94" t="n"/>
      <c r="B943" s="94" t="n"/>
      <c r="C943" s="94" t="n"/>
      <c r="D943" s="94" t="n"/>
      <c r="E943" s="94" t="n"/>
      <c r="F943" s="367" t="n"/>
      <c r="G943" s="367" t="n"/>
      <c r="H943" s="94" t="n"/>
      <c r="I943" s="94" t="n"/>
      <c r="J943" s="94" t="n"/>
    </row>
    <row r="944" ht="13.2" customHeight="1" s="405">
      <c r="A944" s="94" t="n"/>
      <c r="B944" s="94" t="n"/>
      <c r="C944" s="94" t="n"/>
      <c r="D944" s="94" t="n"/>
      <c r="E944" s="94" t="n"/>
      <c r="F944" s="367" t="n"/>
      <c r="G944" s="367" t="n"/>
      <c r="H944" s="94" t="n"/>
      <c r="I944" s="94" t="n"/>
      <c r="J944" s="94" t="n"/>
    </row>
    <row r="945" ht="13.2" customHeight="1" s="405">
      <c r="A945" s="94" t="n"/>
      <c r="B945" s="94" t="n"/>
      <c r="C945" s="94" t="n"/>
      <c r="D945" s="94" t="n"/>
      <c r="E945" s="94" t="n"/>
      <c r="F945" s="367" t="n"/>
      <c r="G945" s="367" t="n"/>
      <c r="H945" s="94" t="n"/>
      <c r="I945" s="94" t="n"/>
      <c r="J945" s="94" t="n"/>
    </row>
    <row r="946" ht="13.2" customHeight="1" s="405">
      <c r="A946" s="94" t="n"/>
      <c r="B946" s="94" t="n"/>
      <c r="C946" s="94" t="n"/>
      <c r="D946" s="94" t="n"/>
      <c r="E946" s="94" t="n"/>
      <c r="F946" s="367" t="n"/>
      <c r="G946" s="367" t="n"/>
      <c r="H946" s="94" t="n"/>
      <c r="I946" s="94" t="n"/>
      <c r="J946" s="94" t="n"/>
    </row>
    <row r="947" ht="13.2" customHeight="1" s="405">
      <c r="A947" s="94" t="n"/>
      <c r="B947" s="94" t="n"/>
      <c r="C947" s="94" t="n"/>
      <c r="D947" s="94" t="n"/>
      <c r="E947" s="94" t="n"/>
      <c r="F947" s="367" t="n"/>
      <c r="G947" s="367" t="n"/>
      <c r="H947" s="94" t="n"/>
      <c r="I947" s="94" t="n"/>
      <c r="J947" s="94" t="n"/>
    </row>
    <row r="948" ht="13.2" customHeight="1" s="405">
      <c r="A948" s="94" t="n"/>
      <c r="B948" s="94" t="n"/>
      <c r="C948" s="94" t="n"/>
      <c r="D948" s="94" t="n"/>
      <c r="E948" s="94" t="n"/>
      <c r="F948" s="367" t="n"/>
      <c r="G948" s="367" t="n"/>
      <c r="H948" s="94" t="n"/>
      <c r="I948" s="94" t="n"/>
      <c r="J948" s="94" t="n"/>
    </row>
    <row r="949" ht="13.2" customHeight="1" s="405">
      <c r="A949" s="94" t="n"/>
      <c r="B949" s="94" t="n"/>
      <c r="C949" s="94" t="n"/>
      <c r="D949" s="94" t="n"/>
      <c r="E949" s="94" t="n"/>
      <c r="F949" s="367" t="n"/>
      <c r="G949" s="367" t="n"/>
      <c r="H949" s="94" t="n"/>
      <c r="I949" s="94" t="n"/>
      <c r="J949" s="94" t="n"/>
    </row>
    <row r="950" ht="13.2" customHeight="1" s="405">
      <c r="A950" s="94" t="n"/>
      <c r="B950" s="94" t="n"/>
      <c r="C950" s="94" t="n"/>
      <c r="D950" s="94" t="n"/>
      <c r="E950" s="94" t="n"/>
      <c r="F950" s="367" t="n"/>
      <c r="G950" s="367" t="n"/>
      <c r="H950" s="94" t="n"/>
      <c r="I950" s="94" t="n"/>
      <c r="J950" s="94" t="n"/>
    </row>
    <row r="951" ht="13.2" customHeight="1" s="405">
      <c r="A951" s="94" t="n"/>
      <c r="B951" s="94" t="n"/>
      <c r="C951" s="94" t="n"/>
      <c r="D951" s="94" t="n"/>
      <c r="E951" s="94" t="n"/>
      <c r="F951" s="367" t="n"/>
      <c r="G951" s="367" t="n"/>
      <c r="H951" s="94" t="n"/>
      <c r="I951" s="94" t="n"/>
      <c r="J951" s="94" t="n"/>
    </row>
    <row r="952" ht="13.2" customHeight="1" s="405">
      <c r="A952" s="94" t="n"/>
      <c r="B952" s="94" t="n"/>
      <c r="C952" s="94" t="n"/>
      <c r="D952" s="94" t="n"/>
      <c r="E952" s="94" t="n"/>
      <c r="F952" s="367" t="n"/>
      <c r="G952" s="367" t="n"/>
      <c r="H952" s="94" t="n"/>
      <c r="I952" s="94" t="n"/>
      <c r="J952" s="94" t="n"/>
    </row>
    <row r="953" ht="13.2" customHeight="1" s="405">
      <c r="A953" s="94" t="n"/>
      <c r="B953" s="94" t="n"/>
      <c r="C953" s="94" t="n"/>
      <c r="D953" s="94" t="n"/>
      <c r="E953" s="94" t="n"/>
      <c r="F953" s="367" t="n"/>
      <c r="G953" s="367" t="n"/>
      <c r="H953" s="94" t="n"/>
      <c r="I953" s="94" t="n"/>
      <c r="J953" s="94" t="n"/>
    </row>
    <row r="954" ht="13.2" customHeight="1" s="405">
      <c r="A954" s="94" t="n"/>
      <c r="B954" s="94" t="n"/>
      <c r="C954" s="94" t="n"/>
      <c r="D954" s="94" t="n"/>
      <c r="E954" s="94" t="n"/>
      <c r="F954" s="367" t="n"/>
      <c r="G954" s="367" t="n"/>
      <c r="H954" s="94" t="n"/>
      <c r="I954" s="94" t="n"/>
      <c r="J954" s="94" t="n"/>
    </row>
    <row r="955" ht="13.2" customHeight="1" s="405">
      <c r="A955" s="94" t="n"/>
      <c r="B955" s="94" t="n"/>
      <c r="C955" s="94" t="n"/>
      <c r="D955" s="94" t="n"/>
      <c r="E955" s="94" t="n"/>
      <c r="F955" s="367" t="n"/>
      <c r="G955" s="367" t="n"/>
      <c r="H955" s="94" t="n"/>
      <c r="I955" s="94" t="n"/>
      <c r="J955" s="94" t="n"/>
    </row>
    <row r="956" ht="13.2" customHeight="1" s="405">
      <c r="A956" s="94" t="n"/>
      <c r="B956" s="94" t="n"/>
      <c r="C956" s="94" t="n"/>
      <c r="D956" s="94" t="n"/>
      <c r="E956" s="94" t="n"/>
      <c r="F956" s="367" t="n"/>
      <c r="G956" s="367" t="n"/>
      <c r="H956" s="94" t="n"/>
      <c r="I956" s="94" t="n"/>
      <c r="J956" s="94" t="n"/>
    </row>
    <row r="957" ht="13.2" customHeight="1" s="405">
      <c r="A957" s="94" t="n"/>
      <c r="B957" s="94" t="n"/>
      <c r="C957" s="94" t="n"/>
      <c r="D957" s="94" t="n"/>
      <c r="E957" s="94" t="n"/>
      <c r="F957" s="367" t="n"/>
      <c r="G957" s="367" t="n"/>
      <c r="H957" s="94" t="n"/>
      <c r="I957" s="94" t="n"/>
      <c r="J957" s="94" t="n"/>
    </row>
    <row r="958" ht="13.2" customHeight="1" s="405">
      <c r="A958" s="94" t="n"/>
      <c r="B958" s="94" t="n"/>
      <c r="C958" s="94" t="n"/>
      <c r="D958" s="94" t="n"/>
      <c r="E958" s="94" t="n"/>
      <c r="F958" s="367" t="n"/>
      <c r="G958" s="367" t="n"/>
      <c r="H958" s="94" t="n"/>
      <c r="I958" s="94" t="n"/>
      <c r="J958" s="94" t="n"/>
    </row>
    <row r="959" ht="13.2" customHeight="1" s="405">
      <c r="A959" s="94" t="n"/>
      <c r="B959" s="94" t="n"/>
      <c r="C959" s="94" t="n"/>
      <c r="D959" s="94" t="n"/>
      <c r="E959" s="94" t="n"/>
      <c r="F959" s="367" t="n"/>
      <c r="G959" s="367" t="n"/>
      <c r="H959" s="94" t="n"/>
      <c r="I959" s="94" t="n"/>
      <c r="J959" s="94" t="n"/>
    </row>
    <row r="960" ht="13.2" customHeight="1" s="405">
      <c r="A960" s="94" t="n"/>
      <c r="B960" s="94" t="n"/>
      <c r="C960" s="94" t="n"/>
      <c r="D960" s="94" t="n"/>
      <c r="E960" s="94" t="n"/>
      <c r="F960" s="367" t="n"/>
      <c r="G960" s="367" t="n"/>
      <c r="H960" s="94" t="n"/>
      <c r="I960" s="94" t="n"/>
      <c r="J960" s="94" t="n"/>
    </row>
    <row r="961" ht="13.2" customHeight="1" s="405">
      <c r="A961" s="94" t="n"/>
      <c r="B961" s="94" t="n"/>
      <c r="C961" s="94" t="n"/>
      <c r="D961" s="94" t="n"/>
      <c r="E961" s="94" t="n"/>
      <c r="F961" s="367" t="n"/>
      <c r="G961" s="367" t="n"/>
      <c r="H961" s="94" t="n"/>
      <c r="I961" s="94" t="n"/>
      <c r="J961" s="94" t="n"/>
    </row>
    <row r="962" ht="13.2" customHeight="1" s="405">
      <c r="A962" s="94" t="n"/>
      <c r="B962" s="94" t="n"/>
      <c r="C962" s="94" t="n"/>
      <c r="D962" s="94" t="n"/>
      <c r="E962" s="94" t="n"/>
      <c r="F962" s="367" t="n"/>
      <c r="G962" s="367" t="n"/>
      <c r="H962" s="94" t="n"/>
      <c r="I962" s="94" t="n"/>
      <c r="J962" s="94" t="n"/>
    </row>
    <row r="963" ht="13.2" customHeight="1" s="405">
      <c r="A963" s="94" t="n"/>
      <c r="B963" s="94" t="n"/>
      <c r="C963" s="94" t="n"/>
      <c r="D963" s="94" t="n"/>
      <c r="E963" s="94" t="n"/>
      <c r="F963" s="367" t="n"/>
      <c r="G963" s="367" t="n"/>
      <c r="H963" s="94" t="n"/>
      <c r="I963" s="94" t="n"/>
      <c r="J963" s="94" t="n"/>
    </row>
    <row r="964" ht="13.2" customHeight="1" s="405">
      <c r="A964" s="94" t="n"/>
      <c r="B964" s="94" t="n"/>
      <c r="C964" s="94" t="n"/>
      <c r="D964" s="94" t="n"/>
      <c r="E964" s="94" t="n"/>
      <c r="F964" s="367" t="n"/>
      <c r="G964" s="367" t="n"/>
      <c r="H964" s="94" t="n"/>
      <c r="I964" s="94" t="n"/>
      <c r="J964" s="94" t="n"/>
    </row>
    <row r="965" ht="13.2" customHeight="1" s="405">
      <c r="A965" s="94" t="n"/>
      <c r="B965" s="94" t="n"/>
      <c r="C965" s="94" t="n"/>
      <c r="D965" s="94" t="n"/>
      <c r="E965" s="94" t="n"/>
      <c r="F965" s="367" t="n"/>
      <c r="G965" s="367" t="n"/>
      <c r="H965" s="94" t="n"/>
      <c r="I965" s="94" t="n"/>
      <c r="J965" s="94" t="n"/>
    </row>
    <row r="966" ht="13.2" customHeight="1" s="405">
      <c r="A966" s="94" t="n"/>
      <c r="B966" s="94" t="n"/>
      <c r="C966" s="94" t="n"/>
      <c r="D966" s="94" t="n"/>
      <c r="E966" s="94" t="n"/>
      <c r="F966" s="367" t="n"/>
      <c r="G966" s="367" t="n"/>
      <c r="H966" s="94" t="n"/>
      <c r="I966" s="94" t="n"/>
      <c r="J966" s="94" t="n"/>
    </row>
    <row r="967" ht="13.2" customHeight="1" s="405">
      <c r="A967" s="94" t="n"/>
      <c r="B967" s="94" t="n"/>
      <c r="C967" s="94" t="n"/>
      <c r="D967" s="94" t="n"/>
      <c r="E967" s="94" t="n"/>
      <c r="F967" s="367" t="n"/>
      <c r="G967" s="367" t="n"/>
      <c r="H967" s="94" t="n"/>
      <c r="I967" s="94" t="n"/>
      <c r="J967" s="94" t="n"/>
    </row>
    <row r="968" ht="13.2" customHeight="1" s="405">
      <c r="A968" s="94" t="n"/>
      <c r="B968" s="94" t="n"/>
      <c r="C968" s="94" t="n"/>
      <c r="D968" s="94" t="n"/>
      <c r="E968" s="94" t="n"/>
      <c r="F968" s="367" t="n"/>
      <c r="G968" s="367" t="n"/>
      <c r="H968" s="94" t="n"/>
      <c r="I968" s="94" t="n"/>
      <c r="J968" s="94" t="n"/>
    </row>
    <row r="969" ht="13.2" customHeight="1" s="405">
      <c r="A969" s="94" t="n"/>
      <c r="B969" s="94" t="n"/>
      <c r="C969" s="94" t="n"/>
      <c r="D969" s="94" t="n"/>
      <c r="E969" s="94" t="n"/>
      <c r="F969" s="367" t="n"/>
      <c r="G969" s="367" t="n"/>
      <c r="H969" s="94" t="n"/>
      <c r="I969" s="94" t="n"/>
      <c r="J969" s="94" t="n"/>
    </row>
    <row r="970" ht="13.2" customHeight="1" s="405">
      <c r="A970" s="94" t="n"/>
      <c r="B970" s="94" t="n"/>
      <c r="C970" s="94" t="n"/>
      <c r="D970" s="94" t="n"/>
      <c r="E970" s="94" t="n"/>
      <c r="F970" s="367" t="n"/>
      <c r="G970" s="367" t="n"/>
      <c r="H970" s="94" t="n"/>
      <c r="I970" s="94" t="n"/>
      <c r="J970" s="94" t="n"/>
    </row>
    <row r="971" ht="13.2" customHeight="1" s="405">
      <c r="A971" s="94" t="n"/>
      <c r="B971" s="94" t="n"/>
      <c r="C971" s="94" t="n"/>
      <c r="D971" s="94" t="n"/>
      <c r="E971" s="94" t="n"/>
      <c r="F971" s="367" t="n"/>
      <c r="G971" s="367" t="n"/>
      <c r="H971" s="94" t="n"/>
      <c r="I971" s="94" t="n"/>
      <c r="J971" s="94" t="n"/>
    </row>
    <row r="972" ht="13.2" customHeight="1" s="405">
      <c r="A972" s="94" t="n"/>
      <c r="B972" s="94" t="n"/>
      <c r="C972" s="94" t="n"/>
      <c r="D972" s="94" t="n"/>
      <c r="E972" s="94" t="n"/>
      <c r="F972" s="367" t="n"/>
      <c r="G972" s="367" t="n"/>
      <c r="H972" s="94" t="n"/>
      <c r="I972" s="94" t="n"/>
      <c r="J972" s="94" t="n"/>
    </row>
    <row r="973" ht="13.2" customHeight="1" s="405">
      <c r="A973" s="94" t="n"/>
      <c r="B973" s="94" t="n"/>
      <c r="C973" s="94" t="n"/>
      <c r="D973" s="94" t="n"/>
      <c r="E973" s="94" t="n"/>
      <c r="F973" s="367" t="n"/>
      <c r="G973" s="367" t="n"/>
      <c r="H973" s="94" t="n"/>
      <c r="I973" s="94" t="n"/>
      <c r="J973" s="94" t="n"/>
    </row>
    <row r="974" ht="13.2" customHeight="1" s="405">
      <c r="A974" s="94" t="n"/>
      <c r="B974" s="94" t="n"/>
      <c r="C974" s="94" t="n"/>
      <c r="D974" s="94" t="n"/>
      <c r="E974" s="94" t="n"/>
      <c r="F974" s="367" t="n"/>
      <c r="G974" s="367" t="n"/>
      <c r="H974" s="94" t="n"/>
      <c r="I974" s="94" t="n"/>
      <c r="J974" s="94" t="n"/>
    </row>
    <row r="975" ht="13.2" customHeight="1" s="405">
      <c r="A975" s="94" t="n"/>
      <c r="B975" s="94" t="n"/>
      <c r="C975" s="94" t="n"/>
      <c r="D975" s="94" t="n"/>
      <c r="E975" s="94" t="n"/>
      <c r="F975" s="367" t="n"/>
      <c r="G975" s="367" t="n"/>
      <c r="H975" s="94" t="n"/>
      <c r="I975" s="94" t="n"/>
      <c r="J975" s="94" t="n"/>
    </row>
    <row r="976" ht="13.2" customHeight="1" s="405">
      <c r="A976" s="94" t="n"/>
      <c r="B976" s="94" t="n"/>
      <c r="C976" s="94" t="n"/>
      <c r="D976" s="94" t="n"/>
      <c r="E976" s="94" t="n"/>
      <c r="F976" s="367" t="n"/>
      <c r="G976" s="367" t="n"/>
      <c r="H976" s="94" t="n"/>
      <c r="I976" s="94" t="n"/>
      <c r="J976" s="94" t="n"/>
    </row>
    <row r="977" ht="13.2" customHeight="1" s="405">
      <c r="A977" s="94" t="n"/>
      <c r="B977" s="94" t="n"/>
      <c r="C977" s="94" t="n"/>
      <c r="D977" s="94" t="n"/>
      <c r="E977" s="94" t="n"/>
      <c r="F977" s="367" t="n"/>
      <c r="G977" s="367" t="n"/>
      <c r="H977" s="94" t="n"/>
      <c r="I977" s="94" t="n"/>
      <c r="J977" s="94" t="n"/>
    </row>
    <row r="978" ht="13.2" customHeight="1" s="405">
      <c r="A978" s="94" t="n"/>
      <c r="B978" s="94" t="n"/>
      <c r="C978" s="94" t="n"/>
      <c r="D978" s="94" t="n"/>
      <c r="E978" s="94" t="n"/>
      <c r="F978" s="367" t="n"/>
      <c r="G978" s="367" t="n"/>
      <c r="H978" s="94" t="n"/>
      <c r="I978" s="94" t="n"/>
      <c r="J978" s="94" t="n"/>
    </row>
    <row r="979" ht="13.2" customHeight="1" s="405">
      <c r="A979" s="94" t="n"/>
      <c r="B979" s="94" t="n"/>
      <c r="C979" s="94" t="n"/>
      <c r="D979" s="94" t="n"/>
      <c r="E979" s="94" t="n"/>
      <c r="F979" s="367" t="n"/>
      <c r="G979" s="367" t="n"/>
      <c r="H979" s="94" t="n"/>
      <c r="I979" s="94" t="n"/>
      <c r="J979" s="94" t="n"/>
    </row>
    <row r="980" ht="13.2" customHeight="1" s="405">
      <c r="A980" s="94" t="n"/>
      <c r="B980" s="94" t="n"/>
      <c r="C980" s="94" t="n"/>
      <c r="D980" s="94" t="n"/>
      <c r="E980" s="94" t="n"/>
      <c r="F980" s="367" t="n"/>
      <c r="G980" s="367" t="n"/>
      <c r="H980" s="94" t="n"/>
      <c r="I980" s="94" t="n"/>
      <c r="J980" s="94" t="n"/>
    </row>
    <row r="981" ht="13.2" customHeight="1" s="405">
      <c r="A981" s="94" t="n"/>
      <c r="B981" s="94" t="n"/>
      <c r="C981" s="94" t="n"/>
      <c r="D981" s="94" t="n"/>
      <c r="E981" s="94" t="n"/>
      <c r="F981" s="367" t="n"/>
      <c r="G981" s="367" t="n"/>
      <c r="H981" s="94" t="n"/>
      <c r="I981" s="94" t="n"/>
      <c r="J981" s="94" t="n"/>
    </row>
    <row r="982" ht="13.2" customHeight="1" s="405">
      <c r="A982" s="94" t="n"/>
      <c r="B982" s="94" t="n"/>
      <c r="C982" s="94" t="n"/>
      <c r="D982" s="94" t="n"/>
      <c r="E982" s="94" t="n"/>
      <c r="F982" s="367" t="n"/>
      <c r="G982" s="367" t="n"/>
      <c r="H982" s="94" t="n"/>
      <c r="I982" s="94" t="n"/>
      <c r="J982" s="94" t="n"/>
    </row>
    <row r="983" ht="13.2" customHeight="1" s="405">
      <c r="A983" s="94" t="n"/>
      <c r="B983" s="94" t="n"/>
      <c r="C983" s="94" t="n"/>
      <c r="D983" s="94" t="n"/>
      <c r="E983" s="94" t="n"/>
      <c r="F983" s="367" t="n"/>
      <c r="G983" s="367" t="n"/>
      <c r="H983" s="94" t="n"/>
      <c r="I983" s="94" t="n"/>
      <c r="J983" s="94" t="n"/>
    </row>
    <row r="984" ht="13.2" customHeight="1" s="405">
      <c r="A984" s="94" t="n"/>
      <c r="B984" s="94" t="n"/>
      <c r="C984" s="94" t="n"/>
      <c r="D984" s="94" t="n"/>
      <c r="E984" s="94" t="n"/>
      <c r="F984" s="367" t="n"/>
      <c r="G984" s="367" t="n"/>
      <c r="H984" s="94" t="n"/>
      <c r="I984" s="94" t="n"/>
      <c r="J984" s="94" t="n"/>
    </row>
    <row r="985" ht="13.2" customHeight="1" s="405">
      <c r="A985" s="94" t="n"/>
      <c r="B985" s="94" t="n"/>
      <c r="C985" s="94" t="n"/>
      <c r="D985" s="94" t="n"/>
      <c r="E985" s="94" t="n"/>
      <c r="F985" s="367" t="n"/>
      <c r="G985" s="367" t="n"/>
      <c r="H985" s="94" t="n"/>
      <c r="I985" s="94" t="n"/>
      <c r="J985" s="94" t="n"/>
    </row>
    <row r="986" ht="13.2" customHeight="1" s="405">
      <c r="A986" s="94" t="n"/>
      <c r="B986" s="94" t="n"/>
      <c r="C986" s="94" t="n"/>
      <c r="D986" s="94" t="n"/>
      <c r="E986" s="94" t="n"/>
      <c r="F986" s="367" t="n"/>
      <c r="G986" s="367" t="n"/>
      <c r="H986" s="94" t="n"/>
      <c r="I986" s="94" t="n"/>
      <c r="J986" s="94" t="n"/>
    </row>
    <row r="987" ht="13.2" customHeight="1" s="405">
      <c r="A987" s="94" t="n"/>
      <c r="B987" s="94" t="n"/>
      <c r="C987" s="94" t="n"/>
      <c r="D987" s="94" t="n"/>
      <c r="E987" s="94" t="n"/>
      <c r="F987" s="367" t="n"/>
      <c r="G987" s="367" t="n"/>
      <c r="H987" s="94" t="n"/>
      <c r="I987" s="94" t="n"/>
      <c r="J987" s="94" t="n"/>
    </row>
    <row r="988" ht="13.2" customHeight="1" s="405">
      <c r="A988" s="94" t="n"/>
      <c r="B988" s="94" t="n"/>
      <c r="C988" s="94" t="n"/>
      <c r="D988" s="94" t="n"/>
      <c r="E988" s="94" t="n"/>
      <c r="F988" s="367" t="n"/>
      <c r="G988" s="367" t="n"/>
      <c r="H988" s="94" t="n"/>
      <c r="I988" s="94" t="n"/>
      <c r="J988" s="94" t="n"/>
    </row>
    <row r="989" ht="13.2" customHeight="1" s="405">
      <c r="A989" s="94" t="n"/>
      <c r="B989" s="94" t="n"/>
      <c r="C989" s="94" t="n"/>
      <c r="D989" s="94" t="n"/>
      <c r="E989" s="94" t="n"/>
      <c r="F989" s="367" t="n"/>
      <c r="G989" s="367" t="n"/>
      <c r="H989" s="94" t="n"/>
      <c r="I989" s="94" t="n"/>
      <c r="J989" s="94" t="n"/>
    </row>
    <row r="990" ht="13.2" customHeight="1" s="405">
      <c r="A990" s="94" t="n"/>
      <c r="B990" s="94" t="n"/>
      <c r="C990" s="94" t="n"/>
      <c r="D990" s="94" t="n"/>
      <c r="E990" s="94" t="n"/>
      <c r="F990" s="367" t="n"/>
      <c r="G990" s="367" t="n"/>
      <c r="H990" s="94" t="n"/>
      <c r="I990" s="94" t="n"/>
      <c r="J990" s="94" t="n"/>
    </row>
    <row r="991" ht="13.2" customHeight="1" s="405">
      <c r="A991" s="94" t="n"/>
      <c r="B991" s="94" t="n"/>
      <c r="C991" s="94" t="n"/>
      <c r="D991" s="94" t="n"/>
      <c r="E991" s="94" t="n"/>
      <c r="F991" s="367" t="n"/>
      <c r="G991" s="367" t="n"/>
      <c r="H991" s="94" t="n"/>
      <c r="I991" s="94" t="n"/>
      <c r="J991" s="94" t="n"/>
    </row>
    <row r="992" ht="13.2" customHeight="1" s="405">
      <c r="A992" s="94" t="n"/>
      <c r="B992" s="94" t="n"/>
      <c r="C992" s="94" t="n"/>
      <c r="D992" s="94" t="n"/>
      <c r="E992" s="94" t="n"/>
      <c r="F992" s="367" t="n"/>
      <c r="G992" s="367" t="n"/>
      <c r="H992" s="94" t="n"/>
      <c r="I992" s="94" t="n"/>
      <c r="J992" s="94" t="n"/>
    </row>
    <row r="993" ht="13.2" customHeight="1" s="405">
      <c r="A993" s="94" t="n"/>
      <c r="B993" s="94" t="n"/>
      <c r="C993" s="94" t="n"/>
      <c r="D993" s="94" t="n"/>
      <c r="E993" s="94" t="n"/>
      <c r="F993" s="367" t="n"/>
      <c r="G993" s="367" t="n"/>
      <c r="H993" s="94" t="n"/>
      <c r="I993" s="94" t="n"/>
      <c r="J993" s="94" t="n"/>
    </row>
    <row r="994" ht="13.2" customHeight="1" s="405">
      <c r="A994" s="94" t="n"/>
      <c r="B994" s="94" t="n"/>
      <c r="C994" s="94" t="n"/>
      <c r="D994" s="94" t="n"/>
      <c r="E994" s="94" t="n"/>
      <c r="F994" s="367" t="n"/>
      <c r="G994" s="367" t="n"/>
      <c r="H994" s="94" t="n"/>
      <c r="I994" s="94" t="n"/>
      <c r="J994" s="94" t="n"/>
    </row>
    <row r="995" ht="13.2" customHeight="1" s="405">
      <c r="A995" s="94" t="n"/>
      <c r="B995" s="94" t="n"/>
      <c r="C995" s="94" t="n"/>
      <c r="D995" s="94" t="n"/>
      <c r="E995" s="94" t="n"/>
      <c r="F995" s="367" t="n"/>
      <c r="G995" s="367" t="n"/>
      <c r="H995" s="94" t="n"/>
      <c r="I995" s="94" t="n"/>
      <c r="J995" s="94" t="n"/>
    </row>
    <row r="996" ht="13.2" customHeight="1" s="405">
      <c r="A996" s="94" t="n"/>
      <c r="B996" s="94" t="n"/>
      <c r="C996" s="94" t="n"/>
      <c r="D996" s="94" t="n"/>
      <c r="E996" s="94" t="n"/>
      <c r="F996" s="367" t="n"/>
      <c r="G996" s="367" t="n"/>
      <c r="H996" s="94" t="n"/>
      <c r="I996" s="94" t="n"/>
      <c r="J996" s="94" t="n"/>
    </row>
    <row r="997" ht="13.2" customHeight="1" s="405">
      <c r="A997" s="94" t="n"/>
      <c r="B997" s="94" t="n"/>
      <c r="C997" s="94" t="n"/>
      <c r="D997" s="94" t="n"/>
      <c r="E997" s="94" t="n"/>
      <c r="F997" s="367" t="n"/>
      <c r="G997" s="367" t="n"/>
      <c r="H997" s="94" t="n"/>
      <c r="I997" s="94" t="n"/>
      <c r="J997" s="94" t="n"/>
    </row>
    <row r="998" ht="13.2" customHeight="1" s="405">
      <c r="A998" s="94" t="n"/>
      <c r="B998" s="94" t="n"/>
      <c r="C998" s="94" t="n"/>
      <c r="D998" s="94" t="n"/>
      <c r="E998" s="94" t="n"/>
      <c r="F998" s="367" t="n"/>
      <c r="G998" s="367" t="n"/>
      <c r="H998" s="94" t="n"/>
      <c r="I998" s="94" t="n"/>
      <c r="J998" s="94" t="n"/>
    </row>
    <row r="999" ht="13.2" customHeight="1" s="405">
      <c r="A999" s="94" t="n"/>
      <c r="B999" s="94" t="n"/>
      <c r="C999" s="94" t="n"/>
      <c r="D999" s="94" t="n"/>
      <c r="E999" s="94" t="n"/>
      <c r="F999" s="367" t="n"/>
      <c r="G999" s="367" t="n"/>
      <c r="H999" s="94" t="n"/>
      <c r="I999" s="94" t="n"/>
      <c r="J999" s="94" t="n"/>
    </row>
    <row r="1000" ht="13.2" customHeight="1" s="405">
      <c r="A1000" s="94" t="n"/>
      <c r="B1000" s="94" t="n"/>
      <c r="C1000" s="94" t="n"/>
      <c r="D1000" s="94" t="n"/>
      <c r="E1000" s="94" t="n"/>
      <c r="F1000" s="367" t="n"/>
      <c r="G1000" s="367" t="n"/>
      <c r="H1000" s="94" t="n"/>
      <c r="I1000" s="94" t="n"/>
      <c r="J1000" s="94" t="n"/>
    </row>
    <row r="1001" ht="13.2" customHeight="1" s="405">
      <c r="A1001" s="94" t="n"/>
      <c r="B1001" s="94" t="n"/>
      <c r="C1001" s="94" t="n"/>
      <c r="D1001" s="94" t="n"/>
      <c r="E1001" s="94" t="n"/>
      <c r="F1001" s="367" t="n"/>
      <c r="G1001" s="367" t="n"/>
      <c r="H1001" s="94" t="n"/>
      <c r="I1001" s="94" t="n"/>
      <c r="J1001" s="94" t="n"/>
    </row>
    <row r="1002" ht="13.2" customHeight="1" s="405">
      <c r="A1002" s="94" t="n"/>
      <c r="B1002" s="94" t="n"/>
      <c r="C1002" s="94" t="n"/>
      <c r="D1002" s="94" t="n"/>
      <c r="E1002" s="94" t="n"/>
      <c r="F1002" s="367" t="n"/>
      <c r="G1002" s="367" t="n"/>
      <c r="H1002" s="94" t="n"/>
      <c r="I1002" s="94" t="n"/>
      <c r="J1002" s="94" t="n"/>
    </row>
  </sheetData>
  <mergeCells count="28">
    <mergeCell ref="A36:A39"/>
    <mergeCell ref="B12:B15"/>
    <mergeCell ref="H3:H7"/>
    <mergeCell ref="A16:A19"/>
    <mergeCell ref="H12:H14"/>
    <mergeCell ref="B8:B11"/>
    <mergeCell ref="A12:A15"/>
    <mergeCell ref="B2:B7"/>
    <mergeCell ref="B28:B31"/>
    <mergeCell ref="A32:A35"/>
    <mergeCell ref="B44:B47"/>
    <mergeCell ref="B40:B43"/>
    <mergeCell ref="H29:H31"/>
    <mergeCell ref="A8:A11"/>
    <mergeCell ref="H25:H27"/>
    <mergeCell ref="A20:A23"/>
    <mergeCell ref="A2:A7"/>
    <mergeCell ref="K1:N1"/>
    <mergeCell ref="B24:B27"/>
    <mergeCell ref="B36:B39"/>
    <mergeCell ref="A44:A47"/>
    <mergeCell ref="B20:B23"/>
    <mergeCell ref="A28:A31"/>
    <mergeCell ref="H20:H23"/>
    <mergeCell ref="A24:A27"/>
    <mergeCell ref="B16:B19"/>
    <mergeCell ref="B32:B35"/>
    <mergeCell ref="A40:A43"/>
  </mergeCells>
  <hyperlinks>
    <hyperlink xmlns:r="http://schemas.openxmlformats.org/officeDocument/2006/relationships" ref="G2" r:id="rId1"/>
    <hyperlink xmlns:r="http://schemas.openxmlformats.org/officeDocument/2006/relationships" ref="I2" r:id="rId2"/>
    <hyperlink xmlns:r="http://schemas.openxmlformats.org/officeDocument/2006/relationships" ref="G3" r:id="rId3"/>
    <hyperlink xmlns:r="http://schemas.openxmlformats.org/officeDocument/2006/relationships" ref="I3" r:id="rId4"/>
    <hyperlink xmlns:r="http://schemas.openxmlformats.org/officeDocument/2006/relationships" ref="G4" r:id="rId5"/>
    <hyperlink xmlns:r="http://schemas.openxmlformats.org/officeDocument/2006/relationships" ref="I4" r:id="rId6"/>
    <hyperlink xmlns:r="http://schemas.openxmlformats.org/officeDocument/2006/relationships" ref="G5" r:id="rId7"/>
    <hyperlink xmlns:r="http://schemas.openxmlformats.org/officeDocument/2006/relationships" ref="I5" r:id="rId8"/>
    <hyperlink xmlns:r="http://schemas.openxmlformats.org/officeDocument/2006/relationships" ref="I6" r:id="rId9"/>
    <hyperlink xmlns:r="http://schemas.openxmlformats.org/officeDocument/2006/relationships" ref="I7" r:id="rId10"/>
    <hyperlink xmlns:r="http://schemas.openxmlformats.org/officeDocument/2006/relationships" ref="G8" r:id="rId11"/>
    <hyperlink xmlns:r="http://schemas.openxmlformats.org/officeDocument/2006/relationships" ref="G9" r:id="rId12"/>
    <hyperlink xmlns:r="http://schemas.openxmlformats.org/officeDocument/2006/relationships" ref="G12" r:id="rId13"/>
    <hyperlink xmlns:r="http://schemas.openxmlformats.org/officeDocument/2006/relationships" ref="I12" r:id="rId14"/>
    <hyperlink xmlns:r="http://schemas.openxmlformats.org/officeDocument/2006/relationships" ref="G13" r:id="rId15"/>
    <hyperlink xmlns:r="http://schemas.openxmlformats.org/officeDocument/2006/relationships" ref="I13" r:id="rId16"/>
    <hyperlink xmlns:r="http://schemas.openxmlformats.org/officeDocument/2006/relationships" ref="G14" r:id="rId17"/>
    <hyperlink xmlns:r="http://schemas.openxmlformats.org/officeDocument/2006/relationships" ref="I14" r:id="rId18"/>
    <hyperlink xmlns:r="http://schemas.openxmlformats.org/officeDocument/2006/relationships" ref="I15" r:id="rId19"/>
    <hyperlink xmlns:r="http://schemas.openxmlformats.org/officeDocument/2006/relationships" ref="G16" r:id="rId20"/>
    <hyperlink xmlns:r="http://schemas.openxmlformats.org/officeDocument/2006/relationships" ref="I16" r:id="rId21"/>
    <hyperlink xmlns:r="http://schemas.openxmlformats.org/officeDocument/2006/relationships" ref="G17" r:id="rId22"/>
    <hyperlink xmlns:r="http://schemas.openxmlformats.org/officeDocument/2006/relationships" ref="I17" r:id="rId23"/>
    <hyperlink xmlns:r="http://schemas.openxmlformats.org/officeDocument/2006/relationships" ref="G18" r:id="rId24"/>
    <hyperlink xmlns:r="http://schemas.openxmlformats.org/officeDocument/2006/relationships" ref="I18" r:id="rId25"/>
    <hyperlink xmlns:r="http://schemas.openxmlformats.org/officeDocument/2006/relationships" ref="I19" display="https://adsmanager.facebook.com/adsmanager/?act=632315609796394&amp;business_id=1274247713762131&amp;nav_entry_point=fbs_ad_account_open_in_ads_manager_button&amp;nav_source=facebook_business_suite" r:id="rId26"/>
    <hyperlink xmlns:r="http://schemas.openxmlformats.org/officeDocument/2006/relationships" ref="G20" r:id="rId27"/>
    <hyperlink xmlns:r="http://schemas.openxmlformats.org/officeDocument/2006/relationships" ref="I20" r:id="rId28"/>
    <hyperlink xmlns:r="http://schemas.openxmlformats.org/officeDocument/2006/relationships" ref="G21" r:id="rId29"/>
    <hyperlink xmlns:r="http://schemas.openxmlformats.org/officeDocument/2006/relationships" ref="I21" r:id="rId30"/>
    <hyperlink xmlns:r="http://schemas.openxmlformats.org/officeDocument/2006/relationships" ref="G22" r:id="rId31"/>
    <hyperlink xmlns:r="http://schemas.openxmlformats.org/officeDocument/2006/relationships" ref="I22" r:id="rId32"/>
    <hyperlink xmlns:r="http://schemas.openxmlformats.org/officeDocument/2006/relationships" ref="G23" r:id="rId33"/>
    <hyperlink xmlns:r="http://schemas.openxmlformats.org/officeDocument/2006/relationships" ref="I23" r:id="rId34"/>
    <hyperlink xmlns:r="http://schemas.openxmlformats.org/officeDocument/2006/relationships" ref="G24" r:id="rId35"/>
    <hyperlink xmlns:r="http://schemas.openxmlformats.org/officeDocument/2006/relationships" ref="I24" r:id="rId36"/>
    <hyperlink xmlns:r="http://schemas.openxmlformats.org/officeDocument/2006/relationships" ref="G25" r:id="rId37"/>
    <hyperlink xmlns:r="http://schemas.openxmlformats.org/officeDocument/2006/relationships" ref="I25" r:id="rId38"/>
    <hyperlink xmlns:r="http://schemas.openxmlformats.org/officeDocument/2006/relationships" ref="I26" r:id="rId39"/>
    <hyperlink xmlns:r="http://schemas.openxmlformats.org/officeDocument/2006/relationships" ref="I27" r:id="rId40"/>
    <hyperlink xmlns:r="http://schemas.openxmlformats.org/officeDocument/2006/relationships" ref="G28" r:id="rId41"/>
    <hyperlink xmlns:r="http://schemas.openxmlformats.org/officeDocument/2006/relationships" ref="I28" r:id="rId42"/>
    <hyperlink xmlns:r="http://schemas.openxmlformats.org/officeDocument/2006/relationships" ref="I29" r:id="rId43"/>
    <hyperlink xmlns:r="http://schemas.openxmlformats.org/officeDocument/2006/relationships" ref="I30" r:id="rId44"/>
    <hyperlink xmlns:r="http://schemas.openxmlformats.org/officeDocument/2006/relationships" ref="I31" r:id="rId45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AE132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baseColWidth="8" defaultColWidth="12.6640625" defaultRowHeight="15.75" customHeight="1"/>
  <cols>
    <col width="6.88671875" customWidth="1" style="405" min="1" max="1"/>
    <col width="22.88671875" customWidth="1" style="405" min="2" max="2"/>
    <col width="17.88671875" customWidth="1" style="405" min="3" max="3"/>
    <col width="16.33203125" customWidth="1" style="405" min="5" max="18"/>
    <col width="20.88671875" customWidth="1" style="405" min="19" max="19"/>
    <col width="23.6640625" customWidth="1" style="405" min="20" max="20"/>
    <col width="19.77734375" customWidth="1" style="405" min="21" max="21"/>
  </cols>
  <sheetData>
    <row r="1" ht="20.4" customHeight="1" s="405">
      <c r="A1" s="438" t="inlineStr">
        <is>
          <t>KẾ HOẠCH NGÂN SÁCH THÁNG 7</t>
        </is>
      </c>
      <c r="E1" s="415" t="n"/>
      <c r="F1" s="415" t="n"/>
      <c r="G1" s="415" t="n"/>
      <c r="H1" s="415" t="n"/>
    </row>
    <row r="2" ht="52.2" customHeight="1" s="405">
      <c r="A2" s="138" t="inlineStr">
        <is>
          <t>STT</t>
        </is>
      </c>
      <c r="B2" s="138" t="inlineStr">
        <is>
          <t>Họ và tên</t>
        </is>
      </c>
      <c r="C2" s="22" t="inlineStr">
        <is>
          <t>Số tài khoản</t>
        </is>
      </c>
      <c r="D2" s="212" t="inlineStr">
        <is>
          <t>Số Thẻ</t>
        </is>
      </c>
      <c r="E2" s="139" t="inlineStr">
        <is>
          <t>Ngân sách
/Tháng</t>
        </is>
      </c>
      <c r="F2" s="139" t="inlineStr">
        <is>
          <t>Ngân sách TB
/Ngày</t>
        </is>
      </c>
      <c r="G2" s="28" t="inlineStr">
        <is>
          <t>Tuần 1</t>
        </is>
      </c>
      <c r="H2" s="29" t="inlineStr">
        <is>
          <t>Tuần 2</t>
        </is>
      </c>
      <c r="I2" s="30" t="inlineStr">
        <is>
          <t>Tuần 3</t>
        </is>
      </c>
      <c r="J2" s="32" t="inlineStr">
        <is>
          <t>Tuần 4</t>
        </is>
      </c>
      <c r="K2" s="34" t="inlineStr">
        <is>
          <t>Tuần 5</t>
        </is>
      </c>
      <c r="L2" s="38" t="inlineStr">
        <is>
          <t>Doanh số</t>
        </is>
      </c>
      <c r="M2" s="212" t="inlineStr">
        <is>
          <t>Doanh số ngày</t>
        </is>
      </c>
      <c r="N2" s="212" t="inlineStr">
        <is>
          <t>Tỉ lệ CP</t>
        </is>
      </c>
      <c r="O2" s="43" t="inlineStr">
        <is>
          <t>DS THỰC TẾ</t>
        </is>
      </c>
      <c r="P2" s="45" t="inlineStr">
        <is>
          <t>Ngân sách đã tiêu</t>
        </is>
      </c>
      <c r="Q2" s="43" t="inlineStr">
        <is>
          <t>Tỉ lệ CP</t>
        </is>
      </c>
    </row>
    <row r="3" ht="15.6" customHeight="1" s="405">
      <c r="A3" s="94" t="n">
        <v>1</v>
      </c>
      <c r="B3" s="49" t="inlineStr">
        <is>
          <t>Nguyễn Hoàng Anh</t>
        </is>
      </c>
      <c r="C3" s="85" t="inlineStr">
        <is>
          <t>7923 - 065</t>
        </is>
      </c>
      <c r="D3" s="86" t="n">
        <v>7923</v>
      </c>
      <c r="E3" s="61">
        <f>SUM(G3+H3+I3+J3+K3)</f>
        <v/>
      </c>
      <c r="F3" s="61">
        <f>E3/31</f>
        <v/>
      </c>
      <c r="G3" s="61" t="n"/>
      <c r="H3" s="61" t="n"/>
      <c r="I3" s="61" t="n"/>
      <c r="J3" s="61" t="n"/>
      <c r="K3" s="61" t="n"/>
      <c r="L3" s="61" t="n"/>
      <c r="M3" s="61">
        <f>L3/31</f>
        <v/>
      </c>
      <c r="N3" s="68">
        <f>E3/L3</f>
        <v/>
      </c>
      <c r="O3" s="77">
        <f>'NH Anh T'!F3</f>
        <v/>
      </c>
      <c r="P3" s="77">
        <f>'NH Anh T'!D3</f>
        <v/>
      </c>
      <c r="Q3" s="74">
        <f>P3/O3</f>
        <v/>
      </c>
    </row>
    <row r="4" ht="15.6" customHeight="1" s="405">
      <c r="A4" s="94" t="n">
        <v>2</v>
      </c>
      <c r="B4" s="49" t="inlineStr">
        <is>
          <t>Bùi Quang Anh</t>
        </is>
      </c>
      <c r="C4" s="85" t="inlineStr">
        <is>
          <t>9793 - 081</t>
        </is>
      </c>
      <c r="D4" s="86" t="n">
        <v>9793</v>
      </c>
      <c r="E4" s="61">
        <f>SUM(G4+H4+I4+J4+K4)</f>
        <v/>
      </c>
      <c r="F4" s="61">
        <f>E4/31</f>
        <v/>
      </c>
      <c r="G4" s="61" t="n"/>
      <c r="H4" s="61" t="n"/>
      <c r="I4" s="61" t="n"/>
      <c r="J4" s="61" t="n"/>
      <c r="K4" s="61" t="n"/>
      <c r="L4" s="61" t="n"/>
      <c r="M4" s="61">
        <f>L4/31</f>
        <v/>
      </c>
      <c r="N4" s="68">
        <f>E4/L4</f>
        <v/>
      </c>
      <c r="O4" s="77">
        <f>'BQ Anh T'!F3</f>
        <v/>
      </c>
      <c r="P4" s="77">
        <f>'BQ Anh T'!D3</f>
        <v/>
      </c>
      <c r="Q4" s="74">
        <f>P4/O4</f>
        <v/>
      </c>
    </row>
    <row r="5" ht="15.6" customHeight="1" s="405">
      <c r="A5" s="94" t="n">
        <v>3</v>
      </c>
      <c r="B5" s="49" t="inlineStr">
        <is>
          <t>Trần Quang Huy</t>
        </is>
      </c>
      <c r="C5" s="85" t="inlineStr">
        <is>
          <t>8384 - 057</t>
        </is>
      </c>
      <c r="D5" s="86" t="n">
        <v>8384</v>
      </c>
      <c r="E5" s="61">
        <f>SUM(G5+H5+I5+J5+K5)</f>
        <v/>
      </c>
      <c r="F5" s="61">
        <f>E5/31</f>
        <v/>
      </c>
      <c r="G5" s="61" t="n"/>
      <c r="H5" s="61" t="n"/>
      <c r="I5" s="61" t="n"/>
      <c r="J5" s="61" t="n"/>
      <c r="K5" s="61" t="n"/>
      <c r="L5" s="61" t="n"/>
      <c r="M5" s="61">
        <f>L5/31</f>
        <v/>
      </c>
      <c r="N5" s="68">
        <f>E5/L5</f>
        <v/>
      </c>
      <c r="O5" s="77">
        <f>'TQ Huy T'!F3</f>
        <v/>
      </c>
      <c r="P5" s="77">
        <f>'TQ Huy T'!D3</f>
        <v/>
      </c>
      <c r="Q5" s="74">
        <f>P5/O5</f>
        <v/>
      </c>
    </row>
    <row r="6" ht="15.6" customHeight="1" s="405">
      <c r="A6" s="94" t="n">
        <v>4</v>
      </c>
      <c r="B6" s="49" t="inlineStr">
        <is>
          <t>Phạm Thế Hải</t>
        </is>
      </c>
      <c r="C6" s="85" t="inlineStr">
        <is>
          <t>8879 - 073</t>
        </is>
      </c>
      <c r="D6" s="86" t="n">
        <v>8879</v>
      </c>
      <c r="E6" s="61">
        <f>SUM(G6+H6+I6+J6+K6)</f>
        <v/>
      </c>
      <c r="F6" s="61">
        <f>E6/31</f>
        <v/>
      </c>
      <c r="G6" s="61" t="n"/>
      <c r="H6" s="61" t="n"/>
      <c r="I6" s="61" t="n"/>
      <c r="J6" s="61" t="n"/>
      <c r="K6" s="61" t="n"/>
      <c r="L6" s="61" t="n"/>
      <c r="M6" s="61">
        <f>L6/31</f>
        <v/>
      </c>
      <c r="N6" s="68">
        <f>E6/L6</f>
        <v/>
      </c>
      <c r="O6" s="77">
        <f>'PT Hải T'!F3</f>
        <v/>
      </c>
      <c r="P6" s="77">
        <f>'PT Hải T'!D3</f>
        <v/>
      </c>
      <c r="Q6" s="74">
        <f>P6/O6</f>
        <v/>
      </c>
    </row>
    <row r="7" ht="15.6" customHeight="1" s="405">
      <c r="A7" s="94" t="n">
        <v>5</v>
      </c>
      <c r="B7" s="49" t="inlineStr">
        <is>
          <t>Nguyễn Văn Lý</t>
        </is>
      </c>
      <c r="C7" s="85" t="inlineStr">
        <is>
          <t>1695 - 121</t>
        </is>
      </c>
      <c r="D7" s="86" t="n">
        <v>1695</v>
      </c>
      <c r="E7" s="61">
        <f>SUM(G7+H7+I7+J7+K7)</f>
        <v/>
      </c>
      <c r="F7" s="61">
        <f>E7/31</f>
        <v/>
      </c>
      <c r="G7" s="61" t="n"/>
      <c r="H7" s="61" t="n"/>
      <c r="I7" s="61" t="n"/>
      <c r="J7" s="61" t="n"/>
      <c r="K7" s="61" t="n"/>
      <c r="L7" s="61" t="n"/>
      <c r="M7" s="61">
        <f>L7/31</f>
        <v/>
      </c>
      <c r="N7" s="68">
        <f>E7/L7</f>
        <v/>
      </c>
      <c r="O7" s="77">
        <f>'NV Lý T'!F3</f>
        <v/>
      </c>
      <c r="P7" s="77">
        <f>'NV Lý T'!D3</f>
        <v/>
      </c>
      <c r="Q7" s="74">
        <f>P7/O7</f>
        <v/>
      </c>
    </row>
    <row r="8" ht="15.6" customHeight="1" s="405">
      <c r="A8" s="94" t="n">
        <v>6</v>
      </c>
      <c r="B8" s="49" t="inlineStr">
        <is>
          <t>Đỗ Quốc Anh</t>
        </is>
      </c>
      <c r="C8" s="85" t="inlineStr">
        <is>
          <t>9330 - 091</t>
        </is>
      </c>
      <c r="D8" s="86" t="n">
        <v>9330</v>
      </c>
      <c r="E8" s="61">
        <f>SUM(G8+H8+I8+J8+K8)</f>
        <v/>
      </c>
      <c r="F8" s="61">
        <f>E8/31</f>
        <v/>
      </c>
      <c r="G8" s="61" t="n"/>
      <c r="H8" s="61" t="n"/>
      <c r="I8" s="61" t="n"/>
      <c r="J8" s="61" t="n"/>
      <c r="K8" s="61" t="n"/>
      <c r="L8" s="61" t="n"/>
      <c r="M8" s="61">
        <f>L8/31</f>
        <v/>
      </c>
      <c r="N8" s="68">
        <f>E8/L8</f>
        <v/>
      </c>
      <c r="O8" s="77">
        <f>'ĐQ Anh T'!F3</f>
        <v/>
      </c>
      <c r="P8" s="77">
        <f>'ĐQ Anh T'!D3</f>
        <v/>
      </c>
      <c r="Q8" s="74">
        <f>P8/O8</f>
        <v/>
      </c>
    </row>
    <row r="9" ht="17.4" customHeight="1" s="405">
      <c r="A9" s="94" t="n">
        <v>7</v>
      </c>
      <c r="B9" s="84" t="n"/>
      <c r="C9" s="85" t="n"/>
      <c r="D9" s="86" t="n"/>
      <c r="E9" s="61">
        <f>SUM(G9+H9+I9+J9+K9)</f>
        <v/>
      </c>
      <c r="F9" s="61">
        <f>E9/31</f>
        <v/>
      </c>
      <c r="G9" s="61" t="n"/>
      <c r="H9" s="61" t="n"/>
      <c r="I9" s="61" t="n"/>
      <c r="J9" s="61" t="n"/>
      <c r="K9" s="61" t="n"/>
      <c r="L9" s="61" t="n"/>
      <c r="M9" s="61">
        <f>L9/31</f>
        <v/>
      </c>
      <c r="N9" s="68">
        <f>E9/L9</f>
        <v/>
      </c>
      <c r="O9" s="77" t="n"/>
      <c r="P9" s="77" t="n"/>
      <c r="Q9" s="74">
        <f>P9/O9</f>
        <v/>
      </c>
    </row>
    <row r="10" ht="15.6" customHeight="1" s="405">
      <c r="A10" s="94" t="n">
        <v>8</v>
      </c>
      <c r="B10" s="94" t="n"/>
      <c r="C10" s="85" t="n"/>
      <c r="D10" s="86" t="n"/>
      <c r="E10" s="61">
        <f>SUM(G10+H10+I10+J10+K10)</f>
        <v/>
      </c>
      <c r="F10" s="61">
        <f>E10/31</f>
        <v/>
      </c>
      <c r="G10" s="61" t="n"/>
      <c r="H10" s="61" t="n"/>
      <c r="I10" s="61" t="n"/>
      <c r="J10" s="61" t="n"/>
      <c r="K10" s="61" t="n"/>
      <c r="L10" s="61" t="n"/>
      <c r="M10" s="61">
        <f>L10/31</f>
        <v/>
      </c>
      <c r="N10" s="68">
        <f>E10/L10</f>
        <v/>
      </c>
      <c r="O10" s="77" t="n"/>
      <c r="P10" s="77" t="n"/>
      <c r="Q10" s="74">
        <f>P10/O10</f>
        <v/>
      </c>
    </row>
    <row r="11" ht="13.8" customHeight="1" s="405">
      <c r="A11" s="209" t="inlineStr">
        <is>
          <t>TỔNG TEAM NT</t>
        </is>
      </c>
      <c r="B11" s="439" t="n"/>
      <c r="C11" s="95" t="n"/>
      <c r="D11" s="318" t="n"/>
      <c r="E11" s="97">
        <f>SUM(E3:E10)</f>
        <v/>
      </c>
      <c r="F11" s="97">
        <f>SUM(F3:F10)</f>
        <v/>
      </c>
      <c r="G11" s="97">
        <f>SUM(G3:G10)</f>
        <v/>
      </c>
      <c r="H11" s="97">
        <f>SUM(H3:H10)</f>
        <v/>
      </c>
      <c r="I11" s="97">
        <f>SUM(I3:I10)</f>
        <v/>
      </c>
      <c r="J11" s="97">
        <f>SUM(J3:J10)</f>
        <v/>
      </c>
      <c r="K11" s="97">
        <f>SUM(K3:K10)</f>
        <v/>
      </c>
      <c r="L11" s="97">
        <f>SUM(L3:L10)</f>
        <v/>
      </c>
      <c r="M11" s="97">
        <f>SUM(M3:M10)</f>
        <v/>
      </c>
      <c r="N11" s="100">
        <f>E11/L11</f>
        <v/>
      </c>
      <c r="O11" s="97">
        <f>SUM(O3:O10)</f>
        <v/>
      </c>
      <c r="P11" s="97">
        <f>SUM(P3:P10)</f>
        <v/>
      </c>
      <c r="Q11" s="101">
        <f>P11/O11</f>
        <v/>
      </c>
      <c r="R11" s="102" t="n"/>
      <c r="S11" s="102" t="n"/>
      <c r="T11" s="102" t="n"/>
      <c r="U11" s="102" t="n"/>
      <c r="V11" s="102" t="n"/>
      <c r="W11" s="102" t="n"/>
      <c r="X11" s="102" t="n"/>
      <c r="Y11" s="102" t="n"/>
      <c r="Z11" s="102" t="n"/>
      <c r="AA11" s="102" t="n"/>
      <c r="AB11" s="102" t="n"/>
      <c r="AC11" s="102" t="n"/>
      <c r="AD11" s="102" t="n"/>
      <c r="AE11" s="102" t="n"/>
    </row>
    <row r="12" ht="13.2" customHeight="1" s="405">
      <c r="E12" s="106" t="n"/>
      <c r="F12" s="106" t="n"/>
      <c r="G12" s="106" t="n"/>
      <c r="H12" s="106" t="n"/>
      <c r="I12" s="106" t="n"/>
      <c r="J12" s="106" t="n"/>
      <c r="K12" s="106" t="n"/>
      <c r="L12" s="106" t="n"/>
      <c r="M12" s="106" t="n"/>
      <c r="N12" s="107" t="n"/>
      <c r="O12" s="108" t="n"/>
      <c r="P12" s="108" t="n"/>
      <c r="Q12" s="109" t="n"/>
    </row>
    <row r="13" ht="15.6" customHeight="1" s="405">
      <c r="A13" s="94" t="n">
        <v>1</v>
      </c>
      <c r="B13" s="112" t="inlineStr">
        <is>
          <t>Nguyễn Thọ Thưởng</t>
        </is>
      </c>
      <c r="C13" s="94" t="n"/>
      <c r="D13" s="94" t="n">
        <v>2156</v>
      </c>
      <c r="E13" s="61">
        <f>SUM(G13+H13+I13+J13+K13)</f>
        <v/>
      </c>
      <c r="F13" s="61">
        <f>E13/31</f>
        <v/>
      </c>
      <c r="G13" s="61" t="n"/>
      <c r="H13" s="61" t="n"/>
      <c r="I13" s="61" t="n"/>
      <c r="J13" s="61" t="n"/>
      <c r="K13" s="61" t="n"/>
      <c r="L13" s="61" t="n"/>
      <c r="M13" s="61">
        <f>L13/31</f>
        <v/>
      </c>
      <c r="N13" s="68">
        <f>E13/L13</f>
        <v/>
      </c>
      <c r="O13" s="77">
        <f>'NT Thưởng T'!F3</f>
        <v/>
      </c>
      <c r="P13" s="77">
        <f>'NT Thưởng T'!D3</f>
        <v/>
      </c>
      <c r="Q13" s="74">
        <f>P13/O13</f>
        <v/>
      </c>
    </row>
    <row r="14" ht="13.2" customHeight="1" s="405">
      <c r="A14" s="94" t="n">
        <v>2</v>
      </c>
      <c r="B14" s="94" t="n"/>
      <c r="C14" s="94" t="n"/>
      <c r="D14" s="94" t="n"/>
      <c r="E14" s="61">
        <f>SUM(G14+H14+I14+J14+K14)</f>
        <v/>
      </c>
      <c r="F14" s="61">
        <f>E14/31</f>
        <v/>
      </c>
      <c r="G14" s="61" t="n"/>
      <c r="H14" s="61" t="n"/>
      <c r="I14" s="61" t="n"/>
      <c r="J14" s="61" t="n"/>
      <c r="K14" s="61" t="n"/>
      <c r="L14" s="61" t="n"/>
      <c r="M14" s="61">
        <f>L14/31</f>
        <v/>
      </c>
      <c r="N14" s="68">
        <f>E14/L14</f>
        <v/>
      </c>
      <c r="O14" s="77" t="n"/>
      <c r="P14" s="77" t="n"/>
      <c r="Q14" s="74">
        <f>P14/O14</f>
        <v/>
      </c>
    </row>
    <row r="15" ht="13.2" customHeight="1" s="405">
      <c r="A15" s="94" t="n">
        <v>3</v>
      </c>
      <c r="B15" s="94" t="n"/>
      <c r="C15" s="94" t="n"/>
      <c r="D15" s="94" t="n"/>
      <c r="E15" s="61">
        <f>SUM(G15+H15+I15+J15+K15)</f>
        <v/>
      </c>
      <c r="F15" s="61">
        <f>E15/31</f>
        <v/>
      </c>
      <c r="G15" s="61" t="n"/>
      <c r="H15" s="61" t="n"/>
      <c r="I15" s="61" t="n"/>
      <c r="J15" s="61" t="n"/>
      <c r="K15" s="61" t="n"/>
      <c r="L15" s="61" t="n"/>
      <c r="M15" s="61">
        <f>L15/31</f>
        <v/>
      </c>
      <c r="N15" s="68">
        <f>E15/L15</f>
        <v/>
      </c>
      <c r="O15" s="77" t="n"/>
      <c r="P15" s="77" t="n"/>
      <c r="Q15" s="74">
        <f>P15/O15</f>
        <v/>
      </c>
    </row>
    <row r="16" ht="13.2" customHeight="1" s="405">
      <c r="A16" s="94" t="n">
        <v>4</v>
      </c>
      <c r="B16" s="94" t="n"/>
      <c r="C16" s="94" t="n"/>
      <c r="D16" s="94" t="n"/>
      <c r="E16" s="61">
        <f>SUM(G16+H16+I16+J16+K16)</f>
        <v/>
      </c>
      <c r="F16" s="61">
        <f>E16/31</f>
        <v/>
      </c>
      <c r="G16" s="61" t="n"/>
      <c r="H16" s="61" t="n"/>
      <c r="I16" s="61" t="n"/>
      <c r="J16" s="61" t="n"/>
      <c r="K16" s="61" t="n"/>
      <c r="L16" s="61" t="n"/>
      <c r="M16" s="61">
        <f>L16/31</f>
        <v/>
      </c>
      <c r="N16" s="68">
        <f>E16/L16</f>
        <v/>
      </c>
      <c r="O16" s="77" t="n"/>
      <c r="P16" s="77" t="n"/>
      <c r="Q16" s="74">
        <f>P16/O16</f>
        <v/>
      </c>
    </row>
    <row r="17" ht="13.2" customHeight="1" s="405">
      <c r="A17" s="94" t="n">
        <v>5</v>
      </c>
      <c r="B17" s="94" t="n"/>
      <c r="C17" s="94" t="n"/>
      <c r="D17" s="94" t="n"/>
      <c r="E17" s="61">
        <f>SUM(G17+H17+I17+J17+K17)</f>
        <v/>
      </c>
      <c r="F17" s="61">
        <f>E17/31</f>
        <v/>
      </c>
      <c r="G17" s="61" t="n"/>
      <c r="H17" s="61" t="n"/>
      <c r="I17" s="61" t="n"/>
      <c r="J17" s="61" t="n"/>
      <c r="K17" s="61" t="n"/>
      <c r="L17" s="61" t="n"/>
      <c r="M17" s="61">
        <f>L17/31</f>
        <v/>
      </c>
      <c r="N17" s="68">
        <f>E17/L17</f>
        <v/>
      </c>
      <c r="O17" s="77" t="n"/>
      <c r="P17" s="77" t="n"/>
      <c r="Q17" s="74">
        <f>P17/O17</f>
        <v/>
      </c>
    </row>
    <row r="18" ht="13.8" customHeight="1" s="405">
      <c r="A18" s="209" t="inlineStr">
        <is>
          <t>TỔNG TEAM OCP</t>
        </is>
      </c>
      <c r="B18" s="439" t="n"/>
      <c r="C18" s="125" t="n"/>
      <c r="D18" s="125" t="n"/>
      <c r="E18" s="97">
        <f>SUM(E13:E17)</f>
        <v/>
      </c>
      <c r="F18" s="97">
        <f>SUM(F13:F17)</f>
        <v/>
      </c>
      <c r="G18" s="97">
        <f>SUM(G13:G17)</f>
        <v/>
      </c>
      <c r="H18" s="97">
        <f>SUM(H13:H17)</f>
        <v/>
      </c>
      <c r="I18" s="97">
        <f>SUM(I13:I17)</f>
        <v/>
      </c>
      <c r="J18" s="97">
        <f>SUM(J13:J17)</f>
        <v/>
      </c>
      <c r="K18" s="97">
        <f>SUM(K13:K17)</f>
        <v/>
      </c>
      <c r="L18" s="97">
        <f>SUM(L13:L17)</f>
        <v/>
      </c>
      <c r="M18" s="97">
        <f>SUM(M13:M17)</f>
        <v/>
      </c>
      <c r="N18" s="100">
        <f>E18/L18</f>
        <v/>
      </c>
      <c r="O18" s="97">
        <f>SUM(O13:O17)</f>
        <v/>
      </c>
      <c r="P18" s="97">
        <f>SUM(P13:P17)</f>
        <v/>
      </c>
      <c r="Q18" s="101">
        <f>P18/O18</f>
        <v/>
      </c>
      <c r="R18" s="102" t="n"/>
      <c r="S18" s="102" t="n"/>
      <c r="T18" s="102" t="n"/>
      <c r="U18" s="102" t="n"/>
      <c r="V18" s="102" t="n"/>
      <c r="W18" s="102" t="n"/>
      <c r="X18" s="102" t="n"/>
      <c r="Y18" s="102" t="n"/>
      <c r="Z18" s="102" t="n"/>
      <c r="AA18" s="102" t="n"/>
      <c r="AB18" s="102" t="n"/>
      <c r="AC18" s="102" t="n"/>
      <c r="AD18" s="102" t="n"/>
      <c r="AE18" s="102" t="n"/>
    </row>
    <row r="19" ht="13.2" customHeight="1" s="405">
      <c r="E19" s="106" t="n"/>
      <c r="F19" s="106" t="n"/>
      <c r="G19" s="106" t="n"/>
      <c r="H19" s="106" t="n"/>
      <c r="I19" s="106" t="n"/>
      <c r="J19" s="106" t="n"/>
      <c r="K19" s="106" t="n"/>
      <c r="L19" s="106" t="n"/>
      <c r="M19" s="106" t="n"/>
      <c r="N19" s="107" t="n"/>
      <c r="O19" s="108" t="n"/>
      <c r="P19" s="108" t="n"/>
      <c r="Q19" s="109" t="n"/>
    </row>
    <row r="20" ht="23.25" customHeight="1" s="405">
      <c r="A20" s="215" t="inlineStr">
        <is>
          <t>TỔNG</t>
        </is>
      </c>
      <c r="B20" s="439" t="n"/>
      <c r="C20" s="129" t="n"/>
      <c r="D20" s="129" t="n"/>
      <c r="E20" s="131">
        <f>E18+E11</f>
        <v/>
      </c>
      <c r="F20" s="131">
        <f>F18+F11</f>
        <v/>
      </c>
      <c r="G20" s="131">
        <f>G18+G11</f>
        <v/>
      </c>
      <c r="H20" s="131">
        <f>H18+H11</f>
        <v/>
      </c>
      <c r="I20" s="131">
        <f>I18+I11</f>
        <v/>
      </c>
      <c r="J20" s="131">
        <f>J18+J11</f>
        <v/>
      </c>
      <c r="K20" s="131">
        <f>K18+K11</f>
        <v/>
      </c>
      <c r="L20" s="131">
        <f>L18+L11</f>
        <v/>
      </c>
      <c r="M20" s="131">
        <f>M18+M11</f>
        <v/>
      </c>
      <c r="N20" s="134">
        <f>E20/L20</f>
        <v/>
      </c>
      <c r="O20" s="131">
        <f>O18+O11</f>
        <v/>
      </c>
      <c r="P20" s="131">
        <f>P18+P11</f>
        <v/>
      </c>
      <c r="Q20" s="135">
        <f>P20/O20</f>
        <v/>
      </c>
      <c r="R20" s="136" t="n"/>
      <c r="S20" s="136" t="n"/>
      <c r="T20" s="136" t="n"/>
      <c r="U20" s="136" t="n"/>
      <c r="V20" s="136" t="n"/>
      <c r="W20" s="136" t="n"/>
      <c r="X20" s="136" t="n"/>
      <c r="Y20" s="136" t="n"/>
      <c r="Z20" s="136" t="n"/>
      <c r="AA20" s="136" t="n"/>
      <c r="AB20" s="136" t="n"/>
      <c r="AC20" s="136" t="n"/>
      <c r="AD20" s="136" t="n"/>
      <c r="AE20" s="136" t="n"/>
    </row>
    <row r="24" ht="13.2" customHeight="1" s="405">
      <c r="A24" s="440" t="inlineStr">
        <is>
          <t>KẾ HOẠCH NGÂN SÁCH TUẦN 1</t>
        </is>
      </c>
    </row>
    <row r="25" ht="52.2" customHeight="1" s="405">
      <c r="A25" s="137" t="inlineStr">
        <is>
          <t>STT</t>
        </is>
      </c>
      <c r="B25" s="138" t="inlineStr">
        <is>
          <t>Họ và tên</t>
        </is>
      </c>
      <c r="C25" s="22" t="inlineStr">
        <is>
          <t>Số tài khoản</t>
        </is>
      </c>
      <c r="D25" s="212" t="inlineStr">
        <is>
          <t>Số Thẻ</t>
        </is>
      </c>
      <c r="E25" s="139" t="inlineStr">
        <is>
          <t>Ngân sách
/Tuần</t>
        </is>
      </c>
      <c r="F25" s="140" t="inlineStr">
        <is>
          <t>Thứ 2</t>
        </is>
      </c>
      <c r="G25" s="141" t="inlineStr">
        <is>
          <t>Thứ 3</t>
        </is>
      </c>
      <c r="H25" s="142" t="inlineStr">
        <is>
          <t>Thứ 4</t>
        </is>
      </c>
      <c r="I25" s="143" t="inlineStr">
        <is>
          <t>Thứ 5</t>
        </is>
      </c>
      <c r="J25" s="144" t="inlineStr">
        <is>
          <t>Thứ 6</t>
        </is>
      </c>
      <c r="K25" s="145" t="inlineStr">
        <is>
          <t>Thứ 7</t>
        </is>
      </c>
      <c r="L25" s="146" t="inlineStr">
        <is>
          <t>CN</t>
        </is>
      </c>
      <c r="M25" s="147" t="inlineStr">
        <is>
          <t>Tổng Doanh số
(Cần Đạt)</t>
        </is>
      </c>
      <c r="N25" s="148" t="inlineStr">
        <is>
          <t>Doanh số ngày
(Cần Đạt)</t>
        </is>
      </c>
      <c r="O25" s="148" t="inlineStr">
        <is>
          <t>Tỉ lệ CP</t>
        </is>
      </c>
      <c r="P25" s="149" t="inlineStr">
        <is>
          <t>DS THỰC TẾ</t>
        </is>
      </c>
      <c r="Q25" s="150" t="inlineStr">
        <is>
          <t>Ngân sách đã tiêu</t>
        </is>
      </c>
      <c r="R25" s="149" t="inlineStr">
        <is>
          <t>Tỉ lệ CP</t>
        </is>
      </c>
      <c r="S25" s="151" t="inlineStr">
        <is>
          <t>Dự trù ngân sách L1 (Ngày 01/07 - 02/07)</t>
        </is>
      </c>
      <c r="T25" s="151" t="inlineStr">
        <is>
          <t>Dự trù ngân sách L2 (Ngày 03/07 - 05/07)</t>
        </is>
      </c>
      <c r="U25" s="152" t="n"/>
    </row>
    <row r="26" ht="15.6" customHeight="1" s="405">
      <c r="A26" s="94" t="n">
        <v>1</v>
      </c>
      <c r="B26" s="49" t="inlineStr">
        <is>
          <t>Nguyễn Hoàng Anh</t>
        </is>
      </c>
      <c r="C26" s="85" t="inlineStr">
        <is>
          <t>7923 - 065</t>
        </is>
      </c>
      <c r="D26" s="86" t="n">
        <v>7923</v>
      </c>
      <c r="E26" s="266">
        <f>F26+G26+H26+I26+J26+K26+L26</f>
        <v/>
      </c>
      <c r="F26" s="156" t="n">
        <v>0</v>
      </c>
      <c r="G26" s="156" t="n">
        <v>0</v>
      </c>
      <c r="H26" s="156" t="n">
        <v>22000000</v>
      </c>
      <c r="I26" s="156" t="n">
        <v>22000000</v>
      </c>
      <c r="J26" s="156" t="n">
        <v>22000000</v>
      </c>
      <c r="K26" s="156" t="n">
        <v>22000000</v>
      </c>
      <c r="L26" s="156" t="n">
        <v>22000000</v>
      </c>
      <c r="M26" s="156" t="n">
        <v>300000000</v>
      </c>
      <c r="N26" s="156">
        <f>M26/7</f>
        <v/>
      </c>
      <c r="O26" s="157">
        <f>IFERROR(E26/M26,0)</f>
        <v/>
      </c>
      <c r="P26" s="158">
        <f>'Tổng tuần'!H3</f>
        <v/>
      </c>
      <c r="Q26" s="158">
        <f>'Tổng tuần'!F3</f>
        <v/>
      </c>
      <c r="R26" s="74">
        <f>Q26/P26</f>
        <v/>
      </c>
      <c r="S26" s="162">
        <f>SUM(F26:I26)</f>
        <v/>
      </c>
      <c r="T26" s="162">
        <f>SUM(J26:L26)</f>
        <v/>
      </c>
    </row>
    <row r="27" ht="15.6" customHeight="1" s="405">
      <c r="A27" s="94" t="n">
        <v>2</v>
      </c>
      <c r="B27" s="49" t="inlineStr">
        <is>
          <t>Bùi Quang Anh</t>
        </is>
      </c>
      <c r="C27" s="85" t="inlineStr">
        <is>
          <t>9793 - 081</t>
        </is>
      </c>
      <c r="D27" s="86" t="n">
        <v>9793</v>
      </c>
      <c r="E27" s="266">
        <f>F27+G27+H27+I27+J27+K27+L27</f>
        <v/>
      </c>
      <c r="F27" s="156" t="n">
        <v>0</v>
      </c>
      <c r="G27" s="156" t="n">
        <v>0</v>
      </c>
      <c r="H27" s="156" t="n">
        <v>12000000</v>
      </c>
      <c r="I27" s="156" t="n">
        <v>12000000</v>
      </c>
      <c r="J27" s="156" t="n">
        <v>12000000</v>
      </c>
      <c r="K27" s="156" t="n">
        <v>12000000</v>
      </c>
      <c r="L27" s="156" t="n">
        <v>12000000</v>
      </c>
      <c r="M27" s="156" t="n">
        <v>170000000</v>
      </c>
      <c r="N27" s="156">
        <f>M27/7</f>
        <v/>
      </c>
      <c r="O27" s="157">
        <f>IFERROR(E27/M27,0)</f>
        <v/>
      </c>
      <c r="P27" s="158">
        <f>'Tổng tuần'!H4</f>
        <v/>
      </c>
      <c r="Q27" s="158">
        <f>'Tổng tuần'!F4</f>
        <v/>
      </c>
      <c r="R27" s="74">
        <f>Q27/P27</f>
        <v/>
      </c>
      <c r="S27" s="162">
        <f>SUM(F27:I27)</f>
        <v/>
      </c>
      <c r="T27" s="162">
        <f>SUM(J27:L27)</f>
        <v/>
      </c>
    </row>
    <row r="28" ht="15.6" customHeight="1" s="405">
      <c r="A28" s="94" t="n">
        <v>3</v>
      </c>
      <c r="B28" s="49" t="inlineStr">
        <is>
          <t>Trần Quang Huy</t>
        </is>
      </c>
      <c r="C28" s="85" t="inlineStr">
        <is>
          <t>8384 - 057</t>
        </is>
      </c>
      <c r="D28" s="86" t="n">
        <v>8384</v>
      </c>
      <c r="E28" s="266">
        <f>F28+G28+H28+I28+J28+K28+L28</f>
        <v/>
      </c>
      <c r="F28" s="156" t="n">
        <v>0</v>
      </c>
      <c r="G28" s="156" t="n">
        <v>0</v>
      </c>
      <c r="H28" s="156" t="n">
        <v>15000000</v>
      </c>
      <c r="I28" s="156" t="n">
        <v>15000000</v>
      </c>
      <c r="J28" s="156" t="n">
        <v>15000000</v>
      </c>
      <c r="K28" s="156" t="n">
        <v>15000000</v>
      </c>
      <c r="L28" s="156" t="n">
        <v>15000000</v>
      </c>
      <c r="M28" s="156" t="n">
        <v>200000000</v>
      </c>
      <c r="N28" s="156">
        <f>M28/7</f>
        <v/>
      </c>
      <c r="O28" s="157">
        <f>IFERROR(E28/M28,0)</f>
        <v/>
      </c>
      <c r="P28" s="158">
        <f>'Tổng tuần'!H5</f>
        <v/>
      </c>
      <c r="Q28" s="158">
        <f>'Tổng tuần'!F5</f>
        <v/>
      </c>
      <c r="R28" s="74">
        <f>Q28/P28</f>
        <v/>
      </c>
      <c r="S28" s="162">
        <f>SUM(F28:I28)</f>
        <v/>
      </c>
      <c r="T28" s="162">
        <f>SUM(J28:L28)</f>
        <v/>
      </c>
    </row>
    <row r="29" ht="15.6" customHeight="1" s="405">
      <c r="A29" s="94" t="n">
        <v>4</v>
      </c>
      <c r="B29" s="49" t="inlineStr">
        <is>
          <t>Phạm Thế Hải</t>
        </is>
      </c>
      <c r="C29" s="85" t="inlineStr">
        <is>
          <t>8879 - 073</t>
        </is>
      </c>
      <c r="D29" s="86" t="n">
        <v>8879</v>
      </c>
      <c r="E29" s="266">
        <f>F29+G29+H29+I29+J29+K29+L29</f>
        <v/>
      </c>
      <c r="F29" s="156" t="n">
        <v>0</v>
      </c>
      <c r="G29" s="156" t="n">
        <v>0</v>
      </c>
      <c r="H29" s="156" t="n">
        <v>12000000</v>
      </c>
      <c r="I29" s="156" t="n">
        <v>12000000</v>
      </c>
      <c r="J29" s="156" t="n">
        <v>12000000</v>
      </c>
      <c r="K29" s="156" t="n">
        <v>12000000</v>
      </c>
      <c r="L29" s="156" t="n">
        <v>12000000</v>
      </c>
      <c r="M29" s="156" t="n">
        <v>160000000</v>
      </c>
      <c r="N29" s="156">
        <f>M29/7</f>
        <v/>
      </c>
      <c r="O29" s="157">
        <f>IFERROR(E29/M29,0)</f>
        <v/>
      </c>
      <c r="P29" s="158">
        <f>'Tổng tuần'!H6</f>
        <v/>
      </c>
      <c r="Q29" s="158">
        <f>'Tổng tuần'!F6</f>
        <v/>
      </c>
      <c r="R29" s="74">
        <f>Q29/P29</f>
        <v/>
      </c>
      <c r="S29" s="162">
        <f>SUM(F29:I29)</f>
        <v/>
      </c>
      <c r="T29" s="162">
        <f>SUM(J29:L29)</f>
        <v/>
      </c>
    </row>
    <row r="30" ht="15.6" customHeight="1" s="405">
      <c r="A30" s="94" t="n">
        <v>5</v>
      </c>
      <c r="B30" s="49" t="inlineStr">
        <is>
          <t>Nguyễn Văn Lý</t>
        </is>
      </c>
      <c r="C30" s="85" t="inlineStr">
        <is>
          <t>1695 - 121</t>
        </is>
      </c>
      <c r="D30" s="86" t="n">
        <v>1695</v>
      </c>
      <c r="E30" s="266">
        <f>F30+G30+H30+I30+J30+K30+L30</f>
        <v/>
      </c>
      <c r="F30" s="156" t="n">
        <v>0</v>
      </c>
      <c r="G30" s="156" t="n">
        <v>0</v>
      </c>
      <c r="H30" s="156" t="n">
        <v>7000000</v>
      </c>
      <c r="I30" s="156" t="n">
        <v>7000000</v>
      </c>
      <c r="J30" s="156" t="n">
        <v>7000000</v>
      </c>
      <c r="K30" s="156" t="n">
        <v>7000000</v>
      </c>
      <c r="L30" s="156" t="n">
        <v>7000000</v>
      </c>
      <c r="M30" s="156" t="n">
        <v>90000000</v>
      </c>
      <c r="N30" s="156">
        <f>M30/7</f>
        <v/>
      </c>
      <c r="O30" s="157">
        <f>IFERROR(E30/M30,0)</f>
        <v/>
      </c>
      <c r="P30" s="158">
        <f>'Tổng tuần'!H7</f>
        <v/>
      </c>
      <c r="Q30" s="158">
        <f>'Tổng tuần'!F7</f>
        <v/>
      </c>
      <c r="R30" s="74">
        <f>Q30/P30</f>
        <v/>
      </c>
      <c r="S30" s="162">
        <f>SUM(F30:I30)</f>
        <v/>
      </c>
      <c r="T30" s="162">
        <f>SUM(J30:L30)</f>
        <v/>
      </c>
    </row>
    <row r="31" ht="15.6" customHeight="1" s="405">
      <c r="A31" s="94" t="n">
        <v>6</v>
      </c>
      <c r="B31" s="49" t="inlineStr">
        <is>
          <t>Đỗ Quốc Anh</t>
        </is>
      </c>
      <c r="C31" s="85" t="inlineStr">
        <is>
          <t>9330 - 091</t>
        </is>
      </c>
      <c r="D31" s="86" t="n">
        <v>9330</v>
      </c>
      <c r="E31" s="266">
        <f>F31+G31+H31+I31+J31+K31+L31</f>
        <v/>
      </c>
      <c r="F31" s="156" t="n">
        <v>0</v>
      </c>
      <c r="G31" s="156" t="n">
        <v>0</v>
      </c>
      <c r="H31" s="156" t="n">
        <v>5000000</v>
      </c>
      <c r="I31" s="156" t="n">
        <v>5000000</v>
      </c>
      <c r="J31" s="156" t="n">
        <v>5000000</v>
      </c>
      <c r="K31" s="156" t="n">
        <v>5000000</v>
      </c>
      <c r="L31" s="156" t="n">
        <v>5000000</v>
      </c>
      <c r="M31" s="156" t="n">
        <v>70000000</v>
      </c>
      <c r="N31" s="156">
        <f>M31/7</f>
        <v/>
      </c>
      <c r="O31" s="157">
        <f>IFERROR(E31/M31,0)</f>
        <v/>
      </c>
      <c r="P31" s="158">
        <f>'Tổng tuần'!H8</f>
        <v/>
      </c>
      <c r="Q31" s="158">
        <f>'Tổng tuần'!F8</f>
        <v/>
      </c>
      <c r="R31" s="74">
        <f>Q31/P31</f>
        <v/>
      </c>
      <c r="S31" s="162">
        <f>SUM(F31:I31)</f>
        <v/>
      </c>
      <c r="T31" s="162">
        <f>SUM(J31:L31)</f>
        <v/>
      </c>
    </row>
    <row r="32" hidden="1" ht="17.4" customHeight="1" s="405">
      <c r="A32" s="94" t="n">
        <v>7</v>
      </c>
      <c r="B32" s="84" t="n"/>
      <c r="C32" s="94" t="n"/>
      <c r="D32" s="94" t="n"/>
      <c r="E32" s="266">
        <f>F32+G32+H32+I32+J32+K32+L32</f>
        <v/>
      </c>
      <c r="F32" s="156" t="n"/>
      <c r="G32" s="156" t="n"/>
      <c r="H32" s="156" t="n"/>
      <c r="I32" s="156" t="n"/>
      <c r="J32" s="156" t="n"/>
      <c r="K32" s="156" t="n"/>
      <c r="L32" s="156" t="n"/>
      <c r="M32" s="156" t="n"/>
      <c r="N32" s="156">
        <f>M32/7</f>
        <v/>
      </c>
      <c r="O32" s="157">
        <f>IFERROR(E32/M32,0)</f>
        <v/>
      </c>
      <c r="P32" s="174" t="n"/>
      <c r="Q32" s="174" t="n"/>
      <c r="R32" s="74">
        <f>Q32/P32</f>
        <v/>
      </c>
      <c r="S32" s="162">
        <f>SUM(F32:I32)</f>
        <v/>
      </c>
      <c r="T32" s="162">
        <f>SUM(J32:L32)</f>
        <v/>
      </c>
    </row>
    <row r="33" hidden="1" ht="13.2" customHeight="1" s="405">
      <c r="A33" s="94" t="n">
        <v>8</v>
      </c>
      <c r="B33" s="94" t="n"/>
      <c r="C33" s="94" t="n"/>
      <c r="D33" s="94" t="n"/>
      <c r="E33" s="266">
        <f>F33+G33+H33+I33+J33+K33+L33</f>
        <v/>
      </c>
      <c r="F33" s="156" t="n"/>
      <c r="G33" s="156" t="n"/>
      <c r="H33" s="156" t="n"/>
      <c r="I33" s="156" t="n"/>
      <c r="J33" s="156" t="n"/>
      <c r="K33" s="156" t="n"/>
      <c r="L33" s="156" t="n"/>
      <c r="M33" s="156" t="n"/>
      <c r="N33" s="156">
        <f>M33/7</f>
        <v/>
      </c>
      <c r="O33" s="157">
        <f>IFERROR(E33/M33,0)</f>
        <v/>
      </c>
      <c r="P33" s="174" t="n"/>
      <c r="Q33" s="174" t="n"/>
      <c r="R33" s="74">
        <f>Q33/P33</f>
        <v/>
      </c>
      <c r="S33" s="162">
        <f>SUM(F33:I33)</f>
        <v/>
      </c>
      <c r="T33" s="162">
        <f>SUM(J33:L33)</f>
        <v/>
      </c>
    </row>
    <row r="34" ht="13.8" customHeight="1" s="405">
      <c r="A34" s="209" t="inlineStr">
        <is>
          <t>TỔNG TEAM NT</t>
        </is>
      </c>
      <c r="B34" s="439" t="n"/>
      <c r="C34" s="178" t="n"/>
      <c r="D34" s="178" t="n"/>
      <c r="E34" s="180">
        <f>SUM(E26:E33)</f>
        <v/>
      </c>
      <c r="F34" s="180">
        <f>SUM(F26:F33)</f>
        <v/>
      </c>
      <c r="G34" s="180">
        <f>SUM(G26:G33)</f>
        <v/>
      </c>
      <c r="H34" s="180">
        <f>SUM(H26:H33)</f>
        <v/>
      </c>
      <c r="I34" s="180">
        <f>SUM(I26:I33)</f>
        <v/>
      </c>
      <c r="J34" s="180">
        <f>SUM(J26:J33)</f>
        <v/>
      </c>
      <c r="K34" s="180">
        <f>SUM(K26:K33)</f>
        <v/>
      </c>
      <c r="L34" s="180">
        <f>SUM(L26:L33)</f>
        <v/>
      </c>
      <c r="M34" s="184">
        <f>SUM(M26:M33)</f>
        <v/>
      </c>
      <c r="N34" s="180">
        <f>M34/7</f>
        <v/>
      </c>
      <c r="O34" s="183">
        <f>IFERROR(E34/M34,0)</f>
        <v/>
      </c>
      <c r="P34" s="174" t="n"/>
      <c r="Q34" s="174" t="n"/>
      <c r="R34" s="74">
        <f>Q34/P34</f>
        <v/>
      </c>
      <c r="S34" s="184">
        <f>SUM(F34:I34)</f>
        <v/>
      </c>
      <c r="T34" s="184">
        <f>SUM(J34:L34)</f>
        <v/>
      </c>
      <c r="U34" s="419" t="n"/>
      <c r="V34" s="419" t="n"/>
      <c r="W34" s="419" t="n"/>
      <c r="X34" s="419" t="n"/>
      <c r="Y34" s="419" t="n"/>
      <c r="Z34" s="419" t="n"/>
      <c r="AA34" s="419" t="n"/>
      <c r="AB34" s="419" t="n"/>
      <c r="AC34" s="419" t="n"/>
      <c r="AD34" s="419" t="n"/>
      <c r="AE34" s="419" t="n"/>
    </row>
    <row r="35" ht="13.2" customHeight="1" s="405">
      <c r="P35" s="419" t="n"/>
      <c r="Q35" s="419" t="n"/>
      <c r="R35" s="419" t="n"/>
      <c r="T35" s="94" t="n"/>
    </row>
    <row r="36" ht="15.6" customHeight="1" s="405">
      <c r="A36" s="94" t="n">
        <v>1</v>
      </c>
      <c r="B36" s="112" t="inlineStr">
        <is>
          <t>Nguyễn Thọ Thưởng</t>
        </is>
      </c>
      <c r="C36" s="94" t="n"/>
      <c r="D36" s="94" t="n"/>
      <c r="E36" s="94">
        <f>F36+G36+H36+I36+J36+K36+L36</f>
        <v/>
      </c>
      <c r="F36" s="186" t="n"/>
      <c r="G36" s="186" t="n"/>
      <c r="H36" s="186" t="n"/>
      <c r="I36" s="186" t="n"/>
      <c r="J36" s="186" t="n"/>
      <c r="K36" s="186" t="n"/>
      <c r="L36" s="186" t="n"/>
      <c r="M36" s="186" t="n"/>
      <c r="N36" s="186">
        <f>M36/7</f>
        <v/>
      </c>
      <c r="O36" s="186">
        <f>E36/M36</f>
        <v/>
      </c>
      <c r="P36" s="158">
        <f>'Tổng tuần'!H13</f>
        <v/>
      </c>
      <c r="Q36" s="158">
        <f>'Tổng tuần'!F13</f>
        <v/>
      </c>
      <c r="R36" s="190">
        <f>Q36/P36</f>
        <v/>
      </c>
      <c r="S36" s="186" t="n"/>
      <c r="T36" s="186" t="n"/>
    </row>
    <row r="37" ht="13.2" customHeight="1" s="405">
      <c r="A37" s="94" t="n">
        <v>2</v>
      </c>
      <c r="B37" s="94" t="n"/>
      <c r="C37" s="94" t="n"/>
      <c r="D37" s="94" t="n"/>
      <c r="E37" s="94">
        <f>F37+G37+H37+I37+J37+K37+L37</f>
        <v/>
      </c>
      <c r="F37" s="186" t="n"/>
      <c r="G37" s="186" t="n"/>
      <c r="H37" s="186" t="n"/>
      <c r="I37" s="186" t="n"/>
      <c r="J37" s="186" t="n"/>
      <c r="K37" s="186" t="n"/>
      <c r="L37" s="186" t="n"/>
      <c r="M37" s="186" t="n"/>
      <c r="N37" s="186">
        <f>M37/7</f>
        <v/>
      </c>
      <c r="O37" s="186">
        <f>E37/M37</f>
        <v/>
      </c>
      <c r="P37" s="174" t="n"/>
      <c r="Q37" s="174" t="n"/>
      <c r="R37" s="190">
        <f>Q37/P37</f>
        <v/>
      </c>
      <c r="S37" s="186" t="n"/>
      <c r="T37" s="186" t="n"/>
    </row>
    <row r="38" ht="13.2" customHeight="1" s="405">
      <c r="A38" s="94" t="n">
        <v>3</v>
      </c>
      <c r="B38" s="94" t="n"/>
      <c r="C38" s="94" t="n"/>
      <c r="D38" s="94" t="n"/>
      <c r="E38" s="94">
        <f>F38+G38+H38+I38+J38+K38+L38</f>
        <v/>
      </c>
      <c r="F38" s="186" t="n"/>
      <c r="G38" s="186" t="n"/>
      <c r="H38" s="186" t="n"/>
      <c r="I38" s="186" t="n"/>
      <c r="J38" s="186" t="n"/>
      <c r="K38" s="186" t="n"/>
      <c r="L38" s="186" t="n"/>
      <c r="M38" s="186" t="n"/>
      <c r="N38" s="186">
        <f>M38/7</f>
        <v/>
      </c>
      <c r="O38" s="186">
        <f>E38/M38</f>
        <v/>
      </c>
      <c r="P38" s="174" t="n"/>
      <c r="Q38" s="174" t="n"/>
      <c r="R38" s="190">
        <f>Q38/P38</f>
        <v/>
      </c>
      <c r="S38" s="186" t="n"/>
      <c r="T38" s="186" t="n"/>
    </row>
    <row r="39" ht="13.2" customHeight="1" s="405">
      <c r="A39" s="94" t="n">
        <v>4</v>
      </c>
      <c r="B39" s="94" t="n"/>
      <c r="C39" s="94" t="n"/>
      <c r="D39" s="94" t="n"/>
      <c r="E39" s="94">
        <f>F39+G39+H39+I39+J39+K39+L39</f>
        <v/>
      </c>
      <c r="F39" s="186" t="n"/>
      <c r="G39" s="186" t="n"/>
      <c r="H39" s="186" t="n"/>
      <c r="I39" s="186" t="n"/>
      <c r="J39" s="186" t="n"/>
      <c r="K39" s="186" t="n"/>
      <c r="L39" s="186" t="n"/>
      <c r="M39" s="186" t="n"/>
      <c r="N39" s="186">
        <f>M39/7</f>
        <v/>
      </c>
      <c r="O39" s="186">
        <f>E39/M39</f>
        <v/>
      </c>
      <c r="P39" s="174" t="n"/>
      <c r="Q39" s="174" t="n"/>
      <c r="R39" s="190">
        <f>Q39/P39</f>
        <v/>
      </c>
      <c r="S39" s="186" t="n"/>
      <c r="T39" s="186" t="n"/>
    </row>
    <row r="40" ht="13.2" customHeight="1" s="405">
      <c r="A40" s="94" t="n">
        <v>5</v>
      </c>
      <c r="B40" s="94" t="n"/>
      <c r="C40" s="94" t="n"/>
      <c r="D40" s="94" t="n"/>
      <c r="E40" s="94">
        <f>F40+G40+H40+I40+J40+K40+L40</f>
        <v/>
      </c>
      <c r="F40" s="186" t="n"/>
      <c r="G40" s="186" t="n"/>
      <c r="H40" s="186" t="n"/>
      <c r="I40" s="186" t="n"/>
      <c r="J40" s="186" t="n"/>
      <c r="K40" s="186" t="n"/>
      <c r="L40" s="186" t="n"/>
      <c r="M40" s="186" t="n"/>
      <c r="N40" s="186">
        <f>M40/7</f>
        <v/>
      </c>
      <c r="O40" s="186">
        <f>E40/M40</f>
        <v/>
      </c>
      <c r="P40" s="174" t="n"/>
      <c r="Q40" s="174" t="n"/>
      <c r="R40" s="190">
        <f>Q40/P40</f>
        <v/>
      </c>
      <c r="S40" s="186" t="n"/>
      <c r="T40" s="186" t="n"/>
    </row>
    <row r="41" ht="13.8" customHeight="1" s="405">
      <c r="A41" s="209" t="inlineStr">
        <is>
          <t>TỔNG TEAM OCP</t>
        </is>
      </c>
      <c r="B41" s="439" t="n"/>
      <c r="C41" s="178" t="n"/>
      <c r="D41" s="178" t="n"/>
      <c r="E41" s="178">
        <f>SUM(E36:E40)</f>
        <v/>
      </c>
      <c r="F41" s="178">
        <f>SUM(F36:F40)</f>
        <v/>
      </c>
      <c r="G41" s="178">
        <f>SUM(G36:G40)</f>
        <v/>
      </c>
      <c r="H41" s="178">
        <f>SUM(H36:H40)</f>
        <v/>
      </c>
      <c r="I41" s="178">
        <f>SUM(I36:I40)</f>
        <v/>
      </c>
      <c r="J41" s="178">
        <f>SUM(J36:J40)</f>
        <v/>
      </c>
      <c r="K41" s="178">
        <f>SUM(K36:K40)</f>
        <v/>
      </c>
      <c r="L41" s="178">
        <f>SUM(L36:L40)</f>
        <v/>
      </c>
      <c r="M41" s="178">
        <f>SUM(M36:M40)</f>
        <v/>
      </c>
      <c r="N41" s="196">
        <f>M41/7</f>
        <v/>
      </c>
      <c r="O41" s="196">
        <f>E41/M41</f>
        <v/>
      </c>
      <c r="P41" s="178" t="n"/>
      <c r="Q41" s="178" t="n"/>
      <c r="R41" s="74">
        <f>Q41/P41</f>
        <v/>
      </c>
      <c r="S41" s="178" t="n"/>
      <c r="T41" s="178" t="n"/>
      <c r="U41" s="419" t="n"/>
      <c r="V41" s="419" t="n"/>
      <c r="W41" s="419" t="n"/>
      <c r="X41" s="419" t="n"/>
      <c r="Y41" s="419" t="n"/>
      <c r="Z41" s="419" t="n"/>
      <c r="AA41" s="419" t="n"/>
      <c r="AB41" s="419" t="n"/>
      <c r="AC41" s="419" t="n"/>
      <c r="AD41" s="419" t="n"/>
      <c r="AE41" s="419" t="n"/>
    </row>
    <row r="42" ht="13.2" customHeight="1" s="405">
      <c r="P42" s="419" t="n"/>
      <c r="Q42" s="419" t="n"/>
      <c r="R42" s="419" t="n"/>
      <c r="T42" s="94" t="n"/>
    </row>
    <row r="43" ht="23.25" customHeight="1" s="405">
      <c r="A43" s="215" t="inlineStr">
        <is>
          <t>TỔNG</t>
        </is>
      </c>
      <c r="B43" s="439" t="n"/>
      <c r="C43" s="199" t="n"/>
      <c r="D43" s="199" t="n"/>
      <c r="E43" s="131">
        <f>E41+E34</f>
        <v/>
      </c>
      <c r="F43" s="131">
        <f>F41+F34</f>
        <v/>
      </c>
      <c r="G43" s="131">
        <f>G41+G34</f>
        <v/>
      </c>
      <c r="H43" s="131">
        <f>H41+H34</f>
        <v/>
      </c>
      <c r="I43" s="131">
        <f>I41+I34</f>
        <v/>
      </c>
      <c r="J43" s="131">
        <f>J41+J34</f>
        <v/>
      </c>
      <c r="K43" s="131">
        <f>K41+K34</f>
        <v/>
      </c>
      <c r="L43" s="131">
        <f>L41+L34</f>
        <v/>
      </c>
      <c r="M43" s="131">
        <f>M41+M34</f>
        <v/>
      </c>
      <c r="N43" s="131">
        <f>N41+N34</f>
        <v/>
      </c>
      <c r="O43" s="203">
        <f>E43/M43</f>
        <v/>
      </c>
      <c r="P43" s="131">
        <f>P41+P34</f>
        <v/>
      </c>
      <c r="Q43" s="131">
        <f>Q41+Q34</f>
        <v/>
      </c>
      <c r="R43" s="204">
        <f>Q43/P43</f>
        <v/>
      </c>
      <c r="S43" s="131">
        <f>S41+S34</f>
        <v/>
      </c>
      <c r="T43" s="131">
        <f>T41+T34</f>
        <v/>
      </c>
      <c r="U43" s="205" t="n"/>
      <c r="V43" s="205" t="n"/>
      <c r="W43" s="205" t="n"/>
      <c r="X43" s="205" t="n"/>
      <c r="Y43" s="205" t="n"/>
      <c r="Z43" s="205" t="n"/>
      <c r="AA43" s="205" t="n"/>
      <c r="AB43" s="205" t="n"/>
      <c r="AC43" s="205" t="n"/>
      <c r="AD43" s="205" t="n"/>
      <c r="AE43" s="205" t="n"/>
    </row>
    <row r="46" ht="13.2" customHeight="1" s="405">
      <c r="A46" s="440" t="inlineStr">
        <is>
          <t>KẾ HOẠCH NGÂN SÁCH TUẦN 2</t>
        </is>
      </c>
    </row>
    <row r="47" ht="52.2" customHeight="1" s="405">
      <c r="A47" s="137" t="inlineStr">
        <is>
          <t>STT</t>
        </is>
      </c>
      <c r="B47" s="138" t="inlineStr">
        <is>
          <t>Họ và tên</t>
        </is>
      </c>
      <c r="C47" s="22" t="inlineStr">
        <is>
          <t>Số tài khoản</t>
        </is>
      </c>
      <c r="D47" s="212" t="inlineStr">
        <is>
          <t>Số Thẻ</t>
        </is>
      </c>
      <c r="E47" s="139" t="inlineStr">
        <is>
          <t>Ngân sách
/Tuần</t>
        </is>
      </c>
      <c r="F47" s="140" t="inlineStr">
        <is>
          <t>Thứ 2</t>
        </is>
      </c>
      <c r="G47" s="141" t="inlineStr">
        <is>
          <t>Thứ 3</t>
        </is>
      </c>
      <c r="H47" s="142" t="inlineStr">
        <is>
          <t>Thứ 4</t>
        </is>
      </c>
      <c r="I47" s="143" t="inlineStr">
        <is>
          <t>Thứ 5</t>
        </is>
      </c>
      <c r="J47" s="144" t="inlineStr">
        <is>
          <t>Thứ 6</t>
        </is>
      </c>
      <c r="K47" s="145" t="inlineStr">
        <is>
          <t>Thứ 7</t>
        </is>
      </c>
      <c r="L47" s="206" t="inlineStr">
        <is>
          <t>CN</t>
        </is>
      </c>
      <c r="M47" s="147" t="inlineStr">
        <is>
          <t>Tổng Doanh số
(Cần Đạt)</t>
        </is>
      </c>
      <c r="N47" s="148" t="inlineStr">
        <is>
          <t>Doanh số ngày
(Cần Đạt)</t>
        </is>
      </c>
      <c r="O47" s="148" t="inlineStr">
        <is>
          <t>Tỉ lệ CP</t>
        </is>
      </c>
      <c r="P47" s="149" t="inlineStr">
        <is>
          <t>DS THỰC TẾ</t>
        </is>
      </c>
      <c r="Q47" s="150" t="inlineStr">
        <is>
          <t>Ngân sách đã tiêu</t>
        </is>
      </c>
      <c r="R47" s="149" t="inlineStr">
        <is>
          <t>Tỉ lệ CP</t>
        </is>
      </c>
      <c r="S47" s="151" t="inlineStr">
        <is>
          <t>Dự trù ngân sách L1 (Ngày 06/07 - 09/07)</t>
        </is>
      </c>
      <c r="T47" s="151" t="inlineStr">
        <is>
          <t>Dự trù ngân sách L2 (Ngày 10/07 - 12/07)</t>
        </is>
      </c>
      <c r="U47" s="152" t="n"/>
    </row>
    <row r="48" ht="15.6" customHeight="1" s="405">
      <c r="A48" s="94" t="n">
        <v>1</v>
      </c>
      <c r="B48" s="49" t="inlineStr">
        <is>
          <t>Nguyễn Hoàng Anh</t>
        </is>
      </c>
      <c r="C48" s="85" t="inlineStr">
        <is>
          <t>7923 - 065</t>
        </is>
      </c>
      <c r="D48" s="86" t="n">
        <v>7923</v>
      </c>
      <c r="E48" s="266">
        <f>F48+G48+H48+I48+J48+K48+L48</f>
        <v/>
      </c>
      <c r="F48" s="156" t="n">
        <v>22000000</v>
      </c>
      <c r="G48" s="156" t="n">
        <v>22000000</v>
      </c>
      <c r="H48" s="156" t="n">
        <v>22000000</v>
      </c>
      <c r="I48" s="156" t="n">
        <v>22000000</v>
      </c>
      <c r="J48" s="156" t="n">
        <v>22000000</v>
      </c>
      <c r="K48" s="156" t="n">
        <v>22000000</v>
      </c>
      <c r="L48" s="156" t="n">
        <v>22000000</v>
      </c>
      <c r="M48" s="156" t="n">
        <v>300000000</v>
      </c>
      <c r="N48" s="156">
        <f>M48/7</f>
        <v/>
      </c>
      <c r="O48" s="157">
        <f>E48/M48</f>
        <v/>
      </c>
      <c r="P48" s="158">
        <f>'Tổng tuần'!M3</f>
        <v/>
      </c>
      <c r="Q48" s="158">
        <f>'Tổng tuần'!K3</f>
        <v/>
      </c>
      <c r="R48" s="190">
        <f>Q48/P48</f>
        <v/>
      </c>
      <c r="S48" s="162">
        <f>SUM(F48:I48)</f>
        <v/>
      </c>
      <c r="T48" s="162">
        <f>SUM(J48:L48)</f>
        <v/>
      </c>
    </row>
    <row r="49" ht="15.6" customHeight="1" s="405">
      <c r="A49" s="94" t="n">
        <v>2</v>
      </c>
      <c r="B49" s="49" t="inlineStr">
        <is>
          <t>Bùi Quang Anh</t>
        </is>
      </c>
      <c r="C49" s="85" t="inlineStr">
        <is>
          <t>9793 - 081</t>
        </is>
      </c>
      <c r="D49" s="86" t="n">
        <v>9793</v>
      </c>
      <c r="E49" s="266">
        <f>F49+G49+H49+I49+J49+K49+L49</f>
        <v/>
      </c>
      <c r="F49" s="156" t="n">
        <v>12000000</v>
      </c>
      <c r="G49" s="156" t="n">
        <v>12000000</v>
      </c>
      <c r="H49" s="156" t="n">
        <v>12000000</v>
      </c>
      <c r="I49" s="156" t="n">
        <v>12000000</v>
      </c>
      <c r="J49" s="156" t="n">
        <v>15000000</v>
      </c>
      <c r="K49" s="156" t="n">
        <v>15000000</v>
      </c>
      <c r="L49" s="156" t="n">
        <v>15000000</v>
      </c>
      <c r="M49" s="156" t="n">
        <v>200000000</v>
      </c>
      <c r="N49" s="156">
        <f>M49/7</f>
        <v/>
      </c>
      <c r="O49" s="157">
        <f>E49/M49</f>
        <v/>
      </c>
      <c r="P49" s="158">
        <f>'Tổng tuần'!M4</f>
        <v/>
      </c>
      <c r="Q49" s="158">
        <f>'Tổng tuần'!K4</f>
        <v/>
      </c>
      <c r="R49" s="190">
        <f>Q49/P49</f>
        <v/>
      </c>
      <c r="S49" s="162">
        <f>SUM(F49:I49)</f>
        <v/>
      </c>
      <c r="T49" s="162">
        <f>SUM(J49:L49)</f>
        <v/>
      </c>
    </row>
    <row r="50" ht="15.6" customHeight="1" s="405">
      <c r="A50" s="94" t="n">
        <v>3</v>
      </c>
      <c r="B50" s="49" t="inlineStr">
        <is>
          <t>Trần Quang Huy</t>
        </is>
      </c>
      <c r="C50" s="85" t="inlineStr">
        <is>
          <t>8384 - 057</t>
        </is>
      </c>
      <c r="D50" s="86" t="n">
        <v>8384</v>
      </c>
      <c r="E50" s="266">
        <f>F50+G50+H50+I50+J50+K50+L50</f>
        <v/>
      </c>
      <c r="F50" s="156" t="n">
        <v>15000000</v>
      </c>
      <c r="G50" s="156" t="n">
        <v>15000000</v>
      </c>
      <c r="H50" s="156" t="n">
        <v>15000000</v>
      </c>
      <c r="I50" s="156" t="n">
        <v>15000000</v>
      </c>
      <c r="J50" s="156" t="n">
        <v>15000000</v>
      </c>
      <c r="K50" s="156" t="n">
        <v>15000000</v>
      </c>
      <c r="L50" s="156" t="n">
        <v>15000000</v>
      </c>
      <c r="M50" s="156" t="n">
        <v>200000000</v>
      </c>
      <c r="N50" s="156">
        <f>M50/7</f>
        <v/>
      </c>
      <c r="O50" s="157">
        <f>E50/M50</f>
        <v/>
      </c>
      <c r="P50" s="158">
        <f>'Tổng tuần'!M5</f>
        <v/>
      </c>
      <c r="Q50" s="158">
        <f>'Tổng tuần'!K5</f>
        <v/>
      </c>
      <c r="R50" s="190">
        <f>Q50/P50</f>
        <v/>
      </c>
      <c r="S50" s="162">
        <f>SUM(F50:I50)</f>
        <v/>
      </c>
      <c r="T50" s="162">
        <f>SUM(J50:L50)</f>
        <v/>
      </c>
    </row>
    <row r="51" ht="15.6" customHeight="1" s="405">
      <c r="A51" s="94" t="n">
        <v>4</v>
      </c>
      <c r="B51" s="49" t="inlineStr">
        <is>
          <t>Phạm Thế Hải</t>
        </is>
      </c>
      <c r="C51" s="85" t="inlineStr">
        <is>
          <t>8879 - 073</t>
        </is>
      </c>
      <c r="D51" s="86" t="n">
        <v>8879</v>
      </c>
      <c r="E51" s="266">
        <f>F51+G51+H51+I51+J51+K51+L51</f>
        <v/>
      </c>
      <c r="F51" s="156" t="n">
        <v>12000000</v>
      </c>
      <c r="G51" s="156" t="n">
        <v>12000000</v>
      </c>
      <c r="H51" s="156" t="n">
        <v>12000000</v>
      </c>
      <c r="I51" s="156" t="n">
        <v>12000000</v>
      </c>
      <c r="J51" s="156" t="n">
        <v>12000000</v>
      </c>
      <c r="K51" s="156" t="n">
        <v>12000000</v>
      </c>
      <c r="L51" s="156" t="n">
        <v>12000000</v>
      </c>
      <c r="M51" s="156" t="n">
        <v>160000000</v>
      </c>
      <c r="N51" s="156">
        <f>M51/7</f>
        <v/>
      </c>
      <c r="O51" s="157">
        <f>E51/M51</f>
        <v/>
      </c>
      <c r="P51" s="158">
        <f>'Tổng tuần'!M6</f>
        <v/>
      </c>
      <c r="Q51" s="158">
        <f>'Tổng tuần'!K6</f>
        <v/>
      </c>
      <c r="R51" s="190">
        <f>Q51/P51</f>
        <v/>
      </c>
      <c r="S51" s="162">
        <f>SUM(F51:I51)</f>
        <v/>
      </c>
      <c r="T51" s="162">
        <f>SUM(J51:L51)</f>
        <v/>
      </c>
    </row>
    <row r="52" ht="15.6" customHeight="1" s="405">
      <c r="A52" s="94" t="n">
        <v>5</v>
      </c>
      <c r="B52" s="49" t="inlineStr">
        <is>
          <t>Nguyễn Văn Lý</t>
        </is>
      </c>
      <c r="C52" s="85" t="inlineStr">
        <is>
          <t>1695 - 121</t>
        </is>
      </c>
      <c r="D52" s="86" t="n">
        <v>1695</v>
      </c>
      <c r="E52" s="266">
        <f>F52+G52+H52+I52+J52+K52+L52</f>
        <v/>
      </c>
      <c r="F52" s="156" t="n">
        <v>7000000</v>
      </c>
      <c r="G52" s="156" t="n">
        <v>7000000</v>
      </c>
      <c r="H52" s="156" t="n">
        <v>7000000</v>
      </c>
      <c r="I52" s="156" t="n">
        <v>7000000</v>
      </c>
      <c r="J52" s="156" t="n">
        <v>7000000</v>
      </c>
      <c r="K52" s="156" t="n">
        <v>7000000</v>
      </c>
      <c r="L52" s="156" t="n">
        <v>7000000</v>
      </c>
      <c r="M52" s="156" t="n">
        <v>90000000</v>
      </c>
      <c r="N52" s="156">
        <f>M52/7</f>
        <v/>
      </c>
      <c r="O52" s="157">
        <f>E52/M52</f>
        <v/>
      </c>
      <c r="P52" s="158">
        <f>'Tổng tuần'!M7</f>
        <v/>
      </c>
      <c r="Q52" s="158">
        <f>'Tổng tuần'!K7</f>
        <v/>
      </c>
      <c r="R52" s="190">
        <f>Q52/P52</f>
        <v/>
      </c>
      <c r="S52" s="162">
        <f>SUM(F52:I52)</f>
        <v/>
      </c>
      <c r="T52" s="162">
        <f>SUM(J52:L52)</f>
        <v/>
      </c>
    </row>
    <row r="53" ht="15.6" customHeight="1" s="405">
      <c r="A53" s="94" t="n">
        <v>6</v>
      </c>
      <c r="B53" s="49" t="inlineStr">
        <is>
          <t>Đỗ Quốc Anh</t>
        </is>
      </c>
      <c r="C53" s="85" t="inlineStr">
        <is>
          <t>9330 - 091</t>
        </is>
      </c>
      <c r="D53" s="86" t="n">
        <v>9330</v>
      </c>
      <c r="E53" s="266">
        <f>F53+G53+H53+I53+J53+K53+L53</f>
        <v/>
      </c>
      <c r="F53" s="156" t="n">
        <v>5000000</v>
      </c>
      <c r="G53" s="156" t="n">
        <v>5000000</v>
      </c>
      <c r="H53" s="156" t="n">
        <v>5000000</v>
      </c>
      <c r="I53" s="156" t="n">
        <v>5000000</v>
      </c>
      <c r="J53" s="156" t="n">
        <v>5000000</v>
      </c>
      <c r="K53" s="156" t="n">
        <v>5000000</v>
      </c>
      <c r="L53" s="156" t="n">
        <v>5000000</v>
      </c>
      <c r="M53" s="156" t="n">
        <v>70000000</v>
      </c>
      <c r="N53" s="156">
        <f>M53/7</f>
        <v/>
      </c>
      <c r="O53" s="156">
        <f>E53/M53</f>
        <v/>
      </c>
      <c r="P53" s="158">
        <f>'Tổng tuần'!M8</f>
        <v/>
      </c>
      <c r="Q53" s="158">
        <f>'Tổng tuần'!K8</f>
        <v/>
      </c>
      <c r="R53" s="190">
        <f>Q53/P53</f>
        <v/>
      </c>
      <c r="S53" s="162">
        <f>SUM(F53:I53)</f>
        <v/>
      </c>
      <c r="T53" s="162">
        <f>SUM(J53:L53)</f>
        <v/>
      </c>
    </row>
    <row r="54" hidden="1" ht="17.4" customHeight="1" s="405">
      <c r="A54" s="94" t="n">
        <v>7</v>
      </c>
      <c r="B54" s="84" t="n"/>
      <c r="C54" s="94" t="n"/>
      <c r="D54" s="94" t="n"/>
      <c r="E54" s="266">
        <f>F54+G54+H54+I54+J54+K54+L54</f>
        <v/>
      </c>
      <c r="F54" s="186" t="n"/>
      <c r="G54" s="186" t="n"/>
      <c r="H54" s="186" t="n"/>
      <c r="I54" s="156" t="n"/>
      <c r="J54" s="156" t="n"/>
      <c r="K54" s="156" t="n"/>
      <c r="L54" s="156" t="n"/>
      <c r="M54" s="156" t="n"/>
      <c r="N54" s="156">
        <f>M54/7</f>
        <v/>
      </c>
      <c r="O54" s="156">
        <f>E54/M54</f>
        <v/>
      </c>
      <c r="P54" s="174" t="n"/>
      <c r="Q54" s="174" t="n"/>
      <c r="R54" s="190">
        <f>Q54/P54</f>
        <v/>
      </c>
      <c r="S54" s="162">
        <f>SUM(F54:I54)</f>
        <v/>
      </c>
      <c r="T54" s="162" t="n"/>
    </row>
    <row r="55" hidden="1" ht="13.2" customHeight="1" s="405">
      <c r="A55" s="94" t="n">
        <v>8</v>
      </c>
      <c r="B55" s="94" t="n"/>
      <c r="C55" s="94" t="n"/>
      <c r="D55" s="94" t="n"/>
      <c r="E55" s="266">
        <f>F55+G55+H55+I55+J55+K55+L55</f>
        <v/>
      </c>
      <c r="F55" s="186" t="n"/>
      <c r="G55" s="186" t="n"/>
      <c r="H55" s="186" t="n"/>
      <c r="I55" s="156" t="n"/>
      <c r="J55" s="156" t="n"/>
      <c r="K55" s="156" t="n"/>
      <c r="L55" s="156" t="n"/>
      <c r="M55" s="156" t="n"/>
      <c r="N55" s="156">
        <f>M55/7</f>
        <v/>
      </c>
      <c r="O55" s="156">
        <f>E55/M55</f>
        <v/>
      </c>
      <c r="P55" s="174" t="n"/>
      <c r="Q55" s="174" t="n"/>
      <c r="R55" s="190">
        <f>Q55/P55</f>
        <v/>
      </c>
      <c r="S55" s="162" t="n"/>
      <c r="T55" s="162" t="n"/>
    </row>
    <row r="56" ht="13.8" customHeight="1" s="405">
      <c r="A56" s="209" t="inlineStr">
        <is>
          <t>TỔNG TEAM NT</t>
        </is>
      </c>
      <c r="B56" s="439" t="n"/>
      <c r="C56" s="178" t="n"/>
      <c r="D56" s="178" t="n"/>
      <c r="E56" s="180">
        <f>SUM(E48:E55)</f>
        <v/>
      </c>
      <c r="F56" s="180">
        <f>SUM(F48:F55)</f>
        <v/>
      </c>
      <c r="G56" s="180">
        <f>SUM(G48:G55)</f>
        <v/>
      </c>
      <c r="H56" s="180">
        <f>SUM(H48:H55)</f>
        <v/>
      </c>
      <c r="I56" s="156">
        <f>SUM(I48:I55)</f>
        <v/>
      </c>
      <c r="J56" s="156">
        <f>SUM(J48:J55)</f>
        <v/>
      </c>
      <c r="K56" s="156">
        <f>SUM(K48:K55)</f>
        <v/>
      </c>
      <c r="L56" s="156">
        <f>SUM(L48:L55)</f>
        <v/>
      </c>
      <c r="M56" s="156">
        <f>SUM(M48:M55)</f>
        <v/>
      </c>
      <c r="N56" s="156">
        <f>M56/7</f>
        <v/>
      </c>
      <c r="O56" s="156">
        <f>E56/M56</f>
        <v/>
      </c>
      <c r="P56" s="178" t="n"/>
      <c r="Q56" s="178" t="n"/>
      <c r="R56" s="74">
        <f>Q56/P56</f>
        <v/>
      </c>
      <c r="S56" s="184">
        <f>SUM(S48:S53)</f>
        <v/>
      </c>
      <c r="T56" s="184">
        <f>SUM(T48:T53)</f>
        <v/>
      </c>
      <c r="U56" s="419" t="n"/>
      <c r="V56" s="419" t="n"/>
      <c r="W56" s="419" t="n"/>
      <c r="X56" s="419" t="n"/>
      <c r="Y56" s="419" t="n"/>
      <c r="Z56" s="419" t="n"/>
      <c r="AA56" s="419" t="n"/>
      <c r="AB56" s="419" t="n"/>
      <c r="AC56" s="419" t="n"/>
      <c r="AD56" s="419" t="n"/>
      <c r="AE56" s="419" t="n"/>
    </row>
    <row r="57" ht="13.2" customHeight="1" s="405">
      <c r="I57" s="156" t="n"/>
      <c r="J57" s="156" t="n"/>
      <c r="K57" s="156" t="n"/>
      <c r="L57" s="156" t="n"/>
      <c r="M57" s="156" t="n"/>
      <c r="N57" s="156" t="n"/>
      <c r="O57" s="156" t="n"/>
      <c r="P57" s="419" t="n"/>
      <c r="Q57" s="419" t="n"/>
      <c r="R57" s="419" t="n"/>
      <c r="T57" s="94" t="n"/>
    </row>
    <row r="58" ht="15.6" customHeight="1" s="405">
      <c r="A58" s="94" t="n">
        <v>1</v>
      </c>
      <c r="B58" s="112" t="inlineStr">
        <is>
          <t>Nguyễn Thọ Thưởng</t>
        </is>
      </c>
      <c r="C58" s="94" t="n"/>
      <c r="D58" s="94" t="n"/>
      <c r="E58" s="94">
        <f>F58+G58+H58+I58+J58+K58+L58</f>
        <v/>
      </c>
      <c r="F58" s="94" t="n"/>
      <c r="G58" s="94" t="n"/>
      <c r="H58" s="94" t="n"/>
      <c r="I58" s="94" t="n"/>
      <c r="J58" s="94" t="n"/>
      <c r="K58" s="94" t="n"/>
      <c r="L58" s="94" t="n"/>
      <c r="M58" s="94" t="n"/>
      <c r="N58" s="94">
        <f>M58/7</f>
        <v/>
      </c>
      <c r="O58" s="94">
        <f>E58/M58</f>
        <v/>
      </c>
      <c r="P58" s="77">
        <f>'Tổng tuần'!M13</f>
        <v/>
      </c>
      <c r="Q58" s="77">
        <f>'Tổng tuần'!K13</f>
        <v/>
      </c>
      <c r="R58" s="74">
        <f>Q58/P58</f>
        <v/>
      </c>
      <c r="S58" s="94" t="n"/>
      <c r="T58" s="94" t="n"/>
    </row>
    <row r="59" ht="13.2" customHeight="1" s="405">
      <c r="A59" s="94" t="n">
        <v>2</v>
      </c>
      <c r="B59" s="94" t="n"/>
      <c r="C59" s="94" t="n"/>
      <c r="D59" s="94" t="n"/>
      <c r="E59" s="94">
        <f>F59+G59+H59+I59+J59+K59+L59</f>
        <v/>
      </c>
      <c r="F59" s="94" t="n"/>
      <c r="G59" s="94" t="n"/>
      <c r="H59" s="94" t="n"/>
      <c r="I59" s="94" t="n"/>
      <c r="J59" s="94" t="n"/>
      <c r="K59" s="94" t="n"/>
      <c r="L59" s="94" t="n"/>
      <c r="M59" s="94" t="n"/>
      <c r="N59" s="94">
        <f>M59/7</f>
        <v/>
      </c>
      <c r="O59" s="94">
        <f>E59/M59</f>
        <v/>
      </c>
      <c r="P59" s="178" t="n"/>
      <c r="Q59" s="178" t="n"/>
      <c r="R59" s="74">
        <f>Q59/P59</f>
        <v/>
      </c>
      <c r="S59" s="94" t="n"/>
      <c r="T59" s="94" t="n"/>
    </row>
    <row r="60" ht="13.2" customHeight="1" s="405">
      <c r="A60" s="94" t="n">
        <v>3</v>
      </c>
      <c r="B60" s="94" t="n"/>
      <c r="C60" s="94" t="n"/>
      <c r="D60" s="94" t="n"/>
      <c r="E60" s="94">
        <f>F60+G60+H60+I60+J60+K60+L60</f>
        <v/>
      </c>
      <c r="F60" s="94" t="n"/>
      <c r="G60" s="94" t="n"/>
      <c r="H60" s="94" t="n"/>
      <c r="I60" s="94" t="n"/>
      <c r="J60" s="94" t="n"/>
      <c r="K60" s="94" t="n"/>
      <c r="L60" s="94" t="n"/>
      <c r="M60" s="94" t="n"/>
      <c r="N60" s="94">
        <f>M60/7</f>
        <v/>
      </c>
      <c r="O60" s="94">
        <f>E60/M60</f>
        <v/>
      </c>
      <c r="P60" s="178" t="n"/>
      <c r="Q60" s="178" t="n"/>
      <c r="R60" s="74">
        <f>Q60/P60</f>
        <v/>
      </c>
      <c r="S60" s="94" t="n"/>
      <c r="T60" s="94" t="n"/>
    </row>
    <row r="61" ht="13.2" customHeight="1" s="405">
      <c r="A61" s="94" t="n">
        <v>4</v>
      </c>
      <c r="B61" s="94" t="n"/>
      <c r="C61" s="94" t="n"/>
      <c r="D61" s="94" t="n"/>
      <c r="E61" s="94">
        <f>F61+G61+H61+I61+J61+K61+L61</f>
        <v/>
      </c>
      <c r="F61" s="94" t="n"/>
      <c r="G61" s="94" t="n"/>
      <c r="H61" s="94" t="n"/>
      <c r="I61" s="94" t="n"/>
      <c r="J61" s="94" t="n"/>
      <c r="K61" s="94" t="n"/>
      <c r="L61" s="94" t="n"/>
      <c r="M61" s="94" t="n"/>
      <c r="N61" s="94">
        <f>M61/7</f>
        <v/>
      </c>
      <c r="O61" s="94">
        <f>E61/M61</f>
        <v/>
      </c>
      <c r="P61" s="178" t="n"/>
      <c r="Q61" s="178" t="n"/>
      <c r="R61" s="74">
        <f>Q61/P61</f>
        <v/>
      </c>
      <c r="S61" s="94" t="n"/>
      <c r="T61" s="94" t="n"/>
    </row>
    <row r="62" ht="13.2" customHeight="1" s="405">
      <c r="A62" s="94" t="n">
        <v>5</v>
      </c>
      <c r="B62" s="94" t="n"/>
      <c r="C62" s="94" t="n"/>
      <c r="D62" s="94" t="n"/>
      <c r="E62" s="94">
        <f>F62+G62+H62+I62+J62+K62+L62</f>
        <v/>
      </c>
      <c r="F62" s="94" t="n"/>
      <c r="G62" s="94" t="n"/>
      <c r="H62" s="94" t="n"/>
      <c r="I62" s="94" t="n"/>
      <c r="J62" s="94" t="n"/>
      <c r="K62" s="94" t="n"/>
      <c r="L62" s="94" t="n"/>
      <c r="M62" s="94" t="n"/>
      <c r="N62" s="94">
        <f>M62/7</f>
        <v/>
      </c>
      <c r="O62" s="94">
        <f>E62/M62</f>
        <v/>
      </c>
      <c r="P62" s="178" t="n"/>
      <c r="Q62" s="178" t="n"/>
      <c r="R62" s="74">
        <f>Q62/P62</f>
        <v/>
      </c>
      <c r="S62" s="94" t="n"/>
      <c r="T62" s="94" t="n"/>
    </row>
    <row r="63" ht="13.8" customHeight="1" s="405">
      <c r="A63" s="209" t="inlineStr">
        <is>
          <t>TỔNG TEAM OCP</t>
        </is>
      </c>
      <c r="B63" s="439" t="n"/>
      <c r="C63" s="178" t="n"/>
      <c r="D63" s="178" t="n"/>
      <c r="E63" s="178">
        <f>SUM(E58:E62)</f>
        <v/>
      </c>
      <c r="F63" s="178">
        <f>SUM(F58:F62)</f>
        <v/>
      </c>
      <c r="G63" s="178">
        <f>SUM(G58:G62)</f>
        <v/>
      </c>
      <c r="H63" s="178">
        <f>SUM(H58:H62)</f>
        <v/>
      </c>
      <c r="I63" s="178">
        <f>SUM(I58:I62)</f>
        <v/>
      </c>
      <c r="J63" s="178">
        <f>SUM(J58:J62)</f>
        <v/>
      </c>
      <c r="K63" s="178">
        <f>SUM(K58:K62)</f>
        <v/>
      </c>
      <c r="L63" s="178">
        <f>SUM(L58:L62)</f>
        <v/>
      </c>
      <c r="M63" s="178">
        <f>SUM(M58:M62)</f>
        <v/>
      </c>
      <c r="N63" s="196">
        <f>M63/7</f>
        <v/>
      </c>
      <c r="O63" s="196">
        <f>E63/M63</f>
        <v/>
      </c>
      <c r="P63" s="178" t="n"/>
      <c r="Q63" s="178" t="n"/>
      <c r="R63" s="74">
        <f>Q63/P63</f>
        <v/>
      </c>
      <c r="S63" s="178" t="n"/>
      <c r="T63" s="178" t="n"/>
      <c r="U63" s="419" t="n"/>
      <c r="V63" s="419" t="n"/>
      <c r="W63" s="419" t="n"/>
      <c r="X63" s="419" t="n"/>
      <c r="Y63" s="419" t="n"/>
      <c r="Z63" s="419" t="n"/>
      <c r="AA63" s="419" t="n"/>
      <c r="AB63" s="419" t="n"/>
      <c r="AC63" s="419" t="n"/>
      <c r="AD63" s="419" t="n"/>
      <c r="AE63" s="419" t="n"/>
    </row>
    <row r="64" ht="13.2" customHeight="1" s="405">
      <c r="P64" s="419" t="n"/>
      <c r="Q64" s="419" t="n"/>
      <c r="R64" s="419" t="n"/>
      <c r="T64" s="94" t="n"/>
    </row>
    <row r="65" ht="23.25" customHeight="1" s="405">
      <c r="A65" s="215" t="inlineStr">
        <is>
          <t>TỔNG</t>
        </is>
      </c>
      <c r="B65" s="439" t="n"/>
      <c r="C65" s="199" t="n"/>
      <c r="D65" s="199" t="n"/>
      <c r="E65" s="131">
        <f>E63+E56</f>
        <v/>
      </c>
      <c r="F65" s="131">
        <f>F63+F56</f>
        <v/>
      </c>
      <c r="G65" s="131">
        <f>G63+G56</f>
        <v/>
      </c>
      <c r="H65" s="131">
        <f>H63+H56</f>
        <v/>
      </c>
      <c r="I65" s="131">
        <f>I63+I56</f>
        <v/>
      </c>
      <c r="J65" s="131">
        <f>J63+J56</f>
        <v/>
      </c>
      <c r="K65" s="131">
        <f>K63+K56</f>
        <v/>
      </c>
      <c r="L65" s="131">
        <f>L63+L56</f>
        <v/>
      </c>
      <c r="M65" s="131">
        <f>M63+M56</f>
        <v/>
      </c>
      <c r="N65" s="131">
        <f>N63+N56</f>
        <v/>
      </c>
      <c r="O65" s="203">
        <f>E65/M65</f>
        <v/>
      </c>
      <c r="P65" s="131">
        <f>P63+P56</f>
        <v/>
      </c>
      <c r="Q65" s="131">
        <f>Q63+Q56</f>
        <v/>
      </c>
      <c r="R65" s="204">
        <f>Q65/P65</f>
        <v/>
      </c>
      <c r="S65" s="131">
        <f>S63+S56</f>
        <v/>
      </c>
      <c r="T65" s="131">
        <f>T63+T56</f>
        <v/>
      </c>
      <c r="U65" s="205" t="n"/>
      <c r="V65" s="205" t="n"/>
      <c r="W65" s="205" t="n"/>
      <c r="X65" s="205" t="n"/>
      <c r="Y65" s="205" t="n"/>
      <c r="Z65" s="205" t="n"/>
      <c r="AA65" s="205" t="n"/>
      <c r="AB65" s="205" t="n"/>
      <c r="AC65" s="205" t="n"/>
      <c r="AD65" s="205" t="n"/>
      <c r="AE65" s="205" t="n"/>
    </row>
    <row r="68" ht="13.2" customHeight="1" s="405">
      <c r="A68" s="440" t="inlineStr">
        <is>
          <t>KẾ HOẠCH NGÂN SÁCH TUẦN 3</t>
        </is>
      </c>
    </row>
    <row r="69" ht="52.2" customHeight="1" s="405">
      <c r="A69" s="137" t="inlineStr">
        <is>
          <t>STT</t>
        </is>
      </c>
      <c r="B69" s="138" t="inlineStr">
        <is>
          <t>Họ và tên</t>
        </is>
      </c>
      <c r="C69" s="22" t="inlineStr">
        <is>
          <t>Số tài khoản</t>
        </is>
      </c>
      <c r="D69" s="212" t="inlineStr">
        <is>
          <t>Số Thẻ</t>
        </is>
      </c>
      <c r="E69" s="139" t="inlineStr">
        <is>
          <t>Ngân sách
/Tuần</t>
        </is>
      </c>
      <c r="F69" s="140" t="inlineStr">
        <is>
          <t>Thứ 2</t>
        </is>
      </c>
      <c r="G69" s="141" t="inlineStr">
        <is>
          <t>Thứ 3</t>
        </is>
      </c>
      <c r="H69" s="142" t="inlineStr">
        <is>
          <t>Thứ 4</t>
        </is>
      </c>
      <c r="I69" s="143" t="inlineStr">
        <is>
          <t>Thứ 5</t>
        </is>
      </c>
      <c r="J69" s="144" t="inlineStr">
        <is>
          <t>Thứ 6</t>
        </is>
      </c>
      <c r="K69" s="145" t="inlineStr">
        <is>
          <t>Thứ 7</t>
        </is>
      </c>
      <c r="L69" s="206" t="inlineStr">
        <is>
          <t>CN</t>
        </is>
      </c>
      <c r="M69" s="147" t="inlineStr">
        <is>
          <t>Tổng Doanh số
(Cần Đạt)</t>
        </is>
      </c>
      <c r="N69" s="212" t="inlineStr">
        <is>
          <t>Doanh số ngày
(Cần Đạt)</t>
        </is>
      </c>
      <c r="O69" s="212" t="inlineStr">
        <is>
          <t>Tỉ lệ CP</t>
        </is>
      </c>
      <c r="P69" s="43" t="inlineStr">
        <is>
          <t>DS THỰC TẾ</t>
        </is>
      </c>
      <c r="Q69" s="45" t="inlineStr">
        <is>
          <t>Ngân sách đã tiêu</t>
        </is>
      </c>
      <c r="R69" s="43" t="inlineStr">
        <is>
          <t>Tỉ lệ CP</t>
        </is>
      </c>
      <c r="S69" s="151" t="inlineStr">
        <is>
          <t>Dự trù ngân sách L1 (Ngày 13/07 - 16/07)</t>
        </is>
      </c>
      <c r="T69" s="151" t="inlineStr">
        <is>
          <t>Dự trù ngân sách L2 (Ngày 17/07 - 19/07)</t>
        </is>
      </c>
      <c r="U69" s="152" t="n"/>
    </row>
    <row r="70" ht="15.6" customHeight="1" s="405">
      <c r="A70" s="94" t="n">
        <v>1</v>
      </c>
      <c r="B70" s="49" t="inlineStr">
        <is>
          <t>Nguyễn Hoàng Anh</t>
        </is>
      </c>
      <c r="C70" s="85" t="inlineStr">
        <is>
          <t>7923 - 065</t>
        </is>
      </c>
      <c r="D70" s="86" t="n">
        <v>7923</v>
      </c>
      <c r="E70" s="266">
        <f>F70+G70+H70+I70+J70+K70+L70</f>
        <v/>
      </c>
      <c r="F70" s="156" t="n">
        <v>20000000</v>
      </c>
      <c r="G70" s="156" t="n">
        <v>20000000</v>
      </c>
      <c r="H70" s="156" t="n">
        <v>20000000</v>
      </c>
      <c r="I70" s="156" t="n">
        <v>20000000</v>
      </c>
      <c r="J70" s="156" t="n">
        <v>20000000</v>
      </c>
      <c r="K70" s="156" t="n">
        <v>20000000</v>
      </c>
      <c r="L70" s="156" t="n">
        <v>20000000</v>
      </c>
      <c r="M70" s="156" t="n">
        <v>260000000</v>
      </c>
      <c r="N70" s="156">
        <f>M70/7</f>
        <v/>
      </c>
      <c r="O70" s="157">
        <f>E70/M70</f>
        <v/>
      </c>
      <c r="P70" s="77">
        <f>'Tổng tuần'!R3</f>
        <v/>
      </c>
      <c r="Q70" s="77">
        <f>'Tổng tuần'!P3</f>
        <v/>
      </c>
      <c r="R70" s="74">
        <f>Q70/P70</f>
        <v/>
      </c>
      <c r="S70" s="162">
        <f>SUM(F70:I70)</f>
        <v/>
      </c>
      <c r="T70" s="162">
        <f>SUM(J70:L70)</f>
        <v/>
      </c>
    </row>
    <row r="71" ht="15.6" customHeight="1" s="405">
      <c r="A71" s="94" t="n">
        <v>2</v>
      </c>
      <c r="B71" s="49" t="inlineStr">
        <is>
          <t>Bùi Quang Anh</t>
        </is>
      </c>
      <c r="C71" s="85" t="inlineStr">
        <is>
          <t>9793 - 081</t>
        </is>
      </c>
      <c r="D71" s="86" t="n">
        <v>9793</v>
      </c>
      <c r="E71" s="266">
        <f>F71+G71+H71+I71+J71+K71+L71</f>
        <v/>
      </c>
      <c r="F71" s="156" t="n">
        <v>15000000</v>
      </c>
      <c r="G71" s="156" t="n">
        <v>15000000</v>
      </c>
      <c r="H71" s="156" t="n">
        <v>15000000</v>
      </c>
      <c r="I71" s="156" t="n">
        <v>15000000</v>
      </c>
      <c r="J71" s="156" t="n">
        <v>15000000</v>
      </c>
      <c r="K71" s="156" t="n">
        <v>15000000</v>
      </c>
      <c r="L71" s="156" t="n">
        <v>15000000</v>
      </c>
      <c r="M71" s="156" t="n">
        <v>200000000</v>
      </c>
      <c r="N71" s="156">
        <f>M71/7</f>
        <v/>
      </c>
      <c r="O71" s="157">
        <f>E71/M71</f>
        <v/>
      </c>
      <c r="P71" s="77">
        <f>'Tổng tuần'!R4</f>
        <v/>
      </c>
      <c r="Q71" s="77">
        <f>'Tổng tuần'!P4</f>
        <v/>
      </c>
      <c r="R71" s="74">
        <f>Q71/P71</f>
        <v/>
      </c>
      <c r="S71" s="162">
        <f>SUM(F71:I71)</f>
        <v/>
      </c>
      <c r="T71" s="162">
        <f>SUM(J71:L71)</f>
        <v/>
      </c>
    </row>
    <row r="72" ht="15.6" customHeight="1" s="405">
      <c r="A72" s="94" t="n">
        <v>3</v>
      </c>
      <c r="B72" s="49" t="inlineStr">
        <is>
          <t>Trần Quang Huy</t>
        </is>
      </c>
      <c r="C72" s="85" t="inlineStr">
        <is>
          <t>8384 - 057</t>
        </is>
      </c>
      <c r="D72" s="86" t="n">
        <v>8384</v>
      </c>
      <c r="E72" s="266">
        <f>F72+G72+H72+I72+J72+K72+L72</f>
        <v/>
      </c>
      <c r="F72" s="156" t="n">
        <v>12000000</v>
      </c>
      <c r="G72" s="156" t="n">
        <v>12000000</v>
      </c>
      <c r="H72" s="156" t="n">
        <v>12000000</v>
      </c>
      <c r="I72" s="156" t="n">
        <v>12000000</v>
      </c>
      <c r="J72" s="156" t="n">
        <v>12000000</v>
      </c>
      <c r="K72" s="156" t="n">
        <v>12000000</v>
      </c>
      <c r="L72" s="156" t="n">
        <v>12000000</v>
      </c>
      <c r="M72" s="156" t="n">
        <v>160000000</v>
      </c>
      <c r="N72" s="156">
        <f>M72/7</f>
        <v/>
      </c>
      <c r="O72" s="157">
        <f>E72/M72</f>
        <v/>
      </c>
      <c r="P72" s="77">
        <f>'Tổng tuần'!R5</f>
        <v/>
      </c>
      <c r="Q72" s="77">
        <f>'Tổng tuần'!P5</f>
        <v/>
      </c>
      <c r="R72" s="74">
        <f>Q72/P72</f>
        <v/>
      </c>
      <c r="S72" s="162">
        <f>SUM(F72:I72)</f>
        <v/>
      </c>
      <c r="T72" s="162">
        <f>SUM(J72:L72)</f>
        <v/>
      </c>
    </row>
    <row r="73" ht="15.6" customHeight="1" s="405">
      <c r="A73" s="94" t="n">
        <v>4</v>
      </c>
      <c r="B73" s="49" t="inlineStr">
        <is>
          <t>Phạm Thế Hải</t>
        </is>
      </c>
      <c r="C73" s="85" t="inlineStr">
        <is>
          <t>8879 - 073</t>
        </is>
      </c>
      <c r="D73" s="86" t="n">
        <v>8879</v>
      </c>
      <c r="E73" s="266">
        <f>F73+G73+H73+I73+J73+K73+L73</f>
        <v/>
      </c>
      <c r="F73" s="156" t="n">
        <v>12000000</v>
      </c>
      <c r="G73" s="156" t="n">
        <v>12000000</v>
      </c>
      <c r="H73" s="156" t="n">
        <v>12000000</v>
      </c>
      <c r="I73" s="156" t="n">
        <v>12000000</v>
      </c>
      <c r="J73" s="156" t="n">
        <v>12000000</v>
      </c>
      <c r="K73" s="156" t="n">
        <v>12000000</v>
      </c>
      <c r="L73" s="156" t="n">
        <v>12000000</v>
      </c>
      <c r="M73" s="156" t="n">
        <v>160000000</v>
      </c>
      <c r="N73" s="156">
        <f>M73/7</f>
        <v/>
      </c>
      <c r="O73" s="157">
        <f>E73/M73</f>
        <v/>
      </c>
      <c r="P73" s="77">
        <f>'Tổng tuần'!R6</f>
        <v/>
      </c>
      <c r="Q73" s="77">
        <f>'Tổng tuần'!P6</f>
        <v/>
      </c>
      <c r="R73" s="74">
        <f>Q73/P73</f>
        <v/>
      </c>
      <c r="S73" s="162">
        <f>SUM(F73:I73)</f>
        <v/>
      </c>
      <c r="T73" s="162">
        <f>SUM(J73:L73)</f>
        <v/>
      </c>
    </row>
    <row r="74" hidden="1" ht="15.6" customHeight="1" s="405">
      <c r="A74" s="94" t="n">
        <v>5</v>
      </c>
      <c r="B74" s="49" t="inlineStr">
        <is>
          <t>Nguyễn Văn Lý</t>
        </is>
      </c>
      <c r="C74" s="85" t="inlineStr">
        <is>
          <t>1695 - 121</t>
        </is>
      </c>
      <c r="D74" s="86" t="n">
        <v>1695</v>
      </c>
      <c r="E74" s="266">
        <f>F74+G74+H74+I74+J74+K74+L74</f>
        <v/>
      </c>
      <c r="F74" s="156" t="n">
        <v>2000000</v>
      </c>
      <c r="G74" s="156" t="n">
        <v>2000000</v>
      </c>
      <c r="H74" s="156" t="n">
        <v>2000000</v>
      </c>
      <c r="I74" s="156" t="n">
        <v>2000000</v>
      </c>
      <c r="J74" s="156" t="n">
        <v>0</v>
      </c>
      <c r="K74" s="156" t="n">
        <v>0</v>
      </c>
      <c r="L74" s="156" t="n">
        <v>0</v>
      </c>
      <c r="M74" s="156" t="n">
        <v>25000000</v>
      </c>
      <c r="N74" s="156">
        <f>M74/7</f>
        <v/>
      </c>
      <c r="O74" s="157">
        <f>E74/M74</f>
        <v/>
      </c>
      <c r="P74" s="77">
        <f>'Tổng tuần'!R7</f>
        <v/>
      </c>
      <c r="Q74" s="77">
        <f>'Tổng tuần'!P7</f>
        <v/>
      </c>
      <c r="R74" s="74">
        <f>Q74/P74</f>
        <v/>
      </c>
      <c r="S74" s="162">
        <f>SUM(F74:I74)</f>
        <v/>
      </c>
      <c r="T74" s="162">
        <f>SUM(J74:L74)</f>
        <v/>
      </c>
    </row>
    <row r="75" ht="15.6" customHeight="1" s="405">
      <c r="A75" s="94" t="n">
        <v>6</v>
      </c>
      <c r="B75" s="49" t="inlineStr">
        <is>
          <t>Đỗ Quốc Anh</t>
        </is>
      </c>
      <c r="C75" s="85" t="inlineStr">
        <is>
          <t>9330 - 091</t>
        </is>
      </c>
      <c r="D75" s="86" t="n">
        <v>9330</v>
      </c>
      <c r="E75" s="266">
        <f>F75+G75+H75+I75+J75+K75+L75</f>
        <v/>
      </c>
      <c r="F75" s="156" t="n">
        <v>4000000</v>
      </c>
      <c r="G75" s="156" t="n">
        <v>4000000</v>
      </c>
      <c r="H75" s="156" t="n">
        <v>4000000</v>
      </c>
      <c r="I75" s="156" t="n">
        <v>4000000</v>
      </c>
      <c r="J75" s="156" t="n">
        <v>4000000</v>
      </c>
      <c r="K75" s="156" t="n">
        <v>4000000</v>
      </c>
      <c r="L75" s="156" t="n">
        <v>4000000</v>
      </c>
      <c r="M75" s="156" t="n">
        <v>50000000</v>
      </c>
      <c r="N75" s="156">
        <f>M75/7</f>
        <v/>
      </c>
      <c r="O75" s="157">
        <f>E75/M75</f>
        <v/>
      </c>
      <c r="P75" s="77">
        <f>'Tổng tuần'!R8</f>
        <v/>
      </c>
      <c r="Q75" s="77">
        <f>'Tổng tuần'!P8</f>
        <v/>
      </c>
      <c r="R75" s="74">
        <f>Q75/P75</f>
        <v/>
      </c>
      <c r="S75" s="162">
        <f>SUM(F75:I75)</f>
        <v/>
      </c>
      <c r="T75" s="162">
        <f>SUM(J75:L75)</f>
        <v/>
      </c>
    </row>
    <row r="76" hidden="1" ht="17.4" customHeight="1" s="405">
      <c r="A76" s="94" t="n">
        <v>7</v>
      </c>
      <c r="B76" s="84" t="n"/>
      <c r="C76" s="94" t="n"/>
      <c r="D76" s="94" t="n"/>
      <c r="E76" s="94">
        <f>F76+G76+H76+I76+J76+K76+L76</f>
        <v/>
      </c>
      <c r="F76" s="94" t="n"/>
      <c r="G76" s="94" t="n"/>
      <c r="H76" s="94" t="n"/>
      <c r="I76" s="94" t="n"/>
      <c r="J76" s="94" t="n"/>
      <c r="K76" s="94" t="n"/>
      <c r="L76" s="94" t="n"/>
      <c r="M76" s="94" t="n"/>
      <c r="N76" s="94">
        <f>M76/7</f>
        <v/>
      </c>
      <c r="O76" s="94">
        <f>E76/M76</f>
        <v/>
      </c>
      <c r="P76" s="178" t="n"/>
      <c r="Q76" s="178" t="n"/>
      <c r="R76" s="74">
        <f>Q76/P76</f>
        <v/>
      </c>
      <c r="S76" s="162" t="n"/>
      <c r="T76" s="162" t="n"/>
    </row>
    <row r="77" hidden="1" ht="13.2" customHeight="1" s="405">
      <c r="A77" s="94" t="n">
        <v>8</v>
      </c>
      <c r="B77" s="94" t="n"/>
      <c r="C77" s="94" t="n"/>
      <c r="D77" s="94" t="n"/>
      <c r="E77" s="94">
        <f>F77+G77+H77+I77+J77+K77+L77</f>
        <v/>
      </c>
      <c r="F77" s="94" t="n"/>
      <c r="G77" s="94" t="n"/>
      <c r="H77" s="94" t="n"/>
      <c r="I77" s="94" t="n"/>
      <c r="J77" s="94" t="n"/>
      <c r="K77" s="94" t="n"/>
      <c r="L77" s="94" t="n"/>
      <c r="M77" s="94" t="n"/>
      <c r="N77" s="94">
        <f>M77/7</f>
        <v/>
      </c>
      <c r="O77" s="94">
        <f>E77/M77</f>
        <v/>
      </c>
      <c r="P77" s="178" t="n"/>
      <c r="Q77" s="178" t="n"/>
      <c r="R77" s="74">
        <f>Q77/P77</f>
        <v/>
      </c>
      <c r="S77" s="162" t="n"/>
      <c r="T77" s="162" t="n"/>
    </row>
    <row r="78" ht="13.8" customHeight="1" s="405">
      <c r="A78" s="209" t="inlineStr">
        <is>
          <t>TỔNG TEAM NT</t>
        </is>
      </c>
      <c r="B78" s="439" t="n"/>
      <c r="C78" s="178" t="n"/>
      <c r="D78" s="178" t="n"/>
      <c r="E78" s="180">
        <f>SUM(E70:E77)</f>
        <v/>
      </c>
      <c r="F78" s="180">
        <f>SUM(F70:F77)</f>
        <v/>
      </c>
      <c r="G78" s="180">
        <f>SUM(G70:G77)</f>
        <v/>
      </c>
      <c r="H78" s="180">
        <f>SUM(H70:H77)</f>
        <v/>
      </c>
      <c r="I78" s="180">
        <f>SUM(I70:I77)</f>
        <v/>
      </c>
      <c r="J78" s="180">
        <f>SUM(J70:J77)</f>
        <v/>
      </c>
      <c r="K78" s="180">
        <f>SUM(K70:K77)</f>
        <v/>
      </c>
      <c r="L78" s="180">
        <f>SUM(L70:L77)</f>
        <v/>
      </c>
      <c r="M78" s="180">
        <f>SUM(M70:M77)</f>
        <v/>
      </c>
      <c r="N78" s="180">
        <f>M78/7</f>
        <v/>
      </c>
      <c r="O78" s="183">
        <f>E78/M78</f>
        <v/>
      </c>
      <c r="P78" s="178" t="n"/>
      <c r="Q78" s="178" t="n"/>
      <c r="R78" s="74">
        <f>Q78/P78</f>
        <v/>
      </c>
      <c r="S78" s="184">
        <f>SUM(S70:S77)</f>
        <v/>
      </c>
      <c r="T78" s="184">
        <f>SUM(T70:T77)</f>
        <v/>
      </c>
      <c r="U78" s="419" t="n"/>
      <c r="V78" s="419" t="n"/>
      <c r="W78" s="419" t="n"/>
      <c r="X78" s="419" t="n"/>
      <c r="Y78" s="419" t="n"/>
      <c r="Z78" s="419" t="n"/>
      <c r="AA78" s="419" t="n"/>
      <c r="AB78" s="419" t="n"/>
      <c r="AC78" s="419" t="n"/>
      <c r="AD78" s="419" t="n"/>
      <c r="AE78" s="419" t="n"/>
    </row>
    <row r="79" ht="13.2" customHeight="1" s="405">
      <c r="P79" s="419" t="n"/>
      <c r="Q79" s="419" t="n"/>
      <c r="R79" s="419" t="n"/>
      <c r="T79" s="94" t="n"/>
    </row>
    <row r="80" ht="15.6" customHeight="1" s="405">
      <c r="A80" s="94" t="n">
        <v>1</v>
      </c>
      <c r="B80" s="112" t="inlineStr">
        <is>
          <t>Nguyễn Thọ Thưởng</t>
        </is>
      </c>
      <c r="C80" s="94" t="n"/>
      <c r="D80" s="94" t="n"/>
      <c r="E80" s="94">
        <f>F80+G80+H80+I80+J80+K80+L80</f>
        <v/>
      </c>
      <c r="F80" s="94" t="n"/>
      <c r="G80" s="94" t="n"/>
      <c r="H80" s="94" t="n"/>
      <c r="I80" s="94" t="n"/>
      <c r="J80" s="94" t="n"/>
      <c r="K80" s="94" t="n"/>
      <c r="L80" s="94" t="n"/>
      <c r="M80" s="94" t="n"/>
      <c r="N80" s="94">
        <f>M80/7</f>
        <v/>
      </c>
      <c r="O80" s="94">
        <f>E80/M80</f>
        <v/>
      </c>
      <c r="P80" s="77">
        <f>'Tổng tuần'!R13</f>
        <v/>
      </c>
      <c r="Q80" s="77">
        <f>'Tổng tuần'!P13</f>
        <v/>
      </c>
      <c r="R80" s="74">
        <f>Q80/P80</f>
        <v/>
      </c>
      <c r="S80" s="94" t="n"/>
      <c r="T80" s="94" t="n"/>
    </row>
    <row r="81" ht="13.2" customHeight="1" s="405">
      <c r="A81" s="94" t="n">
        <v>2</v>
      </c>
      <c r="B81" s="94" t="n"/>
      <c r="C81" s="94" t="n"/>
      <c r="D81" s="94" t="n"/>
      <c r="E81" s="94">
        <f>F81+G81+H81+I81+J81+K81+L81</f>
        <v/>
      </c>
      <c r="F81" s="94" t="n"/>
      <c r="G81" s="94" t="n"/>
      <c r="H81" s="94" t="n"/>
      <c r="I81" s="94" t="n"/>
      <c r="J81" s="94" t="n"/>
      <c r="K81" s="94" t="n"/>
      <c r="L81" s="94" t="n"/>
      <c r="M81" s="94" t="n"/>
      <c r="N81" s="94">
        <f>M81/7</f>
        <v/>
      </c>
      <c r="O81" s="94">
        <f>E81/M81</f>
        <v/>
      </c>
      <c r="P81" s="178" t="n"/>
      <c r="Q81" s="178" t="n"/>
      <c r="R81" s="74">
        <f>Q81/P81</f>
        <v/>
      </c>
      <c r="S81" s="94" t="n"/>
      <c r="T81" s="94" t="n"/>
    </row>
    <row r="82" ht="13.2" customHeight="1" s="405">
      <c r="A82" s="94" t="n">
        <v>3</v>
      </c>
      <c r="B82" s="94" t="n"/>
      <c r="C82" s="94" t="n"/>
      <c r="D82" s="94" t="n"/>
      <c r="E82" s="94">
        <f>F82+G82+H82+I82+J82+K82+L82</f>
        <v/>
      </c>
      <c r="F82" s="94" t="n"/>
      <c r="G82" s="94" t="n"/>
      <c r="H82" s="94" t="n"/>
      <c r="I82" s="94" t="n"/>
      <c r="J82" s="94" t="n"/>
      <c r="K82" s="94" t="n"/>
      <c r="L82" s="94" t="n"/>
      <c r="M82" s="94" t="n"/>
      <c r="N82" s="94">
        <f>M82/7</f>
        <v/>
      </c>
      <c r="O82" s="94">
        <f>E82/M82</f>
        <v/>
      </c>
      <c r="P82" s="178" t="n"/>
      <c r="Q82" s="178" t="n"/>
      <c r="R82" s="74">
        <f>Q82/P82</f>
        <v/>
      </c>
      <c r="S82" s="94" t="n"/>
      <c r="T82" s="94" t="n"/>
    </row>
    <row r="83" ht="13.2" customHeight="1" s="405">
      <c r="A83" s="94" t="n">
        <v>4</v>
      </c>
      <c r="B83" s="94" t="n"/>
      <c r="C83" s="94" t="n"/>
      <c r="D83" s="94" t="n"/>
      <c r="E83" s="94">
        <f>F83+G83+H83+I83+J83+K83+L83</f>
        <v/>
      </c>
      <c r="F83" s="94" t="n"/>
      <c r="G83" s="94" t="n"/>
      <c r="H83" s="94" t="n"/>
      <c r="I83" s="94" t="n"/>
      <c r="J83" s="94" t="n"/>
      <c r="K83" s="94" t="n"/>
      <c r="L83" s="94" t="n"/>
      <c r="M83" s="94" t="n"/>
      <c r="N83" s="94">
        <f>M83/7</f>
        <v/>
      </c>
      <c r="O83" s="94">
        <f>E83/M83</f>
        <v/>
      </c>
      <c r="P83" s="178" t="n"/>
      <c r="Q83" s="178" t="n"/>
      <c r="R83" s="74">
        <f>Q83/P83</f>
        <v/>
      </c>
      <c r="S83" s="94" t="n"/>
      <c r="T83" s="94" t="n"/>
    </row>
    <row r="84" ht="13.2" customHeight="1" s="405">
      <c r="A84" s="94" t="n">
        <v>5</v>
      </c>
      <c r="B84" s="94" t="n"/>
      <c r="C84" s="94" t="n"/>
      <c r="D84" s="94" t="n"/>
      <c r="E84" s="94">
        <f>F84+G84+H84+I84+J84+K84+L84</f>
        <v/>
      </c>
      <c r="F84" s="94" t="n"/>
      <c r="G84" s="94" t="n"/>
      <c r="H84" s="94" t="n"/>
      <c r="I84" s="94" t="n"/>
      <c r="J84" s="94" t="n"/>
      <c r="K84" s="94" t="n"/>
      <c r="L84" s="94" t="n"/>
      <c r="M84" s="94" t="n"/>
      <c r="N84" s="94">
        <f>M84/7</f>
        <v/>
      </c>
      <c r="O84" s="94">
        <f>E84/M84</f>
        <v/>
      </c>
      <c r="P84" s="178" t="n"/>
      <c r="Q84" s="178" t="n"/>
      <c r="R84" s="74">
        <f>Q84/P84</f>
        <v/>
      </c>
      <c r="S84" s="94" t="n"/>
      <c r="T84" s="94" t="n"/>
    </row>
    <row r="85" ht="13.8" customHeight="1" s="405">
      <c r="A85" s="209" t="inlineStr">
        <is>
          <t>TỔNG TEAM OCP</t>
        </is>
      </c>
      <c r="B85" s="439" t="n"/>
      <c r="C85" s="178" t="n"/>
      <c r="D85" s="178" t="n"/>
      <c r="E85" s="178">
        <f>SUM(E80:E84)</f>
        <v/>
      </c>
      <c r="F85" s="178">
        <f>SUM(F80:F84)</f>
        <v/>
      </c>
      <c r="G85" s="178">
        <f>SUM(G80:G84)</f>
        <v/>
      </c>
      <c r="H85" s="178">
        <f>SUM(H80:H84)</f>
        <v/>
      </c>
      <c r="I85" s="178">
        <f>SUM(I80:I84)</f>
        <v/>
      </c>
      <c r="J85" s="178">
        <f>SUM(J80:J84)</f>
        <v/>
      </c>
      <c r="K85" s="178">
        <f>SUM(K80:K84)</f>
        <v/>
      </c>
      <c r="L85" s="178">
        <f>SUM(L80:L84)</f>
        <v/>
      </c>
      <c r="M85" s="178">
        <f>SUM(M80:M84)</f>
        <v/>
      </c>
      <c r="N85" s="196">
        <f>M85/7</f>
        <v/>
      </c>
      <c r="O85" s="196">
        <f>E85/M85</f>
        <v/>
      </c>
      <c r="P85" s="178" t="n"/>
      <c r="Q85" s="178" t="n"/>
      <c r="R85" s="74">
        <f>Q85/P85</f>
        <v/>
      </c>
      <c r="S85" s="178" t="n"/>
      <c r="T85" s="178" t="n"/>
      <c r="U85" s="419" t="n"/>
      <c r="V85" s="419" t="n"/>
      <c r="W85" s="419" t="n"/>
      <c r="X85" s="419" t="n"/>
      <c r="Y85" s="419" t="n"/>
      <c r="Z85" s="419" t="n"/>
      <c r="AA85" s="419" t="n"/>
      <c r="AB85" s="419" t="n"/>
      <c r="AC85" s="419" t="n"/>
      <c r="AD85" s="419" t="n"/>
      <c r="AE85" s="419" t="n"/>
    </row>
    <row r="86" ht="13.2" customHeight="1" s="405">
      <c r="P86" s="419" t="n"/>
      <c r="Q86" s="419" t="n"/>
      <c r="R86" s="419" t="n"/>
      <c r="T86" s="94" t="n"/>
    </row>
    <row r="87" ht="23.25" customHeight="1" s="405">
      <c r="A87" s="215" t="inlineStr">
        <is>
          <t>TỔNG</t>
        </is>
      </c>
      <c r="B87" s="439" t="n"/>
      <c r="C87" s="199" t="n"/>
      <c r="D87" s="199" t="n"/>
      <c r="E87" s="131">
        <f>E85+E78</f>
        <v/>
      </c>
      <c r="F87" s="131">
        <f>F85+F78</f>
        <v/>
      </c>
      <c r="G87" s="131">
        <f>G85+G78</f>
        <v/>
      </c>
      <c r="H87" s="131">
        <f>H85+H78</f>
        <v/>
      </c>
      <c r="I87" s="131">
        <f>I85+I78</f>
        <v/>
      </c>
      <c r="J87" s="131">
        <f>J85+J78</f>
        <v/>
      </c>
      <c r="K87" s="131">
        <f>K85+K78</f>
        <v/>
      </c>
      <c r="L87" s="131">
        <f>L85+L78</f>
        <v/>
      </c>
      <c r="M87" s="131">
        <f>M85+M78</f>
        <v/>
      </c>
      <c r="N87" s="131">
        <f>N85+N78</f>
        <v/>
      </c>
      <c r="O87" s="203">
        <f>E87/M87</f>
        <v/>
      </c>
      <c r="P87" s="131">
        <f>P85+P78</f>
        <v/>
      </c>
      <c r="Q87" s="131">
        <f>Q85+Q78</f>
        <v/>
      </c>
      <c r="R87" s="204">
        <f>Q87/P87</f>
        <v/>
      </c>
      <c r="S87" s="131">
        <f>S85+S78</f>
        <v/>
      </c>
      <c r="T87" s="131">
        <f>T85+T78</f>
        <v/>
      </c>
      <c r="U87" s="205" t="n"/>
      <c r="V87" s="205" t="n"/>
      <c r="W87" s="205" t="n"/>
      <c r="X87" s="205" t="n"/>
      <c r="Y87" s="205" t="n"/>
      <c r="Z87" s="205" t="n"/>
      <c r="AA87" s="205" t="n"/>
      <c r="AB87" s="205" t="n"/>
      <c r="AC87" s="205" t="n"/>
      <c r="AD87" s="205" t="n"/>
      <c r="AE87" s="205" t="n"/>
    </row>
    <row r="90" ht="13.2" customHeight="1" s="405">
      <c r="A90" s="440" t="inlineStr">
        <is>
          <t>KẾ HOẠCH NGÂN SÁCH TUẦN 4</t>
        </is>
      </c>
    </row>
    <row r="91" ht="52.2" customHeight="1" s="405">
      <c r="A91" s="137" t="inlineStr">
        <is>
          <t>STT</t>
        </is>
      </c>
      <c r="B91" s="138" t="inlineStr">
        <is>
          <t>Họ và tên</t>
        </is>
      </c>
      <c r="C91" s="22" t="inlineStr">
        <is>
          <t>Số tài khoản</t>
        </is>
      </c>
      <c r="D91" s="212" t="inlineStr">
        <is>
          <t>Số Thẻ</t>
        </is>
      </c>
      <c r="E91" s="139" t="inlineStr">
        <is>
          <t>Ngân sách
/Tuần</t>
        </is>
      </c>
      <c r="F91" s="140" t="inlineStr">
        <is>
          <t>Thứ 2</t>
        </is>
      </c>
      <c r="G91" s="141" t="inlineStr">
        <is>
          <t>Thứ 3</t>
        </is>
      </c>
      <c r="H91" s="142" t="inlineStr">
        <is>
          <t>Thứ 4</t>
        </is>
      </c>
      <c r="I91" s="143" t="inlineStr">
        <is>
          <t>Thứ 5</t>
        </is>
      </c>
      <c r="J91" s="144" t="inlineStr">
        <is>
          <t>Thứ 6</t>
        </is>
      </c>
      <c r="K91" s="145" t="inlineStr">
        <is>
          <t>Thứ 7</t>
        </is>
      </c>
      <c r="L91" s="206" t="inlineStr">
        <is>
          <t>CN</t>
        </is>
      </c>
      <c r="M91" s="147" t="inlineStr">
        <is>
          <t>Tổng Doanh số
(Cần Đạt)</t>
        </is>
      </c>
      <c r="N91" s="212" t="inlineStr">
        <is>
          <t>Doanh số ngày
(Cần Đạt)</t>
        </is>
      </c>
      <c r="O91" s="212" t="inlineStr">
        <is>
          <t>Tỉ lệ CP</t>
        </is>
      </c>
      <c r="P91" s="43" t="inlineStr">
        <is>
          <t>DS THỰC TẾ</t>
        </is>
      </c>
      <c r="Q91" s="45" t="inlineStr">
        <is>
          <t>Ngân sách đã tiêu</t>
        </is>
      </c>
      <c r="R91" s="43" t="inlineStr">
        <is>
          <t>Tỉ lệ CP</t>
        </is>
      </c>
      <c r="S91" s="221" t="inlineStr">
        <is>
          <t>Dự trù ngân sách L1 (Ngày 20/07 - 23/07)</t>
        </is>
      </c>
      <c r="T91" s="221" t="inlineStr">
        <is>
          <t>Dự trù ngân sách L2 (Ngày 24/07 - 26/07)</t>
        </is>
      </c>
      <c r="U91" s="152" t="n"/>
    </row>
    <row r="92" ht="15.6" customHeight="1" s="405">
      <c r="A92" s="94" t="n">
        <v>1</v>
      </c>
      <c r="B92" s="49" t="inlineStr">
        <is>
          <t>Nguyễn Hoàng Anh</t>
        </is>
      </c>
      <c r="C92" s="85" t="inlineStr">
        <is>
          <t>7923 - 065</t>
        </is>
      </c>
      <c r="D92" s="86" t="n">
        <v>7923</v>
      </c>
      <c r="E92" s="266">
        <f>F92+G92+H92+I92+J92+K92+L92</f>
        <v/>
      </c>
      <c r="F92" s="156" t="n">
        <v>20000000</v>
      </c>
      <c r="G92" s="156" t="n">
        <v>20000000</v>
      </c>
      <c r="H92" s="156" t="n">
        <v>20000000</v>
      </c>
      <c r="I92" s="156" t="n">
        <v>20000000</v>
      </c>
      <c r="J92" s="156" t="n">
        <v>20000000</v>
      </c>
      <c r="K92" s="156" t="n">
        <v>20000000</v>
      </c>
      <c r="L92" s="156" t="n">
        <v>20000000</v>
      </c>
      <c r="M92" s="156" t="n">
        <v>260000000</v>
      </c>
      <c r="N92" s="266">
        <f>M92/7</f>
        <v/>
      </c>
      <c r="O92" s="157">
        <f>E92/M92</f>
        <v/>
      </c>
      <c r="P92" s="77">
        <f>'Tổng tuần'!W3</f>
        <v/>
      </c>
      <c r="Q92" s="77">
        <f>'Tổng tuần'!U3</f>
        <v/>
      </c>
      <c r="R92" s="74">
        <f>Q92/P92</f>
        <v/>
      </c>
      <c r="S92" s="162">
        <f>SUM(F92:I92)</f>
        <v/>
      </c>
      <c r="T92" s="162">
        <f>SUM(J92:L92)</f>
        <v/>
      </c>
    </row>
    <row r="93" ht="15.6" customHeight="1" s="405">
      <c r="A93" s="94" t="n">
        <v>2</v>
      </c>
      <c r="B93" s="49" t="inlineStr">
        <is>
          <t>Bùi Quang Anh</t>
        </is>
      </c>
      <c r="C93" s="85" t="inlineStr">
        <is>
          <t>9793 - 081</t>
        </is>
      </c>
      <c r="D93" s="86" t="n">
        <v>9793</v>
      </c>
      <c r="E93" s="266">
        <f>F93+G93+H93+I93+J93+K93+L93</f>
        <v/>
      </c>
      <c r="F93" s="156" t="n">
        <v>12000000</v>
      </c>
      <c r="G93" s="156" t="n">
        <v>12000000</v>
      </c>
      <c r="H93" s="156" t="n">
        <v>12000000</v>
      </c>
      <c r="I93" s="156" t="n">
        <v>12000000</v>
      </c>
      <c r="J93" s="156" t="n">
        <v>12000000</v>
      </c>
      <c r="K93" s="156" t="n">
        <v>12000000</v>
      </c>
      <c r="L93" s="156" t="n">
        <v>12000000</v>
      </c>
      <c r="M93" s="156" t="n">
        <v>160000000</v>
      </c>
      <c r="N93" s="266">
        <f>M93/7</f>
        <v/>
      </c>
      <c r="O93" s="157">
        <f>E93/M93</f>
        <v/>
      </c>
      <c r="P93" s="77">
        <f>'Tổng tuần'!W4</f>
        <v/>
      </c>
      <c r="Q93" s="77">
        <f>'Tổng tuần'!U4</f>
        <v/>
      </c>
      <c r="R93" s="74">
        <f>Q93/P93</f>
        <v/>
      </c>
      <c r="S93" s="162">
        <f>SUM(F93:I93)</f>
        <v/>
      </c>
      <c r="T93" s="162">
        <f>SUM(J93:L93)</f>
        <v/>
      </c>
    </row>
    <row r="94" ht="15.6" customHeight="1" s="405">
      <c r="A94" s="94" t="n">
        <v>3</v>
      </c>
      <c r="B94" s="49" t="inlineStr">
        <is>
          <t>Trần Quang Huy</t>
        </is>
      </c>
      <c r="C94" s="85" t="inlineStr">
        <is>
          <t>8384 - 057</t>
        </is>
      </c>
      <c r="D94" s="86" t="n">
        <v>8384</v>
      </c>
      <c r="E94" s="266">
        <f>F94+G94+H94+I94+J94+K94+L94</f>
        <v/>
      </c>
      <c r="F94" s="156" t="n">
        <v>12000000</v>
      </c>
      <c r="G94" s="156" t="n">
        <v>12000000</v>
      </c>
      <c r="H94" s="156" t="n">
        <v>12000000</v>
      </c>
      <c r="I94" s="156" t="n">
        <v>12000000</v>
      </c>
      <c r="J94" s="156" t="n">
        <v>12000000</v>
      </c>
      <c r="K94" s="156" t="n">
        <v>12000000</v>
      </c>
      <c r="L94" s="156" t="n">
        <v>12000000</v>
      </c>
      <c r="M94" s="156" t="n">
        <v>160000000</v>
      </c>
      <c r="N94" s="266">
        <f>M94/7</f>
        <v/>
      </c>
      <c r="O94" s="157">
        <f>E94/M94</f>
        <v/>
      </c>
      <c r="P94" s="77">
        <f>'Tổng tuần'!W5</f>
        <v/>
      </c>
      <c r="Q94" s="77">
        <f>'Tổng tuần'!U5</f>
        <v/>
      </c>
      <c r="R94" s="74">
        <f>Q94/P94</f>
        <v/>
      </c>
      <c r="S94" s="162">
        <f>SUM(F94:I94)</f>
        <v/>
      </c>
      <c r="T94" s="162">
        <f>SUM(J94:L94)</f>
        <v/>
      </c>
    </row>
    <row r="95" ht="15.6" customHeight="1" s="405">
      <c r="A95" s="94" t="n">
        <v>4</v>
      </c>
      <c r="B95" s="49" t="inlineStr">
        <is>
          <t>Phạm Thế Hải</t>
        </is>
      </c>
      <c r="C95" s="85" t="inlineStr">
        <is>
          <t>8879 - 073</t>
        </is>
      </c>
      <c r="D95" s="86" t="n">
        <v>8879</v>
      </c>
      <c r="E95" s="266">
        <f>F95+G95+H95+I95+J95+K95+L95</f>
        <v/>
      </c>
      <c r="F95" s="156" t="n">
        <v>12000000</v>
      </c>
      <c r="G95" s="156" t="n">
        <v>12000000</v>
      </c>
      <c r="H95" s="156" t="n">
        <v>12000000</v>
      </c>
      <c r="I95" s="156" t="n">
        <v>12000000</v>
      </c>
      <c r="J95" s="156" t="n">
        <v>12000000</v>
      </c>
      <c r="K95" s="156" t="n">
        <v>12000000</v>
      </c>
      <c r="L95" s="156" t="n">
        <v>12000000</v>
      </c>
      <c r="M95" s="156" t="n">
        <v>160000000</v>
      </c>
      <c r="N95" s="266">
        <f>M95/7</f>
        <v/>
      </c>
      <c r="O95" s="157">
        <f>E95/M95</f>
        <v/>
      </c>
      <c r="P95" s="77">
        <f>'Tổng tuần'!W6</f>
        <v/>
      </c>
      <c r="Q95" s="77">
        <f>'Tổng tuần'!U6</f>
        <v/>
      </c>
      <c r="R95" s="74">
        <f>Q95/P95</f>
        <v/>
      </c>
      <c r="S95" s="162">
        <f>SUM(F95:I95)</f>
        <v/>
      </c>
      <c r="T95" s="162">
        <f>SUM(J95:L95)</f>
        <v/>
      </c>
    </row>
    <row r="96" ht="15.6" customHeight="1" s="405">
      <c r="A96" s="94" t="n">
        <v>5</v>
      </c>
      <c r="B96" s="49" t="inlineStr">
        <is>
          <t>Nguyễn Văn Lý</t>
        </is>
      </c>
      <c r="C96" s="85" t="inlineStr">
        <is>
          <t>1695 - 121</t>
        </is>
      </c>
      <c r="D96" s="86" t="n">
        <v>1695</v>
      </c>
      <c r="E96" s="266">
        <f>F96+G96+H96+I96+J96+K96+L96</f>
        <v/>
      </c>
      <c r="F96" s="156" t="n">
        <v>0</v>
      </c>
      <c r="G96" s="156" t="n">
        <v>0</v>
      </c>
      <c r="H96" s="156" t="n">
        <v>0</v>
      </c>
      <c r="I96" s="156" t="n">
        <v>0</v>
      </c>
      <c r="J96" s="156" t="n">
        <v>0</v>
      </c>
      <c r="K96" s="156" t="n">
        <v>0</v>
      </c>
      <c r="L96" s="156" t="n">
        <v>0</v>
      </c>
      <c r="M96" s="156" t="n">
        <v>25000000</v>
      </c>
      <c r="N96" s="266">
        <f>M96/7</f>
        <v/>
      </c>
      <c r="O96" s="157">
        <f>E96/M96</f>
        <v/>
      </c>
      <c r="P96" s="77">
        <f>'Tổng tuần'!W7</f>
        <v/>
      </c>
      <c r="Q96" s="77">
        <f>'Tổng tuần'!U7</f>
        <v/>
      </c>
      <c r="R96" s="74">
        <f>Q96/P96</f>
        <v/>
      </c>
      <c r="S96" s="162">
        <f>SUM(F96:I96)</f>
        <v/>
      </c>
      <c r="T96" s="162">
        <f>SUM(J96:L96)</f>
        <v/>
      </c>
    </row>
    <row r="97" ht="15.6" customHeight="1" s="405">
      <c r="A97" s="94" t="n">
        <v>6</v>
      </c>
      <c r="B97" s="49" t="inlineStr">
        <is>
          <t>Đỗ Quốc Anh</t>
        </is>
      </c>
      <c r="C97" s="85" t="inlineStr">
        <is>
          <t>9330 - 091</t>
        </is>
      </c>
      <c r="D97" s="86" t="n">
        <v>9330</v>
      </c>
      <c r="E97" s="266">
        <f>F97+G97+H97+I97+J97+K97+L97</f>
        <v/>
      </c>
      <c r="F97" s="156" t="n">
        <v>4000000</v>
      </c>
      <c r="G97" s="156" t="n">
        <v>4000000</v>
      </c>
      <c r="H97" s="156" t="n">
        <v>4000000</v>
      </c>
      <c r="I97" s="156" t="n">
        <v>4000000</v>
      </c>
      <c r="J97" s="156" t="n">
        <v>4000000</v>
      </c>
      <c r="K97" s="156" t="n">
        <v>4000000</v>
      </c>
      <c r="L97" s="156" t="n">
        <v>4000000</v>
      </c>
      <c r="M97" s="156" t="n">
        <v>50000000</v>
      </c>
      <c r="N97" s="266">
        <f>M97/7</f>
        <v/>
      </c>
      <c r="O97" s="157">
        <f>E97/M97</f>
        <v/>
      </c>
      <c r="P97" s="77">
        <f>'Tổng tuần'!W8</f>
        <v/>
      </c>
      <c r="Q97" s="77">
        <f>'Tổng tuần'!U8</f>
        <v/>
      </c>
      <c r="R97" s="74">
        <f>Q97/P97</f>
        <v/>
      </c>
      <c r="S97" s="162">
        <f>SUM(F97:I97)</f>
        <v/>
      </c>
      <c r="T97" s="162">
        <f>SUM(J97:L97)</f>
        <v/>
      </c>
    </row>
    <row r="98" hidden="1" ht="17.4" customHeight="1" s="405">
      <c r="A98" s="94" t="n">
        <v>7</v>
      </c>
      <c r="B98" s="84" t="n"/>
      <c r="C98" s="94" t="n"/>
      <c r="D98" s="94" t="n"/>
      <c r="E98" s="94">
        <f>F98+G98+H98+I98+J98+K98+L98</f>
        <v/>
      </c>
      <c r="F98" s="94" t="n"/>
      <c r="G98" s="94" t="n"/>
      <c r="H98" s="94" t="n"/>
      <c r="I98" s="94" t="n"/>
      <c r="J98" s="94" t="n"/>
      <c r="K98" s="94" t="n"/>
      <c r="L98" s="94" t="n"/>
      <c r="M98" s="94" t="n"/>
      <c r="N98" s="94">
        <f>M98/7</f>
        <v/>
      </c>
      <c r="O98" s="94">
        <f>E98/M98</f>
        <v/>
      </c>
      <c r="P98" s="178" t="n"/>
      <c r="Q98" s="178" t="n"/>
      <c r="R98" s="74">
        <f>Q98/P98</f>
        <v/>
      </c>
      <c r="S98" s="162">
        <f>SUM(F98:I98)</f>
        <v/>
      </c>
      <c r="T98" s="162">
        <f>SUM(J98:L98)</f>
        <v/>
      </c>
    </row>
    <row r="99" hidden="1" ht="13.2" customHeight="1" s="405">
      <c r="A99" s="94" t="n">
        <v>8</v>
      </c>
      <c r="B99" s="94" t="n"/>
      <c r="C99" s="94" t="n"/>
      <c r="D99" s="94" t="n"/>
      <c r="E99" s="94">
        <f>F99+G99+H99+I99+J99+K99+L99</f>
        <v/>
      </c>
      <c r="F99" s="94" t="n"/>
      <c r="G99" s="94" t="n"/>
      <c r="H99" s="94" t="n"/>
      <c r="I99" s="94" t="n"/>
      <c r="J99" s="94" t="n"/>
      <c r="K99" s="94" t="n"/>
      <c r="L99" s="94" t="n"/>
      <c r="M99" s="94" t="n"/>
      <c r="N99" s="94">
        <f>M99/7</f>
        <v/>
      </c>
      <c r="O99" s="94">
        <f>E99/M99</f>
        <v/>
      </c>
      <c r="P99" s="178" t="n"/>
      <c r="Q99" s="178" t="n"/>
      <c r="R99" s="74">
        <f>Q99/P99</f>
        <v/>
      </c>
      <c r="S99" s="162">
        <f>SUM(F99:I99)</f>
        <v/>
      </c>
      <c r="T99" s="162">
        <f>SUM(J99:L99)</f>
        <v/>
      </c>
    </row>
    <row r="100" ht="13.8" customHeight="1" s="405">
      <c r="A100" s="209" t="inlineStr">
        <is>
          <t>TỔNG TEAM NT</t>
        </is>
      </c>
      <c r="B100" s="439" t="n"/>
      <c r="C100" s="178" t="n"/>
      <c r="D100" s="178" t="n"/>
      <c r="E100" s="180">
        <f>SUM(E92:E99)</f>
        <v/>
      </c>
      <c r="F100" s="180">
        <f>SUM(F92:F99)</f>
        <v/>
      </c>
      <c r="G100" s="180">
        <f>SUM(G92:G99)</f>
        <v/>
      </c>
      <c r="H100" s="180">
        <f>SUM(H92:H99)</f>
        <v/>
      </c>
      <c r="I100" s="180">
        <f>SUM(I92:I99)</f>
        <v/>
      </c>
      <c r="J100" s="180">
        <f>SUM(J92:J99)</f>
        <v/>
      </c>
      <c r="K100" s="180">
        <f>SUM(K92:K99)</f>
        <v/>
      </c>
      <c r="L100" s="180">
        <f>SUM(L92:L99)</f>
        <v/>
      </c>
      <c r="M100" s="180">
        <f>SUM(M92:M99)</f>
        <v/>
      </c>
      <c r="N100" s="180">
        <f>M100/7</f>
        <v/>
      </c>
      <c r="O100" s="183">
        <f>E100/M100</f>
        <v/>
      </c>
      <c r="P100" s="178" t="n"/>
      <c r="Q100" s="178" t="n"/>
      <c r="R100" s="74">
        <f>Q100/P100</f>
        <v/>
      </c>
      <c r="S100" s="184">
        <f>SUM(F100:I100)</f>
        <v/>
      </c>
      <c r="T100" s="184">
        <f>SUM(J100:L100)</f>
        <v/>
      </c>
      <c r="U100" s="419" t="n"/>
      <c r="V100" s="419" t="n"/>
      <c r="W100" s="419" t="n"/>
      <c r="X100" s="419" t="n"/>
      <c r="Y100" s="419" t="n"/>
      <c r="Z100" s="419" t="n"/>
      <c r="AA100" s="419" t="n"/>
      <c r="AB100" s="419" t="n"/>
      <c r="AC100" s="419" t="n"/>
      <c r="AD100" s="419" t="n"/>
      <c r="AE100" s="419" t="n"/>
    </row>
    <row r="101" ht="13.2" customHeight="1" s="405">
      <c r="P101" s="419" t="n"/>
      <c r="Q101" s="419" t="n"/>
      <c r="R101" s="419" t="n"/>
      <c r="T101" s="94" t="n"/>
    </row>
    <row r="102" ht="15.6" customHeight="1" s="405">
      <c r="A102" s="94" t="n">
        <v>1</v>
      </c>
      <c r="B102" s="112" t="inlineStr">
        <is>
          <t>Nguyễn Thọ Thưởng</t>
        </is>
      </c>
      <c r="C102" s="94" t="n"/>
      <c r="D102" s="94" t="n"/>
      <c r="E102" s="94">
        <f>F102+G102+H102+I102+J102+K102+L102</f>
        <v/>
      </c>
      <c r="F102" s="94" t="n"/>
      <c r="G102" s="94" t="n"/>
      <c r="H102" s="94" t="n"/>
      <c r="I102" s="94" t="n"/>
      <c r="J102" s="94" t="n"/>
      <c r="K102" s="94" t="n"/>
      <c r="L102" s="94" t="n"/>
      <c r="M102" s="94" t="n"/>
      <c r="N102" s="94">
        <f>M102/7</f>
        <v/>
      </c>
      <c r="O102" s="94">
        <f>E102/M102</f>
        <v/>
      </c>
      <c r="P102" s="77">
        <f>'Tổng tuần'!W13</f>
        <v/>
      </c>
      <c r="Q102" s="77">
        <f>'Tổng tuần'!U13</f>
        <v/>
      </c>
      <c r="R102" s="74">
        <f>Q102/P102</f>
        <v/>
      </c>
      <c r="S102" s="94" t="n"/>
      <c r="T102" s="94" t="n"/>
    </row>
    <row r="103" ht="13.2" customHeight="1" s="405">
      <c r="A103" s="94" t="n">
        <v>2</v>
      </c>
      <c r="B103" s="94" t="n"/>
      <c r="C103" s="94" t="n"/>
      <c r="D103" s="94" t="n"/>
      <c r="E103" s="94">
        <f>F103+G103+H103+I103+J103+K103+L103</f>
        <v/>
      </c>
      <c r="F103" s="94" t="n"/>
      <c r="G103" s="94" t="n"/>
      <c r="H103" s="94" t="n"/>
      <c r="I103" s="94" t="n"/>
      <c r="J103" s="94" t="n"/>
      <c r="K103" s="94" t="n"/>
      <c r="L103" s="94" t="n"/>
      <c r="M103" s="94" t="n"/>
      <c r="N103" s="94">
        <f>M103/7</f>
        <v/>
      </c>
      <c r="O103" s="94">
        <f>E103/M103</f>
        <v/>
      </c>
      <c r="P103" s="178" t="n"/>
      <c r="Q103" s="178" t="n"/>
      <c r="R103" s="74">
        <f>Q103/P103</f>
        <v/>
      </c>
      <c r="S103" s="94" t="n"/>
      <c r="T103" s="94" t="n"/>
    </row>
    <row r="104" ht="13.2" customHeight="1" s="405">
      <c r="A104" s="94" t="n">
        <v>3</v>
      </c>
      <c r="B104" s="94" t="n"/>
      <c r="C104" s="94" t="n"/>
      <c r="D104" s="94" t="n"/>
      <c r="E104" s="94">
        <f>F104+G104+H104+I104+J104+K104+L104</f>
        <v/>
      </c>
      <c r="F104" s="94" t="n"/>
      <c r="G104" s="94" t="n"/>
      <c r="H104" s="94" t="n"/>
      <c r="I104" s="94" t="n"/>
      <c r="J104" s="94" t="n"/>
      <c r="K104" s="94" t="n"/>
      <c r="L104" s="94" t="n"/>
      <c r="M104" s="94" t="n"/>
      <c r="N104" s="94">
        <f>M104/7</f>
        <v/>
      </c>
      <c r="O104" s="94">
        <f>E104/M104</f>
        <v/>
      </c>
      <c r="P104" s="178" t="n"/>
      <c r="Q104" s="178" t="n"/>
      <c r="R104" s="74">
        <f>Q104/P104</f>
        <v/>
      </c>
      <c r="S104" s="94" t="n"/>
      <c r="T104" s="94" t="n"/>
    </row>
    <row r="105" ht="13.2" customHeight="1" s="405">
      <c r="A105" s="94" t="n">
        <v>4</v>
      </c>
      <c r="B105" s="94" t="n"/>
      <c r="C105" s="94" t="n"/>
      <c r="D105" s="94" t="n"/>
      <c r="E105" s="94">
        <f>F105+G105+H105+I105+J105+K105+L105</f>
        <v/>
      </c>
      <c r="F105" s="94" t="n"/>
      <c r="G105" s="94" t="n"/>
      <c r="H105" s="94" t="n"/>
      <c r="I105" s="94" t="n"/>
      <c r="J105" s="94" t="n"/>
      <c r="K105" s="94" t="n"/>
      <c r="L105" s="94" t="n"/>
      <c r="M105" s="94" t="n"/>
      <c r="N105" s="94">
        <f>M105/7</f>
        <v/>
      </c>
      <c r="O105" s="94">
        <f>E105/M105</f>
        <v/>
      </c>
      <c r="P105" s="178" t="n"/>
      <c r="Q105" s="178" t="n"/>
      <c r="R105" s="74">
        <f>Q105/P105</f>
        <v/>
      </c>
      <c r="S105" s="94" t="n"/>
      <c r="T105" s="94" t="n"/>
    </row>
    <row r="106" ht="13.2" customHeight="1" s="405">
      <c r="A106" s="94" t="n">
        <v>5</v>
      </c>
      <c r="B106" s="94" t="n"/>
      <c r="C106" s="94" t="n"/>
      <c r="D106" s="94" t="n"/>
      <c r="E106" s="94">
        <f>F106+G106+H106+I106+J106+K106+L106</f>
        <v/>
      </c>
      <c r="F106" s="94" t="n"/>
      <c r="G106" s="94" t="n"/>
      <c r="H106" s="94" t="n"/>
      <c r="I106" s="94" t="n"/>
      <c r="J106" s="94" t="n"/>
      <c r="K106" s="94" t="n"/>
      <c r="L106" s="94" t="n"/>
      <c r="M106" s="94" t="n"/>
      <c r="N106" s="94">
        <f>M106/7</f>
        <v/>
      </c>
      <c r="O106" s="94">
        <f>E106/M106</f>
        <v/>
      </c>
      <c r="P106" s="178" t="n"/>
      <c r="Q106" s="178" t="n"/>
      <c r="R106" s="74">
        <f>Q106/P106</f>
        <v/>
      </c>
      <c r="S106" s="94" t="n"/>
      <c r="T106" s="94" t="n"/>
    </row>
    <row r="107" ht="13.8" customHeight="1" s="405">
      <c r="A107" s="209" t="inlineStr">
        <is>
          <t>TỔNG TEAM OCP</t>
        </is>
      </c>
      <c r="B107" s="439" t="n"/>
      <c r="C107" s="178" t="n"/>
      <c r="D107" s="178" t="n"/>
      <c r="E107" s="178">
        <f>SUM(E102:E106)</f>
        <v/>
      </c>
      <c r="F107" s="178">
        <f>SUM(F102:F106)</f>
        <v/>
      </c>
      <c r="G107" s="178">
        <f>SUM(G102:G106)</f>
        <v/>
      </c>
      <c r="H107" s="178">
        <f>SUM(H102:H106)</f>
        <v/>
      </c>
      <c r="I107" s="178">
        <f>SUM(I102:I106)</f>
        <v/>
      </c>
      <c r="J107" s="178">
        <f>SUM(J102:J106)</f>
        <v/>
      </c>
      <c r="K107" s="178">
        <f>SUM(K102:K106)</f>
        <v/>
      </c>
      <c r="L107" s="178">
        <f>SUM(L102:L106)</f>
        <v/>
      </c>
      <c r="M107" s="178">
        <f>SUM(M102:M106)</f>
        <v/>
      </c>
      <c r="N107" s="196">
        <f>M107/7</f>
        <v/>
      </c>
      <c r="O107" s="196">
        <f>E107/M107</f>
        <v/>
      </c>
      <c r="P107" s="178" t="n"/>
      <c r="Q107" s="178" t="n"/>
      <c r="R107" s="74">
        <f>Q107/P107</f>
        <v/>
      </c>
      <c r="S107" s="178" t="n"/>
      <c r="T107" s="178" t="n"/>
      <c r="U107" s="419" t="n"/>
      <c r="V107" s="419" t="n"/>
      <c r="W107" s="419" t="n"/>
      <c r="X107" s="419" t="n"/>
      <c r="Y107" s="419" t="n"/>
      <c r="Z107" s="419" t="n"/>
      <c r="AA107" s="419" t="n"/>
      <c r="AB107" s="419" t="n"/>
      <c r="AC107" s="419" t="n"/>
      <c r="AD107" s="419" t="n"/>
      <c r="AE107" s="419" t="n"/>
    </row>
    <row r="108" ht="13.2" customHeight="1" s="405">
      <c r="P108" s="419" t="n"/>
      <c r="Q108" s="419" t="n"/>
      <c r="R108" s="419" t="n"/>
      <c r="T108" s="94" t="n"/>
    </row>
    <row r="109" ht="23.25" customHeight="1" s="405">
      <c r="A109" s="215" t="inlineStr">
        <is>
          <t>TỔNG</t>
        </is>
      </c>
      <c r="B109" s="439" t="n"/>
      <c r="C109" s="199" t="n"/>
      <c r="D109" s="199" t="n"/>
      <c r="E109" s="131">
        <f>E107+E100</f>
        <v/>
      </c>
      <c r="F109" s="131">
        <f>F107+F100</f>
        <v/>
      </c>
      <c r="G109" s="131">
        <f>G107+G100</f>
        <v/>
      </c>
      <c r="H109" s="131">
        <f>H107+H100</f>
        <v/>
      </c>
      <c r="I109" s="131">
        <f>I107+I100</f>
        <v/>
      </c>
      <c r="J109" s="131">
        <f>J107+J100</f>
        <v/>
      </c>
      <c r="K109" s="131">
        <f>K107+K100</f>
        <v/>
      </c>
      <c r="L109" s="131">
        <f>L107+L100</f>
        <v/>
      </c>
      <c r="M109" s="131">
        <f>M107+M100</f>
        <v/>
      </c>
      <c r="N109" s="131">
        <f>N107+N100</f>
        <v/>
      </c>
      <c r="O109" s="203">
        <f>E109/M109</f>
        <v/>
      </c>
      <c r="P109" s="131">
        <f>P107+P100</f>
        <v/>
      </c>
      <c r="Q109" s="131">
        <f>Q107+Q100</f>
        <v/>
      </c>
      <c r="R109" s="204">
        <f>Q109/P109</f>
        <v/>
      </c>
      <c r="S109" s="131">
        <f>S107+S100</f>
        <v/>
      </c>
      <c r="T109" s="131">
        <f>T107+T100</f>
        <v/>
      </c>
      <c r="U109" s="205" t="n"/>
      <c r="V109" s="205" t="n"/>
      <c r="W109" s="205" t="n"/>
      <c r="X109" s="205" t="n"/>
      <c r="Y109" s="205" t="n"/>
      <c r="Z109" s="205" t="n"/>
      <c r="AA109" s="205" t="n"/>
      <c r="AB109" s="205" t="n"/>
      <c r="AC109" s="205" t="n"/>
      <c r="AD109" s="205" t="n"/>
      <c r="AE109" s="205" t="n"/>
    </row>
    <row r="113" ht="13.2" customHeight="1" s="405">
      <c r="A113" s="440" t="inlineStr">
        <is>
          <t>KẾ HOẠCH NGÂN SÁCH TUẦN 5</t>
        </is>
      </c>
    </row>
    <row r="114" ht="52.2" customHeight="1" s="405">
      <c r="A114" s="137" t="inlineStr">
        <is>
          <t>STT</t>
        </is>
      </c>
      <c r="B114" s="138" t="inlineStr">
        <is>
          <t>Họ và tên</t>
        </is>
      </c>
      <c r="C114" s="22" t="inlineStr">
        <is>
          <t>Số tài khoản</t>
        </is>
      </c>
      <c r="D114" s="212" t="inlineStr">
        <is>
          <t>Số Thẻ</t>
        </is>
      </c>
      <c r="E114" s="139" t="inlineStr">
        <is>
          <t>Ngân sách
/Tuần</t>
        </is>
      </c>
      <c r="F114" s="140" t="inlineStr">
        <is>
          <t>Thứ 2</t>
        </is>
      </c>
      <c r="G114" s="141" t="inlineStr">
        <is>
          <t>Thứ 3</t>
        </is>
      </c>
      <c r="H114" s="142" t="inlineStr">
        <is>
          <t>Thứ 4</t>
        </is>
      </c>
      <c r="I114" s="143" t="inlineStr">
        <is>
          <t>Thứ 5</t>
        </is>
      </c>
      <c r="J114" s="144" t="inlineStr">
        <is>
          <t>Thứ 6</t>
        </is>
      </c>
      <c r="K114" s="145" t="inlineStr">
        <is>
          <t>Thứ 7</t>
        </is>
      </c>
      <c r="L114" s="206" t="inlineStr">
        <is>
          <t>CN</t>
        </is>
      </c>
      <c r="M114" s="147" t="inlineStr">
        <is>
          <t>Tổng Doanh số
(Cần Đạt)</t>
        </is>
      </c>
      <c r="N114" s="212" t="inlineStr">
        <is>
          <t>Doanh số ngày
(Cần Đạt)</t>
        </is>
      </c>
      <c r="O114" s="212" t="inlineStr">
        <is>
          <t>Tỉ lệ CP</t>
        </is>
      </c>
      <c r="P114" s="43" t="inlineStr">
        <is>
          <t>DS THỰC TẾ</t>
        </is>
      </c>
      <c r="Q114" s="45" t="inlineStr">
        <is>
          <t>Ngân sách đã tiêu</t>
        </is>
      </c>
      <c r="R114" s="43" t="inlineStr">
        <is>
          <t>Tỉ lệ CP</t>
        </is>
      </c>
      <c r="S114" s="221" t="inlineStr">
        <is>
          <t>Dự trù ngân sách L1 (Ngày 27/07 - 30/07)</t>
        </is>
      </c>
      <c r="T114" s="221" t="inlineStr">
        <is>
          <t>Dự trù ngân sách L2 (Ngày 31/07 - 02/08)</t>
        </is>
      </c>
      <c r="U114" s="152" t="n"/>
    </row>
    <row r="115" ht="15.6" customHeight="1" s="405">
      <c r="A115" s="94" t="n">
        <v>1</v>
      </c>
      <c r="B115" s="49" t="inlineStr">
        <is>
          <t>Nguyễn Hoàng Anh</t>
        </is>
      </c>
      <c r="C115" s="85" t="inlineStr">
        <is>
          <t>7923 - 065</t>
        </is>
      </c>
      <c r="D115" s="86" t="n">
        <v>7923</v>
      </c>
      <c r="E115" s="266">
        <f>F115+G115+H115+I115+J115+K115+L115</f>
        <v/>
      </c>
      <c r="F115" s="156" t="n">
        <v>20000000</v>
      </c>
      <c r="G115" s="156" t="n">
        <v>20000000</v>
      </c>
      <c r="H115" s="156" t="n">
        <v>20000000</v>
      </c>
      <c r="I115" s="156" t="n">
        <v>20000000</v>
      </c>
      <c r="J115" s="156" t="n">
        <v>20000000</v>
      </c>
      <c r="K115" s="156" t="n">
        <v>20000000</v>
      </c>
      <c r="L115" s="156" t="n">
        <v>20000000</v>
      </c>
      <c r="M115" s="156" t="n">
        <v>260000000</v>
      </c>
      <c r="N115" s="266">
        <f>M115/7</f>
        <v/>
      </c>
      <c r="O115" s="157">
        <f>E115/M115</f>
        <v/>
      </c>
      <c r="P115" s="77">
        <f>'Tổng tuần'!AB3</f>
        <v/>
      </c>
      <c r="Q115" s="77">
        <f>'Tổng tuần'!Z3</f>
        <v/>
      </c>
      <c r="R115" s="74">
        <f>Q115/P115</f>
        <v/>
      </c>
      <c r="S115" s="162">
        <f>SUM(F115:I115)</f>
        <v/>
      </c>
      <c r="T115" s="162">
        <f>SUM(J115:L115)</f>
        <v/>
      </c>
    </row>
    <row r="116" ht="15.6" customHeight="1" s="405">
      <c r="A116" s="94" t="n">
        <v>2</v>
      </c>
      <c r="B116" s="49" t="inlineStr">
        <is>
          <t>Bùi Quang Anh</t>
        </is>
      </c>
      <c r="C116" s="85" t="inlineStr">
        <is>
          <t>9793 - 081</t>
        </is>
      </c>
      <c r="D116" s="86" t="n">
        <v>9793</v>
      </c>
      <c r="E116" s="266">
        <f>F116+G116+H116+I116+J116+K116+L116</f>
        <v/>
      </c>
      <c r="F116" s="156" t="n">
        <v>12000000</v>
      </c>
      <c r="G116" s="156" t="n">
        <v>12000000</v>
      </c>
      <c r="H116" s="156" t="n">
        <v>12000000</v>
      </c>
      <c r="I116" s="156" t="n">
        <v>12000000</v>
      </c>
      <c r="J116" s="156" t="n">
        <v>12000000</v>
      </c>
      <c r="K116" s="156" t="n">
        <v>12000000</v>
      </c>
      <c r="L116" s="156" t="n">
        <v>12000000</v>
      </c>
      <c r="M116" s="156" t="n">
        <v>160000000</v>
      </c>
      <c r="N116" s="266">
        <f>M116/7</f>
        <v/>
      </c>
      <c r="O116" s="157">
        <f>E116/M116</f>
        <v/>
      </c>
      <c r="P116" s="77">
        <f>'Tổng tuần'!AB4</f>
        <v/>
      </c>
      <c r="Q116" s="77">
        <f>'Tổng tuần'!Z4</f>
        <v/>
      </c>
      <c r="R116" s="74">
        <f>Q116/P116</f>
        <v/>
      </c>
      <c r="S116" s="162">
        <f>SUM(F116:I116)</f>
        <v/>
      </c>
      <c r="T116" s="162">
        <f>SUM(J116:L116)</f>
        <v/>
      </c>
    </row>
    <row r="117" ht="15.6" customHeight="1" s="405">
      <c r="A117" s="94" t="n">
        <v>3</v>
      </c>
      <c r="B117" s="49" t="inlineStr">
        <is>
          <t>Trần Quang Huy</t>
        </is>
      </c>
      <c r="C117" s="85" t="inlineStr">
        <is>
          <t>8384 - 057</t>
        </is>
      </c>
      <c r="D117" s="86" t="n">
        <v>8384</v>
      </c>
      <c r="E117" s="266">
        <f>F117+G117+H117+I117+J117+K117+L117</f>
        <v/>
      </c>
      <c r="F117" s="156" t="n">
        <v>12000000</v>
      </c>
      <c r="G117" s="156" t="n">
        <v>12000000</v>
      </c>
      <c r="H117" s="156" t="n">
        <v>12000000</v>
      </c>
      <c r="I117" s="156" t="n">
        <v>12000000</v>
      </c>
      <c r="J117" s="156" t="n">
        <v>12000000</v>
      </c>
      <c r="K117" s="156" t="n">
        <v>12000000</v>
      </c>
      <c r="L117" s="156" t="n">
        <v>12000000</v>
      </c>
      <c r="M117" s="156" t="n">
        <v>160000000</v>
      </c>
      <c r="N117" s="266">
        <f>M117/7</f>
        <v/>
      </c>
      <c r="O117" s="157">
        <f>E117/M117</f>
        <v/>
      </c>
      <c r="P117" s="77">
        <f>'Tổng tuần'!AB5</f>
        <v/>
      </c>
      <c r="Q117" s="77">
        <f>'Tổng tuần'!Z5</f>
        <v/>
      </c>
      <c r="R117" s="74">
        <f>Q117/P117</f>
        <v/>
      </c>
      <c r="S117" s="162">
        <f>SUM(F117:I117)</f>
        <v/>
      </c>
      <c r="T117" s="162">
        <f>SUM(J117:L117)</f>
        <v/>
      </c>
    </row>
    <row r="118" ht="15.6" customHeight="1" s="405">
      <c r="A118" s="94" t="n">
        <v>4</v>
      </c>
      <c r="B118" s="49" t="inlineStr">
        <is>
          <t>Phạm Thế Hải</t>
        </is>
      </c>
      <c r="C118" s="85" t="inlineStr">
        <is>
          <t>8879 - 073</t>
        </is>
      </c>
      <c r="D118" s="86" t="n">
        <v>8879</v>
      </c>
      <c r="E118" s="266">
        <f>F118+G118+H118+I118+J118+K118+L118</f>
        <v/>
      </c>
      <c r="F118" s="156" t="n">
        <v>12000000</v>
      </c>
      <c r="G118" s="156" t="n">
        <v>12000000</v>
      </c>
      <c r="H118" s="156" t="n">
        <v>12000000</v>
      </c>
      <c r="I118" s="156" t="n">
        <v>12000000</v>
      </c>
      <c r="J118" s="156" t="n">
        <v>12000000</v>
      </c>
      <c r="K118" s="156" t="n">
        <v>12000000</v>
      </c>
      <c r="L118" s="156" t="n">
        <v>12000000</v>
      </c>
      <c r="M118" s="156" t="n">
        <v>160000000</v>
      </c>
      <c r="N118" s="266">
        <f>M118/7</f>
        <v/>
      </c>
      <c r="O118" s="157">
        <f>E118/M118</f>
        <v/>
      </c>
      <c r="P118" s="77">
        <f>'Tổng tuần'!AB6</f>
        <v/>
      </c>
      <c r="Q118" s="77">
        <f>'Tổng tuần'!Z6</f>
        <v/>
      </c>
      <c r="R118" s="74">
        <f>Q118/P118</f>
        <v/>
      </c>
      <c r="S118" s="162">
        <f>SUM(F118:I118)</f>
        <v/>
      </c>
      <c r="T118" s="162">
        <f>SUM(J118:L118)</f>
        <v/>
      </c>
    </row>
    <row r="119" hidden="1" ht="15.6" customHeight="1" s="405">
      <c r="A119" s="94" t="n">
        <v>5</v>
      </c>
      <c r="B119" s="49" t="inlineStr">
        <is>
          <t>Nguyễn Văn Lý</t>
        </is>
      </c>
      <c r="C119" s="85" t="inlineStr">
        <is>
          <t>1695 - 121</t>
        </is>
      </c>
      <c r="D119" s="86" t="n">
        <v>1695</v>
      </c>
      <c r="E119" s="266">
        <f>F119+G119+H119+I119+J119+K119+L119</f>
        <v/>
      </c>
      <c r="F119" s="156" t="n">
        <v>0</v>
      </c>
      <c r="G119" s="156" t="n">
        <v>0</v>
      </c>
      <c r="H119" s="156" t="n">
        <v>0</v>
      </c>
      <c r="I119" s="156" t="n">
        <v>0</v>
      </c>
      <c r="J119" s="156" t="n">
        <v>0</v>
      </c>
      <c r="K119" s="156" t="n">
        <v>0</v>
      </c>
      <c r="L119" s="156" t="n">
        <v>0</v>
      </c>
      <c r="M119" s="156" t="n">
        <v>0</v>
      </c>
      <c r="N119" s="266" t="n">
        <v>0</v>
      </c>
      <c r="O119" s="157">
        <f>E119/M119</f>
        <v/>
      </c>
      <c r="P119" s="77">
        <f>'Tổng tuần'!AB7</f>
        <v/>
      </c>
      <c r="Q119" s="77">
        <f>'Tổng tuần'!Z7</f>
        <v/>
      </c>
      <c r="R119" s="74">
        <f>Q119/P119</f>
        <v/>
      </c>
      <c r="S119" s="162">
        <f>SUM(F119:I119)</f>
        <v/>
      </c>
      <c r="T119" s="162">
        <f>SUM(J119:L119)</f>
        <v/>
      </c>
    </row>
    <row r="120" ht="15.6" customHeight="1" s="405">
      <c r="A120" s="94" t="n">
        <v>6</v>
      </c>
      <c r="B120" s="49" t="inlineStr">
        <is>
          <t>Đỗ Quốc Anh</t>
        </is>
      </c>
      <c r="C120" s="85" t="inlineStr">
        <is>
          <t>9330 - 091</t>
        </is>
      </c>
      <c r="D120" s="86" t="n">
        <v>9330</v>
      </c>
      <c r="E120" s="266">
        <f>F120+G120+H120+I120+J120+K120+L120</f>
        <v/>
      </c>
      <c r="F120" s="156" t="n">
        <v>4000000</v>
      </c>
      <c r="G120" s="156" t="n">
        <v>4000000</v>
      </c>
      <c r="H120" s="156" t="n">
        <v>4000000</v>
      </c>
      <c r="I120" s="156" t="n">
        <v>4000000</v>
      </c>
      <c r="J120" s="156" t="n">
        <v>4000000</v>
      </c>
      <c r="K120" s="156" t="n">
        <v>4000000</v>
      </c>
      <c r="L120" s="156" t="n">
        <v>4000000</v>
      </c>
      <c r="M120" s="156" t="n">
        <v>50000000</v>
      </c>
      <c r="N120" s="266">
        <f>M120/7</f>
        <v/>
      </c>
      <c r="O120" s="157">
        <f>E120/M120</f>
        <v/>
      </c>
      <c r="P120" s="77">
        <f>'Tổng tuần'!AB8</f>
        <v/>
      </c>
      <c r="Q120" s="77">
        <f>'Tổng tuần'!Z8</f>
        <v/>
      </c>
      <c r="R120" s="74">
        <f>Q120/P120</f>
        <v/>
      </c>
      <c r="S120" s="162">
        <f>SUM(F120:I120)</f>
        <v/>
      </c>
      <c r="T120" s="162">
        <f>SUM(J120:L120)</f>
        <v/>
      </c>
    </row>
    <row r="121" hidden="1" ht="17.4" customHeight="1" s="405">
      <c r="A121" s="94" t="n">
        <v>7</v>
      </c>
      <c r="B121" s="84" t="n"/>
      <c r="C121" s="94" t="n"/>
      <c r="D121" s="94" t="n"/>
      <c r="E121" s="94">
        <f>F121+G121+H121+I121+J121+K121+L121</f>
        <v/>
      </c>
      <c r="F121" s="94" t="n"/>
      <c r="G121" s="94" t="n"/>
      <c r="H121" s="94" t="n"/>
      <c r="I121" s="94" t="n"/>
      <c r="J121" s="94" t="n"/>
      <c r="K121" s="94" t="n"/>
      <c r="L121" s="94" t="n"/>
      <c r="M121" s="94" t="n"/>
      <c r="N121" s="94">
        <f>M121/7</f>
        <v/>
      </c>
      <c r="O121" s="94">
        <f>E121/M121</f>
        <v/>
      </c>
      <c r="P121" s="178" t="n"/>
      <c r="Q121" s="178" t="n"/>
      <c r="R121" s="74">
        <f>Q121/P121</f>
        <v/>
      </c>
      <c r="S121" s="162">
        <f>SUM(F121:I121)</f>
        <v/>
      </c>
      <c r="T121" s="162">
        <f>SUM(J121:L121)</f>
        <v/>
      </c>
    </row>
    <row r="122" hidden="1" ht="13.2" customHeight="1" s="405">
      <c r="A122" s="94" t="n">
        <v>8</v>
      </c>
      <c r="B122" s="94" t="n"/>
      <c r="C122" s="94" t="n"/>
      <c r="D122" s="94" t="n"/>
      <c r="E122" s="94">
        <f>F122+G122+H122+I122+J122+K122+L122</f>
        <v/>
      </c>
      <c r="F122" s="94" t="n"/>
      <c r="G122" s="94" t="n"/>
      <c r="H122" s="94" t="n"/>
      <c r="I122" s="94" t="n"/>
      <c r="J122" s="94" t="n"/>
      <c r="K122" s="94" t="n"/>
      <c r="L122" s="94" t="n"/>
      <c r="M122" s="94" t="n"/>
      <c r="N122" s="94">
        <f>M122/7</f>
        <v/>
      </c>
      <c r="O122" s="94">
        <f>E122/M122</f>
        <v/>
      </c>
      <c r="P122" s="178" t="n"/>
      <c r="Q122" s="178" t="n"/>
      <c r="R122" s="74">
        <f>Q122/P122</f>
        <v/>
      </c>
      <c r="S122" s="162">
        <f>SUM(F122:I122)</f>
        <v/>
      </c>
      <c r="T122" s="162">
        <f>SUM(J122:L122)</f>
        <v/>
      </c>
    </row>
    <row r="123" ht="13.8" customHeight="1" s="405">
      <c r="A123" s="209" t="inlineStr">
        <is>
          <t>TỔNG TEAM NT</t>
        </is>
      </c>
      <c r="B123" s="439" t="n"/>
      <c r="C123" s="178" t="n"/>
      <c r="D123" s="178" t="n"/>
      <c r="E123" s="180">
        <f>SUM(E115:E122)</f>
        <v/>
      </c>
      <c r="F123" s="180">
        <f>SUM(F115:F122)</f>
        <v/>
      </c>
      <c r="G123" s="180">
        <f>SUM(G115:G122)</f>
        <v/>
      </c>
      <c r="H123" s="180">
        <f>SUM(H115:H122)</f>
        <v/>
      </c>
      <c r="I123" s="180">
        <f>SUM(I115:I122)</f>
        <v/>
      </c>
      <c r="J123" s="180">
        <f>SUM(J115:J122)</f>
        <v/>
      </c>
      <c r="K123" s="180">
        <f>SUM(K115:K122)</f>
        <v/>
      </c>
      <c r="L123" s="180">
        <f>SUM(L115:L122)</f>
        <v/>
      </c>
      <c r="M123" s="180">
        <f>SUM(M115:M122)</f>
        <v/>
      </c>
      <c r="N123" s="180">
        <f>M123/7</f>
        <v/>
      </c>
      <c r="O123" s="183">
        <f>E123/M123</f>
        <v/>
      </c>
      <c r="P123" s="178" t="n"/>
      <c r="Q123" s="178" t="n"/>
      <c r="R123" s="74">
        <f>Q123/P123</f>
        <v/>
      </c>
      <c r="S123" s="184">
        <f>SUM(F123:I123)</f>
        <v/>
      </c>
      <c r="T123" s="184">
        <f>SUM(J123:L123)</f>
        <v/>
      </c>
      <c r="U123" s="419" t="n"/>
      <c r="V123" s="419" t="n"/>
      <c r="W123" s="419" t="n"/>
      <c r="X123" s="419" t="n"/>
      <c r="Y123" s="419" t="n"/>
      <c r="Z123" s="419" t="n"/>
      <c r="AA123" s="419" t="n"/>
      <c r="AB123" s="419" t="n"/>
      <c r="AC123" s="419" t="n"/>
      <c r="AD123" s="419" t="n"/>
      <c r="AE123" s="419" t="n"/>
    </row>
    <row r="124" ht="13.2" customHeight="1" s="405">
      <c r="P124" s="419" t="n"/>
      <c r="Q124" s="419" t="n"/>
      <c r="R124" s="419" t="n"/>
      <c r="T124" s="94" t="n"/>
    </row>
    <row r="125" ht="15.6" customHeight="1" s="405">
      <c r="A125" s="94" t="n">
        <v>1</v>
      </c>
      <c r="B125" s="112" t="inlineStr">
        <is>
          <t>Nguyễn Thọ Thưởng</t>
        </is>
      </c>
      <c r="C125" s="94" t="n"/>
      <c r="D125" s="94" t="n"/>
      <c r="E125" s="94">
        <f>F125+G125+H125+I125+J125+K125+L125</f>
        <v/>
      </c>
      <c r="F125" s="94" t="n"/>
      <c r="G125" s="94" t="n"/>
      <c r="H125" s="94" t="n"/>
      <c r="I125" s="94" t="n"/>
      <c r="J125" s="94" t="n"/>
      <c r="K125" s="94" t="n"/>
      <c r="L125" s="94" t="n"/>
      <c r="M125" s="94" t="n"/>
      <c r="N125" s="94">
        <f>M125/7</f>
        <v/>
      </c>
      <c r="O125" s="94">
        <f>E125/M125</f>
        <v/>
      </c>
      <c r="P125" s="77">
        <f>'Tổng tuần'!AB13</f>
        <v/>
      </c>
      <c r="Q125" s="77">
        <f>'Tổng tuần'!Z13</f>
        <v/>
      </c>
      <c r="R125" s="74">
        <f>Q125/P125</f>
        <v/>
      </c>
      <c r="S125" s="94" t="n"/>
      <c r="T125" s="94" t="n"/>
    </row>
    <row r="126" ht="13.2" customHeight="1" s="405">
      <c r="A126" s="94" t="n">
        <v>2</v>
      </c>
      <c r="B126" s="94" t="n"/>
      <c r="C126" s="94" t="n"/>
      <c r="D126" s="94" t="n"/>
      <c r="E126" s="94">
        <f>F126+G126+H126+I126+J126+K126+L126</f>
        <v/>
      </c>
      <c r="F126" s="94" t="n"/>
      <c r="G126" s="94" t="n"/>
      <c r="H126" s="94" t="n"/>
      <c r="I126" s="94" t="n"/>
      <c r="J126" s="94" t="n"/>
      <c r="K126" s="94" t="n"/>
      <c r="L126" s="94" t="n"/>
      <c r="M126" s="94" t="n"/>
      <c r="N126" s="94">
        <f>M126/7</f>
        <v/>
      </c>
      <c r="O126" s="94">
        <f>E126/M126</f>
        <v/>
      </c>
      <c r="P126" s="178" t="n"/>
      <c r="Q126" s="178" t="n"/>
      <c r="R126" s="74">
        <f>Q126/P126</f>
        <v/>
      </c>
      <c r="S126" s="94" t="n"/>
      <c r="T126" s="94" t="n"/>
    </row>
    <row r="127" ht="13.2" customHeight="1" s="405">
      <c r="A127" s="94" t="n">
        <v>3</v>
      </c>
      <c r="B127" s="94" t="n"/>
      <c r="C127" s="94" t="n"/>
      <c r="D127" s="94" t="n"/>
      <c r="E127" s="94">
        <f>F127+G127+H127+I127+J127+K127+L127</f>
        <v/>
      </c>
      <c r="F127" s="94" t="n"/>
      <c r="G127" s="94" t="n"/>
      <c r="H127" s="94" t="n"/>
      <c r="I127" s="94" t="n"/>
      <c r="J127" s="94" t="n"/>
      <c r="K127" s="94" t="n"/>
      <c r="L127" s="94" t="n"/>
      <c r="M127" s="94" t="n"/>
      <c r="N127" s="94">
        <f>M127/7</f>
        <v/>
      </c>
      <c r="O127" s="94">
        <f>E127/M127</f>
        <v/>
      </c>
      <c r="P127" s="178" t="n"/>
      <c r="Q127" s="178" t="n"/>
      <c r="R127" s="74">
        <f>Q127/P127</f>
        <v/>
      </c>
      <c r="S127" s="94" t="n"/>
      <c r="T127" s="94" t="n"/>
    </row>
    <row r="128" ht="13.2" customHeight="1" s="405">
      <c r="A128" s="94" t="n">
        <v>4</v>
      </c>
      <c r="B128" s="94" t="n"/>
      <c r="C128" s="94" t="n"/>
      <c r="D128" s="94" t="n"/>
      <c r="E128" s="94">
        <f>F128+G128+H128+I128+J128+K128+L128</f>
        <v/>
      </c>
      <c r="F128" s="94" t="n"/>
      <c r="G128" s="94" t="n"/>
      <c r="H128" s="94" t="n"/>
      <c r="I128" s="94" t="n"/>
      <c r="J128" s="94" t="n"/>
      <c r="K128" s="94" t="n"/>
      <c r="L128" s="94" t="n"/>
      <c r="M128" s="94" t="n"/>
      <c r="N128" s="94">
        <f>M128/7</f>
        <v/>
      </c>
      <c r="O128" s="94">
        <f>E128/M128</f>
        <v/>
      </c>
      <c r="P128" s="178" t="n"/>
      <c r="Q128" s="178" t="n"/>
      <c r="R128" s="74">
        <f>Q128/P128</f>
        <v/>
      </c>
      <c r="S128" s="94" t="n"/>
      <c r="T128" s="94" t="n"/>
    </row>
    <row r="129" ht="13.2" customHeight="1" s="405">
      <c r="A129" s="94" t="n">
        <v>5</v>
      </c>
      <c r="B129" s="94" t="n"/>
      <c r="C129" s="94" t="n"/>
      <c r="D129" s="94" t="n"/>
      <c r="E129" s="94">
        <f>F129+G129+H129+I129+J129+K129+L129</f>
        <v/>
      </c>
      <c r="F129" s="94" t="n"/>
      <c r="G129" s="94" t="n"/>
      <c r="H129" s="94" t="n"/>
      <c r="I129" s="94" t="n"/>
      <c r="J129" s="94" t="n"/>
      <c r="K129" s="94" t="n"/>
      <c r="L129" s="94" t="n"/>
      <c r="M129" s="94" t="n"/>
      <c r="N129" s="94">
        <f>M129/7</f>
        <v/>
      </c>
      <c r="O129" s="94">
        <f>E129/M129</f>
        <v/>
      </c>
      <c r="P129" s="178" t="n"/>
      <c r="Q129" s="178" t="n"/>
      <c r="R129" s="74">
        <f>Q129/P129</f>
        <v/>
      </c>
      <c r="S129" s="94" t="n"/>
      <c r="T129" s="94" t="n"/>
    </row>
    <row r="130" ht="13.8" customHeight="1" s="405">
      <c r="A130" s="209" t="inlineStr">
        <is>
          <t>TỔNG TEAM OCP</t>
        </is>
      </c>
      <c r="B130" s="439" t="n"/>
      <c r="C130" s="178" t="n"/>
      <c r="D130" s="178" t="n"/>
      <c r="E130" s="178">
        <f>SUM(E125:E129)</f>
        <v/>
      </c>
      <c r="F130" s="178">
        <f>SUM(F125:F129)</f>
        <v/>
      </c>
      <c r="G130" s="178">
        <f>SUM(G125:G129)</f>
        <v/>
      </c>
      <c r="H130" s="178">
        <f>SUM(H125:H129)</f>
        <v/>
      </c>
      <c r="I130" s="178">
        <f>SUM(I125:I129)</f>
        <v/>
      </c>
      <c r="J130" s="178">
        <f>SUM(J125:J129)</f>
        <v/>
      </c>
      <c r="K130" s="178">
        <f>SUM(K125:K129)</f>
        <v/>
      </c>
      <c r="L130" s="178">
        <f>SUM(L125:L129)</f>
        <v/>
      </c>
      <c r="M130" s="178">
        <f>SUM(M125:M129)</f>
        <v/>
      </c>
      <c r="N130" s="196">
        <f>M130/7</f>
        <v/>
      </c>
      <c r="O130" s="196">
        <f>E130/M130</f>
        <v/>
      </c>
      <c r="P130" s="178" t="n"/>
      <c r="Q130" s="178" t="n"/>
      <c r="R130" s="74">
        <f>Q130/P130</f>
        <v/>
      </c>
      <c r="S130" s="178" t="n"/>
      <c r="T130" s="178" t="n"/>
      <c r="U130" s="419" t="n"/>
      <c r="V130" s="419" t="n"/>
      <c r="W130" s="419" t="n"/>
      <c r="X130" s="419" t="n"/>
      <c r="Y130" s="419" t="n"/>
      <c r="Z130" s="419" t="n"/>
      <c r="AA130" s="419" t="n"/>
      <c r="AB130" s="419" t="n"/>
      <c r="AC130" s="419" t="n"/>
      <c r="AD130" s="419" t="n"/>
      <c r="AE130" s="419" t="n"/>
    </row>
    <row r="131" ht="13.2" customHeight="1" s="405">
      <c r="P131" s="419" t="n"/>
      <c r="Q131" s="419" t="n"/>
      <c r="R131" s="419" t="n"/>
      <c r="T131" s="94" t="n"/>
    </row>
    <row r="132" ht="23.25" customHeight="1" s="405">
      <c r="A132" s="215" t="inlineStr">
        <is>
          <t>TỔNG</t>
        </is>
      </c>
      <c r="B132" s="439" t="n"/>
      <c r="C132" s="199" t="n"/>
      <c r="D132" s="199" t="n"/>
      <c r="E132" s="131">
        <f>E130+E123</f>
        <v/>
      </c>
      <c r="F132" s="131">
        <f>F130+F123</f>
        <v/>
      </c>
      <c r="G132" s="131">
        <f>G130+G123</f>
        <v/>
      </c>
      <c r="H132" s="131">
        <f>H130+H123</f>
        <v/>
      </c>
      <c r="I132" s="131">
        <f>I130+I123</f>
        <v/>
      </c>
      <c r="J132" s="131">
        <f>J130+J123</f>
        <v/>
      </c>
      <c r="K132" s="131">
        <f>K130+K123</f>
        <v/>
      </c>
      <c r="L132" s="131">
        <f>L130+L123</f>
        <v/>
      </c>
      <c r="M132" s="131">
        <f>M130+M123</f>
        <v/>
      </c>
      <c r="N132" s="131">
        <f>N130+N123</f>
        <v/>
      </c>
      <c r="O132" s="203">
        <f>E132/M132</f>
        <v/>
      </c>
      <c r="P132" s="131">
        <f>P130+P123</f>
        <v/>
      </c>
      <c r="Q132" s="131">
        <f>Q130+Q123</f>
        <v/>
      </c>
      <c r="R132" s="204">
        <f>Q132/P132</f>
        <v/>
      </c>
      <c r="S132" s="131">
        <f>S130+S123</f>
        <v/>
      </c>
      <c r="T132" s="131">
        <f>T130+T123</f>
        <v/>
      </c>
      <c r="U132" s="205" t="n"/>
      <c r="V132" s="205" t="n"/>
      <c r="W132" s="205" t="n"/>
      <c r="X132" s="205" t="n"/>
      <c r="Y132" s="205" t="n"/>
      <c r="Z132" s="205" t="n"/>
      <c r="AA132" s="205" t="n"/>
      <c r="AB132" s="205" t="n"/>
      <c r="AC132" s="205" t="n"/>
      <c r="AD132" s="205" t="n"/>
      <c r="AE132" s="205" t="n"/>
    </row>
  </sheetData>
  <mergeCells count="24">
    <mergeCell ref="A130:B130"/>
    <mergeCell ref="A11:B11"/>
    <mergeCell ref="A107:B107"/>
    <mergeCell ref="A123:B123"/>
    <mergeCell ref="A132:B132"/>
    <mergeCell ref="A68:D68"/>
    <mergeCell ref="A87:B87"/>
    <mergeCell ref="A78:B78"/>
    <mergeCell ref="A65:B65"/>
    <mergeCell ref="A41:B41"/>
    <mergeCell ref="A24:D24"/>
    <mergeCell ref="A18:B18"/>
    <mergeCell ref="A56:B56"/>
    <mergeCell ref="A1:D1"/>
    <mergeCell ref="A85:B85"/>
    <mergeCell ref="A46:D46"/>
    <mergeCell ref="A90:D90"/>
    <mergeCell ref="A109:B109"/>
    <mergeCell ref="A100:B100"/>
    <mergeCell ref="A20:B20"/>
    <mergeCell ref="A43:B43"/>
    <mergeCell ref="A63:B63"/>
    <mergeCell ref="A113:D113"/>
    <mergeCell ref="A34:B3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AF42"/>
  <sheetViews>
    <sheetView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E3" sqref="E3"/>
    </sheetView>
  </sheetViews>
  <sheetFormatPr baseColWidth="8" defaultColWidth="12.6640625" defaultRowHeight="15.75" customHeight="1"/>
  <cols>
    <col width="5.88671875" customWidth="1" style="405" min="1" max="1"/>
    <col collapsed="1" width="23.44140625" customWidth="1" style="405" min="2" max="2"/>
    <col hidden="1" outlineLevel="1" width="18.88671875" customWidth="1" style="405" min="3" max="3"/>
    <col hidden="1" outlineLevel="1" width="14.21875" customWidth="1" style="405" min="4" max="4"/>
    <col hidden="1" width="12.6640625" customWidth="1" style="405" min="5" max="5"/>
    <col width="15.6640625" customWidth="1" style="405" min="6" max="6"/>
    <col width="12.21875" customWidth="1" style="405" min="7" max="7"/>
  </cols>
  <sheetData>
    <row r="1" ht="17.4" customHeight="1" s="405">
      <c r="A1" s="165" t="n"/>
      <c r="B1" s="165" t="n"/>
      <c r="C1" s="168" t="n"/>
      <c r="D1" s="170" t="n"/>
      <c r="E1" s="441" t="inlineStr">
        <is>
          <t>Tuần 1</t>
        </is>
      </c>
      <c r="J1" s="442" t="inlineStr">
        <is>
          <t>Tuần 2</t>
        </is>
      </c>
      <c r="O1" s="443" t="inlineStr">
        <is>
          <t>Tuần 3</t>
        </is>
      </c>
      <c r="T1" s="444" t="inlineStr">
        <is>
          <t>Tuần 4</t>
        </is>
      </c>
      <c r="Y1" s="445" t="inlineStr">
        <is>
          <t>Tuần 5</t>
        </is>
      </c>
      <c r="AD1" s="424" t="n"/>
      <c r="AE1" s="424" t="n"/>
      <c r="AF1" s="424" t="n"/>
    </row>
    <row r="2" ht="17.4" customHeight="1" s="405">
      <c r="A2" s="138" t="inlineStr">
        <is>
          <t>STT</t>
        </is>
      </c>
      <c r="B2" s="138" t="inlineStr">
        <is>
          <t>Họ và tên</t>
        </is>
      </c>
      <c r="C2" s="22" t="inlineStr">
        <is>
          <t>Số tài khoản</t>
        </is>
      </c>
      <c r="D2" s="212" t="inlineStr">
        <is>
          <t>Số Thẻ</t>
        </is>
      </c>
      <c r="E2" s="10" t="inlineStr">
        <is>
          <t xml:space="preserve">Ngân sách cấp </t>
        </is>
      </c>
      <c r="F2" s="26" t="inlineStr">
        <is>
          <t>Ngân sách đã tiêu</t>
        </is>
      </c>
      <c r="G2" s="208" t="inlineStr">
        <is>
          <t>Số đơn</t>
        </is>
      </c>
      <c r="H2" s="208" t="inlineStr">
        <is>
          <t>Doanh số</t>
        </is>
      </c>
      <c r="I2" s="208" t="inlineStr">
        <is>
          <t>Tỷ lệ CP</t>
        </is>
      </c>
      <c r="J2" s="10" t="inlineStr">
        <is>
          <t xml:space="preserve">Ngân sách cấp </t>
        </is>
      </c>
      <c r="K2" s="26" t="inlineStr">
        <is>
          <t>Ngân sách đã tiêu</t>
        </is>
      </c>
      <c r="L2" s="208" t="inlineStr">
        <is>
          <t>Số đơn</t>
        </is>
      </c>
      <c r="M2" s="208" t="inlineStr">
        <is>
          <t>Doanh số</t>
        </is>
      </c>
      <c r="N2" s="208" t="inlineStr">
        <is>
          <t>Tỷ lệ CP</t>
        </is>
      </c>
      <c r="O2" s="10" t="inlineStr">
        <is>
          <t xml:space="preserve">Ngân sách cấp </t>
        </is>
      </c>
      <c r="P2" s="26" t="inlineStr">
        <is>
          <t>Ngân sách đã tiêu</t>
        </is>
      </c>
      <c r="Q2" s="208" t="inlineStr">
        <is>
          <t>Số đơn</t>
        </is>
      </c>
      <c r="R2" s="208" t="inlineStr">
        <is>
          <t>Doanh số</t>
        </is>
      </c>
      <c r="S2" s="208" t="inlineStr">
        <is>
          <t>Tỷ lệ CP</t>
        </is>
      </c>
      <c r="T2" s="10" t="inlineStr">
        <is>
          <t xml:space="preserve">Ngân sách cấp </t>
        </is>
      </c>
      <c r="U2" s="26" t="inlineStr">
        <is>
          <t>Ngân sách đã tiêu</t>
        </is>
      </c>
      <c r="V2" s="208" t="inlineStr">
        <is>
          <t>Số đơn</t>
        </is>
      </c>
      <c r="W2" s="208" t="inlineStr">
        <is>
          <t>Doanh số</t>
        </is>
      </c>
      <c r="X2" s="208" t="inlineStr">
        <is>
          <t>Tỷ lệ CP</t>
        </is>
      </c>
      <c r="Y2" s="10" t="inlineStr">
        <is>
          <t xml:space="preserve">Ngân sách cấp </t>
        </is>
      </c>
      <c r="Z2" s="26" t="inlineStr">
        <is>
          <t>Ngân sách đã tiêu</t>
        </is>
      </c>
      <c r="AA2" s="208" t="inlineStr">
        <is>
          <t>Số đơn</t>
        </is>
      </c>
      <c r="AB2" s="208" t="inlineStr">
        <is>
          <t>Doanh số</t>
        </is>
      </c>
      <c r="AC2" s="208" t="inlineStr">
        <is>
          <t>Tỷ lệ CP</t>
        </is>
      </c>
      <c r="AD2" s="179" t="n"/>
      <c r="AE2" s="179" t="n"/>
      <c r="AF2" s="179" t="n"/>
    </row>
    <row r="3" ht="15.6" customHeight="1" s="405">
      <c r="A3" s="94" t="n">
        <v>1</v>
      </c>
      <c r="B3" s="49" t="inlineStr">
        <is>
          <t>Nguyễn Hoàng Anh</t>
        </is>
      </c>
      <c r="C3" s="94" t="n"/>
      <c r="D3" s="94" t="n"/>
      <c r="E3" s="61">
        <f>SUM('NH Anh T'!C4:C8)</f>
        <v/>
      </c>
      <c r="F3" s="61">
        <f>SUM('NH Anh T'!D4:D8)</f>
        <v/>
      </c>
      <c r="G3" s="182">
        <f>SUM('NH Anh T'!E4:E8)</f>
        <v/>
      </c>
      <c r="H3" s="61">
        <f>SUM('NH Anh T'!F4:F8)</f>
        <v/>
      </c>
      <c r="I3" s="68">
        <f>F3/H3</f>
        <v/>
      </c>
      <c r="J3" s="61">
        <f>SUM('NH Anh T'!C9:C15)</f>
        <v/>
      </c>
      <c r="K3" s="61">
        <f>SUM('NH Anh T'!D9:D15)</f>
        <v/>
      </c>
      <c r="L3" s="61">
        <f>SUM('NH Anh T'!E9:E15)</f>
        <v/>
      </c>
      <c r="M3" s="61">
        <f>SUM('NH Anh T'!F9:F15)</f>
        <v/>
      </c>
      <c r="N3" s="68">
        <f>K3/M3</f>
        <v/>
      </c>
      <c r="O3" s="61">
        <f>SUM('NH Anh T'!C16:C22)</f>
        <v/>
      </c>
      <c r="P3" s="61">
        <f>SUM('NH Anh T'!D16:D22)</f>
        <v/>
      </c>
      <c r="Q3" s="61">
        <f>SUM('NH Anh T'!E16:E22)</f>
        <v/>
      </c>
      <c r="R3" s="61">
        <f>SUM('NH Anh T'!F16:F22)</f>
        <v/>
      </c>
      <c r="S3" s="68">
        <f>P3/R3</f>
        <v/>
      </c>
      <c r="T3" s="61">
        <f>SUM('NH Anh T'!C23:C29)</f>
        <v/>
      </c>
      <c r="U3" s="61">
        <f>SUM('NH Anh T'!D23:D29)</f>
        <v/>
      </c>
      <c r="V3" s="61">
        <f>SUM('NH Anh T'!E23:E29)</f>
        <v/>
      </c>
      <c r="W3" s="61">
        <f>SUM('NH Anh T'!F23:F29)</f>
        <v/>
      </c>
      <c r="X3" s="68">
        <f>U3/W3</f>
        <v/>
      </c>
      <c r="Y3" s="61">
        <f>SUM('NH Anh T'!C30:C34)</f>
        <v/>
      </c>
      <c r="Z3" s="61">
        <f>SUM('NH Anh T'!D30:D34)</f>
        <v/>
      </c>
      <c r="AA3" s="61">
        <f>SUM('NH Anh T'!E30:E34)</f>
        <v/>
      </c>
      <c r="AB3" s="61">
        <f>SUM('NH Anh T'!F30:F34)</f>
        <v/>
      </c>
      <c r="AC3" s="68">
        <f>Z3/AB3</f>
        <v/>
      </c>
      <c r="AD3" s="107" t="n"/>
      <c r="AE3" s="107" t="n"/>
      <c r="AF3" s="107" t="n"/>
    </row>
    <row r="4" ht="15.6" customHeight="1" s="405">
      <c r="A4" s="94" t="n">
        <v>2</v>
      </c>
      <c r="B4" s="49" t="inlineStr">
        <is>
          <t>Bùi Quang Anh</t>
        </is>
      </c>
      <c r="C4" s="94" t="n"/>
      <c r="D4" s="94" t="n"/>
      <c r="E4" s="61">
        <f>SUM('BQ Anh T'!C4:C8)</f>
        <v/>
      </c>
      <c r="F4" s="61">
        <f>SUM('BQ Anh T'!D4:D8)</f>
        <v/>
      </c>
      <c r="G4" s="182">
        <f>SUM('BQ Anh T'!E4:E8)</f>
        <v/>
      </c>
      <c r="H4" s="61">
        <f>SUM('BQ Anh T'!F4:F8)</f>
        <v/>
      </c>
      <c r="I4" s="68">
        <f>F4/H4</f>
        <v/>
      </c>
      <c r="J4" s="61">
        <f>SUM('BQ Anh T'!C9:C15)</f>
        <v/>
      </c>
      <c r="K4" s="61">
        <f>SUM('BQ Anh T'!D9:D15)</f>
        <v/>
      </c>
      <c r="L4" s="61">
        <f>SUM('BQ Anh T'!E9:E15)</f>
        <v/>
      </c>
      <c r="M4" s="61">
        <f>SUM('BQ Anh T'!F9:F15)</f>
        <v/>
      </c>
      <c r="N4" s="68">
        <f>K4/M4</f>
        <v/>
      </c>
      <c r="O4" s="61">
        <f>SUM('BQ Anh T'!C16:C22)</f>
        <v/>
      </c>
      <c r="P4" s="61">
        <f>SUM('BQ Anh T'!D16:D22)</f>
        <v/>
      </c>
      <c r="Q4" s="61">
        <f>SUM('BQ Anh T'!E16:E22)</f>
        <v/>
      </c>
      <c r="R4" s="61">
        <f>SUM('BQ Anh T'!F16:F22)</f>
        <v/>
      </c>
      <c r="S4" s="68">
        <f>P4/R4</f>
        <v/>
      </c>
      <c r="T4" s="61">
        <f>SUM('BQ Anh T'!C23:C29)</f>
        <v/>
      </c>
      <c r="U4" s="61">
        <f>SUM('BQ Anh T'!D23:D29)</f>
        <v/>
      </c>
      <c r="V4" s="61">
        <f>SUM('BQ Anh T'!E23:E29)</f>
        <v/>
      </c>
      <c r="W4" s="61">
        <f>SUM('BQ Anh T'!F23:F29)</f>
        <v/>
      </c>
      <c r="X4" s="68">
        <f>U4/W4</f>
        <v/>
      </c>
      <c r="Y4" s="61">
        <f>SUM('BQ Anh T'!C30:C34)</f>
        <v/>
      </c>
      <c r="Z4" s="61">
        <f>SUM('BQ Anh T'!D30:D34)</f>
        <v/>
      </c>
      <c r="AA4" s="61">
        <f>SUM('BQ Anh T'!E30:E34)</f>
        <v/>
      </c>
      <c r="AB4" s="61">
        <f>SUM('BQ Anh T'!F30:F34)</f>
        <v/>
      </c>
      <c r="AC4" s="68">
        <f>Z4/AB4</f>
        <v/>
      </c>
      <c r="AD4" s="107" t="n"/>
      <c r="AE4" s="107" t="n"/>
      <c r="AF4" s="107" t="n"/>
    </row>
    <row r="5" ht="15.6" customHeight="1" s="405">
      <c r="A5" s="94" t="n">
        <v>3</v>
      </c>
      <c r="B5" s="49" t="inlineStr">
        <is>
          <t>Trần Quang Huy</t>
        </is>
      </c>
      <c r="C5" s="94" t="n"/>
      <c r="D5" s="94" t="n"/>
      <c r="E5" s="61">
        <f>SUM('TQ Huy T'!C4:C8)</f>
        <v/>
      </c>
      <c r="F5" s="61">
        <f>SUM('TQ Huy T'!D4:D8)</f>
        <v/>
      </c>
      <c r="G5" s="182">
        <f>SUM('TQ Huy T'!E4:E8)</f>
        <v/>
      </c>
      <c r="H5" s="61">
        <f>SUM('TQ Huy T'!F4:F8)</f>
        <v/>
      </c>
      <c r="I5" s="68">
        <f>F5/H5</f>
        <v/>
      </c>
      <c r="J5" s="61">
        <f>SUM('TQ Huy T'!C9:C15)</f>
        <v/>
      </c>
      <c r="K5" s="61">
        <f>SUM('TQ Huy T'!D9:D15)</f>
        <v/>
      </c>
      <c r="L5" s="61">
        <f>SUM('TQ Huy T'!E9:E15)</f>
        <v/>
      </c>
      <c r="M5" s="61">
        <f>SUM('TQ Huy T'!F9:F15)</f>
        <v/>
      </c>
      <c r="N5" s="68">
        <f>K5/M5</f>
        <v/>
      </c>
      <c r="O5" s="61">
        <f>SUM('TQ Huy T'!C16:C22)</f>
        <v/>
      </c>
      <c r="P5" s="61">
        <f>SUM('TQ Huy T'!D16:D22)</f>
        <v/>
      </c>
      <c r="Q5" s="61">
        <f>SUM('TQ Huy T'!E16:E22)</f>
        <v/>
      </c>
      <c r="R5" s="61">
        <f>SUM('TQ Huy T'!F16:F22)</f>
        <v/>
      </c>
      <c r="S5" s="68">
        <f>P5/R5</f>
        <v/>
      </c>
      <c r="T5" s="61">
        <f>SUM('TQ Huy T'!C23:C29)</f>
        <v/>
      </c>
      <c r="U5" s="61">
        <f>SUM('TQ Huy T'!D23:D29)</f>
        <v/>
      </c>
      <c r="V5" s="61">
        <f>SUM('TQ Huy T'!E23:E29)</f>
        <v/>
      </c>
      <c r="W5" s="61">
        <f>SUM('TQ Huy T'!F23:F29)</f>
        <v/>
      </c>
      <c r="X5" s="68">
        <f>U5/W5</f>
        <v/>
      </c>
      <c r="Y5" s="61">
        <f>SUM('TQ Huy T'!C30:C34)</f>
        <v/>
      </c>
      <c r="Z5" s="61">
        <f>SUM('TQ Huy T'!D30:D34)</f>
        <v/>
      </c>
      <c r="AA5" s="61">
        <f>SUM('TQ Huy T'!E30:E34)</f>
        <v/>
      </c>
      <c r="AB5" s="61">
        <f>SUM('TQ Huy T'!F30:F34)</f>
        <v/>
      </c>
      <c r="AC5" s="68">
        <f>Z5/AB5</f>
        <v/>
      </c>
      <c r="AD5" s="107" t="n"/>
      <c r="AE5" s="107" t="n"/>
      <c r="AF5" s="107" t="n"/>
    </row>
    <row r="6" ht="15.6" customHeight="1" s="405">
      <c r="A6" s="94" t="n">
        <v>4</v>
      </c>
      <c r="B6" s="49" t="inlineStr">
        <is>
          <t>Phạm Thế Hải</t>
        </is>
      </c>
      <c r="C6" s="94" t="n"/>
      <c r="D6" s="94" t="n"/>
      <c r="E6" s="61">
        <f>SUM('PT Hải T'!C4:C8)</f>
        <v/>
      </c>
      <c r="F6" s="61">
        <f>SUM('PT Hải T'!D4:D8)</f>
        <v/>
      </c>
      <c r="G6" s="182">
        <f>SUM('PT Hải T'!E4:E8)</f>
        <v/>
      </c>
      <c r="H6" s="61">
        <f>SUM('PT Hải T'!F4:F8)</f>
        <v/>
      </c>
      <c r="I6" s="68">
        <f>F6/H6</f>
        <v/>
      </c>
      <c r="J6" s="61">
        <f>SUM('PT Hải T'!C9:C15)</f>
        <v/>
      </c>
      <c r="K6" s="61">
        <f>SUM('PT Hải T'!D9:D15)</f>
        <v/>
      </c>
      <c r="L6" s="61">
        <f>SUM('PT Hải T'!E9:E15)</f>
        <v/>
      </c>
      <c r="M6" s="61">
        <f>SUM('PT Hải T'!F9:F15)</f>
        <v/>
      </c>
      <c r="N6" s="68">
        <f>K6/M6</f>
        <v/>
      </c>
      <c r="O6" s="61">
        <f>SUM('PT Hải T'!C16:C22)</f>
        <v/>
      </c>
      <c r="P6" s="61">
        <f>SUM('PT Hải T'!D16:D22)</f>
        <v/>
      </c>
      <c r="Q6" s="61">
        <f>SUM('PT Hải T'!E16:E22)</f>
        <v/>
      </c>
      <c r="R6" s="61">
        <f>SUM('PT Hải T'!F16:F22)</f>
        <v/>
      </c>
      <c r="S6" s="68">
        <f>P6/R6</f>
        <v/>
      </c>
      <c r="T6" s="61">
        <f>SUM('PT Hải T'!C23:C29)</f>
        <v/>
      </c>
      <c r="U6" s="61">
        <f>SUM('PT Hải T'!D23:D29)</f>
        <v/>
      </c>
      <c r="V6" s="61">
        <f>SUM('PT Hải T'!E23:E29)</f>
        <v/>
      </c>
      <c r="W6" s="61">
        <f>SUM('PT Hải T'!F23:F29)</f>
        <v/>
      </c>
      <c r="X6" s="68">
        <f>U6/W6</f>
        <v/>
      </c>
      <c r="Y6" s="61">
        <f>SUM('PT Hải T'!C30:C34)</f>
        <v/>
      </c>
      <c r="Z6" s="61">
        <f>SUM('PT Hải T'!D30:D34)</f>
        <v/>
      </c>
      <c r="AA6" s="61">
        <f>SUM('PT Hải T'!E30:E34)</f>
        <v/>
      </c>
      <c r="AB6" s="61">
        <f>SUM('PT Hải T'!F30:F34)</f>
        <v/>
      </c>
      <c r="AC6" s="68">
        <f>Z6/AB6</f>
        <v/>
      </c>
      <c r="AD6" s="107" t="n"/>
      <c r="AE6" s="107" t="n"/>
      <c r="AF6" s="107" t="n"/>
    </row>
    <row r="7" ht="15.6" customHeight="1" s="405">
      <c r="A7" s="94" t="n">
        <v>5</v>
      </c>
      <c r="B7" s="49" t="inlineStr">
        <is>
          <t>Nguyễn Văn Lý</t>
        </is>
      </c>
      <c r="C7" s="94" t="n"/>
      <c r="D7" s="94" t="n"/>
      <c r="E7" s="61">
        <f>SUM('NV Lý T'!C4:C8)</f>
        <v/>
      </c>
      <c r="F7" s="61">
        <f>SUM('NV Lý T'!D4:D8)</f>
        <v/>
      </c>
      <c r="G7" s="182">
        <f>SUM('NV Lý T'!E4:E8)</f>
        <v/>
      </c>
      <c r="H7" s="61">
        <f>SUM('NV Lý T'!F4:F8)</f>
        <v/>
      </c>
      <c r="I7" s="68">
        <f>F7/H7</f>
        <v/>
      </c>
      <c r="J7" s="61">
        <f>SUM('NV Lý T'!C9:C15)</f>
        <v/>
      </c>
      <c r="K7" s="61">
        <f>SUM('NV Lý T'!D9:D15)</f>
        <v/>
      </c>
      <c r="L7" s="61">
        <f>SUM('NV Lý T'!E9:E15)</f>
        <v/>
      </c>
      <c r="M7" s="61">
        <f>SUM('NV Lý T'!F9:F15)</f>
        <v/>
      </c>
      <c r="N7" s="68">
        <f>K7/M7</f>
        <v/>
      </c>
      <c r="O7" s="61">
        <f>SUM('NV Lý T'!C16:C22)</f>
        <v/>
      </c>
      <c r="P7" s="61">
        <f>SUM('NV Lý T'!D16:D22)</f>
        <v/>
      </c>
      <c r="Q7" s="61">
        <f>SUM('NV Lý T'!E16:E22)</f>
        <v/>
      </c>
      <c r="R7" s="61">
        <f>SUM('NV Lý T'!F16:F22)</f>
        <v/>
      </c>
      <c r="S7" s="68">
        <f>P7/R7</f>
        <v/>
      </c>
      <c r="T7" s="61">
        <f>SUM('NV Lý T'!C23:C29)</f>
        <v/>
      </c>
      <c r="U7" s="61">
        <f>SUM('NV Lý T'!D23:D29)</f>
        <v/>
      </c>
      <c r="V7" s="61">
        <f>SUM('NV Lý T'!E23:E29)</f>
        <v/>
      </c>
      <c r="W7" s="61">
        <f>SUM('NV Lý T'!F23:F29)</f>
        <v/>
      </c>
      <c r="X7" s="68">
        <f>U7/W7</f>
        <v/>
      </c>
      <c r="Y7" s="61">
        <f>SUM('NV Lý T'!C30:C34)</f>
        <v/>
      </c>
      <c r="Z7" s="61">
        <f>SUM('NV Lý T'!D30:D34)</f>
        <v/>
      </c>
      <c r="AA7" s="61">
        <f>SUM('NV Lý T'!E30:E34)</f>
        <v/>
      </c>
      <c r="AB7" s="61">
        <f>SUM('NV Lý T'!F30:F34)</f>
        <v/>
      </c>
      <c r="AC7" s="68">
        <f>Z7/AB7</f>
        <v/>
      </c>
      <c r="AD7" s="107" t="n"/>
      <c r="AE7" s="107" t="n"/>
      <c r="AF7" s="107" t="n"/>
    </row>
    <row r="8" ht="15.6" customHeight="1" s="405">
      <c r="A8" s="94" t="n">
        <v>6</v>
      </c>
      <c r="B8" s="49" t="inlineStr">
        <is>
          <t>Đỗ Quốc Anh</t>
        </is>
      </c>
      <c r="C8" s="94" t="n"/>
      <c r="D8" s="94" t="n"/>
      <c r="E8" s="61">
        <f>SUM('ĐQ Anh T'!C4:C8)</f>
        <v/>
      </c>
      <c r="F8" s="61">
        <f>SUM('ĐQ Anh T'!D4:D8)</f>
        <v/>
      </c>
      <c r="G8" s="182">
        <f>SUM('ĐQ Anh T'!E4:E8)</f>
        <v/>
      </c>
      <c r="H8" s="61">
        <f>SUM('ĐQ Anh T'!F4:F8)</f>
        <v/>
      </c>
      <c r="I8" s="68">
        <f>F8/H8</f>
        <v/>
      </c>
      <c r="J8" s="61">
        <f>SUM('ĐQ Anh T'!C9:C15)</f>
        <v/>
      </c>
      <c r="K8" s="61">
        <f>SUM('ĐQ Anh T'!D9:D15)</f>
        <v/>
      </c>
      <c r="L8" s="61">
        <f>SUM('ĐQ Anh T'!E9:E15)</f>
        <v/>
      </c>
      <c r="M8" s="61">
        <f>SUM('ĐQ Anh T'!F9:F15)</f>
        <v/>
      </c>
      <c r="N8" s="68">
        <f>K8/M8</f>
        <v/>
      </c>
      <c r="O8" s="61">
        <f>SUM('ĐQ Anh T'!C16:C22)</f>
        <v/>
      </c>
      <c r="P8" s="61">
        <f>SUM('ĐQ Anh T'!D16:D22)</f>
        <v/>
      </c>
      <c r="Q8" s="61">
        <f>SUM('ĐQ Anh T'!E16:E22)</f>
        <v/>
      </c>
      <c r="R8" s="61">
        <f>SUM('ĐQ Anh T'!F16:F22)</f>
        <v/>
      </c>
      <c r="S8" s="68">
        <f>P8/R8</f>
        <v/>
      </c>
      <c r="T8" s="61">
        <f>SUM('ĐQ Anh T'!C23:C29)</f>
        <v/>
      </c>
      <c r="U8" s="61">
        <f>SUM('ĐQ Anh T'!D23:D29)</f>
        <v/>
      </c>
      <c r="V8" s="61">
        <f>SUM('ĐQ Anh T'!E23:E29)</f>
        <v/>
      </c>
      <c r="W8" s="61">
        <f>SUM('ĐQ Anh T'!F23:F29)</f>
        <v/>
      </c>
      <c r="X8" s="68">
        <f>U8/W8</f>
        <v/>
      </c>
      <c r="Y8" s="61">
        <f>SUM('ĐQ Anh T'!C30:C34)</f>
        <v/>
      </c>
      <c r="Z8" s="61">
        <f>SUM('ĐQ Anh T'!D30:D34)</f>
        <v/>
      </c>
      <c r="AA8" s="61">
        <f>SUM('ĐQ Anh T'!E30:E34)</f>
        <v/>
      </c>
      <c r="AB8" s="61">
        <f>SUM('ĐQ Anh T'!F30:F34)</f>
        <v/>
      </c>
      <c r="AC8" s="68">
        <f>Z8/AB8</f>
        <v/>
      </c>
      <c r="AD8" s="107" t="n"/>
      <c r="AE8" s="107" t="n"/>
      <c r="AF8" s="107" t="n"/>
    </row>
    <row r="9" hidden="1" ht="17.4" customHeight="1" s="405">
      <c r="A9" s="94" t="n">
        <v>7</v>
      </c>
      <c r="B9" s="84" t="n"/>
      <c r="C9" s="94" t="n"/>
      <c r="D9" s="94" t="n"/>
      <c r="E9" s="61" t="n"/>
      <c r="F9" s="61" t="n"/>
      <c r="G9" s="61" t="n"/>
      <c r="H9" s="61" t="n"/>
      <c r="I9" s="68">
        <f>F9/H9</f>
        <v/>
      </c>
      <c r="J9" s="61" t="n"/>
      <c r="K9" s="61" t="n"/>
      <c r="L9" s="61" t="n"/>
      <c r="M9" s="61" t="n"/>
      <c r="N9" s="68">
        <f>K9/M9</f>
        <v/>
      </c>
      <c r="O9" s="61" t="n"/>
      <c r="P9" s="61" t="n"/>
      <c r="Q9" s="61" t="n"/>
      <c r="R9" s="61" t="n"/>
      <c r="S9" s="68">
        <f>P9/R9</f>
        <v/>
      </c>
      <c r="T9" s="61" t="n"/>
      <c r="U9" s="61" t="n"/>
      <c r="V9" s="61" t="n"/>
      <c r="W9" s="61" t="n"/>
      <c r="X9" s="68">
        <f>U9/W9</f>
        <v/>
      </c>
      <c r="Y9" s="61" t="n"/>
      <c r="Z9" s="61" t="n"/>
      <c r="AA9" s="61" t="n"/>
      <c r="AB9" s="61" t="n"/>
      <c r="AC9" s="68">
        <f>Z9/AB9</f>
        <v/>
      </c>
      <c r="AD9" s="107" t="n"/>
      <c r="AE9" s="107" t="n"/>
      <c r="AF9" s="107" t="n"/>
    </row>
    <row r="10" hidden="1" ht="13.2" customHeight="1" s="405">
      <c r="A10" s="94" t="n">
        <v>8</v>
      </c>
      <c r="B10" s="94" t="n"/>
      <c r="C10" s="94" t="n"/>
      <c r="D10" s="94" t="n"/>
      <c r="E10" s="61" t="n"/>
      <c r="F10" s="61" t="n"/>
      <c r="G10" s="61" t="n"/>
      <c r="H10" s="61" t="n"/>
      <c r="I10" s="68">
        <f>F10/H10</f>
        <v/>
      </c>
      <c r="J10" s="61" t="n"/>
      <c r="K10" s="61" t="n"/>
      <c r="L10" s="61" t="n"/>
      <c r="M10" s="61" t="n"/>
      <c r="N10" s="68">
        <f>K10/M10</f>
        <v/>
      </c>
      <c r="O10" s="61" t="n"/>
      <c r="P10" s="61" t="n"/>
      <c r="Q10" s="61" t="n"/>
      <c r="R10" s="61" t="n"/>
      <c r="S10" s="68">
        <f>P10/R10</f>
        <v/>
      </c>
      <c r="T10" s="61" t="n"/>
      <c r="U10" s="61" t="n"/>
      <c r="V10" s="61" t="n"/>
      <c r="W10" s="61" t="n"/>
      <c r="X10" s="68">
        <f>U10/W10</f>
        <v/>
      </c>
      <c r="Y10" s="61" t="n"/>
      <c r="Z10" s="61" t="n"/>
      <c r="AA10" s="61" t="n"/>
      <c r="AB10" s="61" t="n"/>
      <c r="AC10" s="68">
        <f>Z10/AB10</f>
        <v/>
      </c>
      <c r="AD10" s="107" t="n"/>
      <c r="AE10" s="107" t="n"/>
      <c r="AF10" s="107" t="n"/>
    </row>
    <row r="11" ht="13.8" customHeight="1" s="405">
      <c r="A11" s="209" t="inlineStr">
        <is>
          <t>TỔNG TEAM NT</t>
        </is>
      </c>
      <c r="B11" s="439" t="n"/>
      <c r="C11" s="209" t="n"/>
      <c r="D11" s="209" t="n"/>
      <c r="E11" s="77">
        <f>SUM(E3:E10)</f>
        <v/>
      </c>
      <c r="F11" s="77">
        <f>SUM(F3:F10)</f>
        <v/>
      </c>
      <c r="G11" s="211">
        <f>SUM(G3:G10)</f>
        <v/>
      </c>
      <c r="H11" s="77">
        <f>SUM(H3:H10)</f>
        <v/>
      </c>
      <c r="I11" s="74">
        <f>F11/H11</f>
        <v/>
      </c>
      <c r="J11" s="77">
        <f>SUM(J3:J10)</f>
        <v/>
      </c>
      <c r="K11" s="77">
        <f>SUM(K3:K10)</f>
        <v/>
      </c>
      <c r="L11" s="77">
        <f>SUM(L3:L10)</f>
        <v/>
      </c>
      <c r="M11" s="77">
        <f>SUM(M3:M10)</f>
        <v/>
      </c>
      <c r="N11" s="74">
        <f>K11/M11</f>
        <v/>
      </c>
      <c r="O11" s="77">
        <f>SUM(O3:O10)</f>
        <v/>
      </c>
      <c r="P11" s="77">
        <f>SUM(P3:P10)</f>
        <v/>
      </c>
      <c r="Q11" s="77">
        <f>SUM(Q3:Q10)</f>
        <v/>
      </c>
      <c r="R11" s="77">
        <f>SUM(R3:R10)</f>
        <v/>
      </c>
      <c r="S11" s="74">
        <f>P11/R11</f>
        <v/>
      </c>
      <c r="T11" s="77">
        <f>SUM(T3:T10)</f>
        <v/>
      </c>
      <c r="U11" s="77">
        <f>SUM(U3:U10)</f>
        <v/>
      </c>
      <c r="V11" s="77">
        <f>SUM(V3:V10)</f>
        <v/>
      </c>
      <c r="W11" s="77">
        <f>SUM(W3:W10)</f>
        <v/>
      </c>
      <c r="X11" s="74">
        <f>U11/W11</f>
        <v/>
      </c>
      <c r="Y11" s="77">
        <f>SUM(Y3:Y10)</f>
        <v/>
      </c>
      <c r="Z11" s="77">
        <f>SUM(Z3:Z10)</f>
        <v/>
      </c>
      <c r="AA11" s="77">
        <f>SUM(AA3:AA10)</f>
        <v/>
      </c>
      <c r="AB11" s="77">
        <f>SUM(AB3:AB10)</f>
        <v/>
      </c>
      <c r="AC11" s="74">
        <f>Z11/AB11</f>
        <v/>
      </c>
      <c r="AD11" s="109" t="n"/>
      <c r="AE11" s="109" t="n"/>
      <c r="AF11" s="109" t="n"/>
    </row>
    <row r="12" ht="13.2" customHeight="1" s="405">
      <c r="E12" s="106" t="n"/>
      <c r="F12" s="106" t="n"/>
      <c r="G12" s="106" t="n"/>
      <c r="H12" s="106" t="n"/>
      <c r="I12" s="107" t="n"/>
      <c r="J12" s="106" t="n"/>
      <c r="K12" s="106" t="n"/>
      <c r="L12" s="106" t="n"/>
      <c r="M12" s="106" t="n"/>
      <c r="O12" s="106" t="n"/>
      <c r="P12" s="106" t="n"/>
      <c r="Q12" s="106" t="n"/>
      <c r="R12" s="106" t="n"/>
      <c r="T12" s="106" t="n"/>
      <c r="U12" s="106" t="n"/>
      <c r="V12" s="106" t="n"/>
      <c r="W12" s="106" t="n"/>
      <c r="Y12" s="106" t="n"/>
      <c r="Z12" s="106" t="n"/>
      <c r="AA12" s="106" t="n"/>
      <c r="AB12" s="106" t="n"/>
    </row>
    <row r="13" ht="15.6" customHeight="1" s="405">
      <c r="A13" s="94" t="n">
        <v>1</v>
      </c>
      <c r="B13" s="112" t="inlineStr">
        <is>
          <t>Nguyễn Thọ Thưởng</t>
        </is>
      </c>
      <c r="C13" s="94" t="n"/>
      <c r="D13" s="94" t="n"/>
      <c r="E13" s="61">
        <f>SUM('NT Thưởng T'!C4:C8)</f>
        <v/>
      </c>
      <c r="F13" s="61">
        <f>SUM('NT Thưởng T'!D4:D8)</f>
        <v/>
      </c>
      <c r="G13" s="61">
        <f>SUM('NT Thưởng T'!E4:E8)</f>
        <v/>
      </c>
      <c r="H13" s="61">
        <f>SUM('NT Thưởng T'!F4:F8)</f>
        <v/>
      </c>
      <c r="I13" s="68">
        <f>F13/H13</f>
        <v/>
      </c>
      <c r="J13" s="61">
        <f>SUM('NT Thưởng T'!C9:C15)</f>
        <v/>
      </c>
      <c r="K13" s="61">
        <f>SUM('NT Thưởng T'!D9:D15)</f>
        <v/>
      </c>
      <c r="L13" s="61">
        <f>SUM('NT Thưởng T'!E9:E15)</f>
        <v/>
      </c>
      <c r="M13" s="61">
        <f>SUM('NT Thưởng T'!F9:F15)</f>
        <v/>
      </c>
      <c r="N13" s="68">
        <f>K13/M13</f>
        <v/>
      </c>
      <c r="O13" s="61">
        <f>SUM('NT Thưởng T'!C16:C22)</f>
        <v/>
      </c>
      <c r="P13" s="61">
        <f>SUM('NT Thưởng T'!D16:D22)</f>
        <v/>
      </c>
      <c r="Q13" s="61">
        <f>SUM('NT Thưởng T'!E16:E22)</f>
        <v/>
      </c>
      <c r="R13" s="61">
        <f>SUM('NT Thưởng T'!F16:F22)</f>
        <v/>
      </c>
      <c r="S13" s="68">
        <f>P13/R13</f>
        <v/>
      </c>
      <c r="T13" s="61">
        <f>SUM('NT Thưởng T'!C23:C29)</f>
        <v/>
      </c>
      <c r="U13" s="61">
        <f>SUM('NT Thưởng T'!D23:D29)</f>
        <v/>
      </c>
      <c r="V13" s="61">
        <f>SUM('NT Thưởng T'!E23:E29)</f>
        <v/>
      </c>
      <c r="W13" s="61">
        <f>SUM('NT Thưởng T'!F23:F29)</f>
        <v/>
      </c>
      <c r="X13" s="68">
        <f>U13/W13</f>
        <v/>
      </c>
      <c r="Y13" s="61">
        <f>SUM('NT Thưởng T'!C30:C34)</f>
        <v/>
      </c>
      <c r="Z13" s="61">
        <f>SUM('NT Thưởng T'!D30:D34)</f>
        <v/>
      </c>
      <c r="AA13" s="61">
        <f>SUM('NT Thưởng T'!E30:E34)</f>
        <v/>
      </c>
      <c r="AB13" s="61">
        <f>SUM('NT Thưởng T'!F30:F34)</f>
        <v/>
      </c>
      <c r="AC13" s="68">
        <f>Z13/AB13</f>
        <v/>
      </c>
      <c r="AD13" s="107" t="n"/>
      <c r="AE13" s="107" t="n"/>
      <c r="AF13" s="107" t="n"/>
    </row>
    <row r="14" hidden="1" ht="13.2" customHeight="1" s="405">
      <c r="A14" s="94" t="n">
        <v>2</v>
      </c>
      <c r="B14" s="94" t="n"/>
      <c r="C14" s="94" t="n"/>
      <c r="D14" s="94" t="n"/>
      <c r="E14" s="61" t="n"/>
      <c r="F14" s="61" t="n"/>
      <c r="G14" s="61" t="n"/>
      <c r="H14" s="61" t="n"/>
      <c r="I14" s="68">
        <f>F14/H14</f>
        <v/>
      </c>
      <c r="J14" s="61" t="n"/>
      <c r="K14" s="61" t="n"/>
      <c r="L14" s="61" t="n"/>
      <c r="M14" s="61" t="n"/>
      <c r="N14" s="68">
        <f>K14/M14</f>
        <v/>
      </c>
      <c r="O14" s="61" t="n"/>
      <c r="P14" s="61" t="n"/>
      <c r="Q14" s="61" t="n"/>
      <c r="R14" s="61" t="n"/>
      <c r="S14" s="68">
        <f>P14/R14</f>
        <v/>
      </c>
      <c r="T14" s="61" t="n"/>
      <c r="U14" s="61" t="n"/>
      <c r="V14" s="61" t="n"/>
      <c r="W14" s="61" t="n"/>
      <c r="X14" s="68">
        <f>U14/W14</f>
        <v/>
      </c>
      <c r="Y14" s="61" t="n"/>
      <c r="Z14" s="61" t="n"/>
      <c r="AA14" s="61" t="n"/>
      <c r="AB14" s="61" t="n"/>
      <c r="AC14" s="68">
        <f>Z14/AB14</f>
        <v/>
      </c>
      <c r="AD14" s="107" t="n"/>
      <c r="AE14" s="107" t="n"/>
      <c r="AF14" s="107" t="n"/>
    </row>
    <row r="15" hidden="1" ht="13.2" customHeight="1" s="405">
      <c r="A15" s="94" t="n">
        <v>3</v>
      </c>
      <c r="B15" s="94" t="n"/>
      <c r="C15" s="94" t="n"/>
      <c r="D15" s="94" t="n"/>
      <c r="E15" s="61" t="n"/>
      <c r="F15" s="61" t="n"/>
      <c r="G15" s="61" t="n"/>
      <c r="H15" s="61" t="n"/>
      <c r="I15" s="68">
        <f>F15/H15</f>
        <v/>
      </c>
      <c r="J15" s="61" t="n"/>
      <c r="K15" s="61" t="n"/>
      <c r="L15" s="61" t="n"/>
      <c r="M15" s="61" t="n"/>
      <c r="N15" s="68">
        <f>K15/M15</f>
        <v/>
      </c>
      <c r="O15" s="61" t="n"/>
      <c r="P15" s="61" t="n"/>
      <c r="Q15" s="61" t="n"/>
      <c r="R15" s="61" t="n"/>
      <c r="S15" s="68">
        <f>P15/R15</f>
        <v/>
      </c>
      <c r="T15" s="61" t="n"/>
      <c r="U15" s="61" t="n"/>
      <c r="V15" s="61" t="n"/>
      <c r="W15" s="61" t="n"/>
      <c r="X15" s="68">
        <f>U15/W15</f>
        <v/>
      </c>
      <c r="Y15" s="61" t="n"/>
      <c r="Z15" s="61" t="n"/>
      <c r="AA15" s="61" t="n"/>
      <c r="AB15" s="61" t="n"/>
      <c r="AC15" s="68">
        <f>Z15/AB15</f>
        <v/>
      </c>
      <c r="AD15" s="107" t="n"/>
      <c r="AE15" s="107" t="n"/>
      <c r="AF15" s="107" t="n"/>
    </row>
    <row r="16" hidden="1" ht="13.2" customHeight="1" s="405">
      <c r="A16" s="94" t="n">
        <v>4</v>
      </c>
      <c r="B16" s="94" t="n"/>
      <c r="C16" s="94" t="n"/>
      <c r="D16" s="94" t="n"/>
      <c r="E16" s="61" t="n"/>
      <c r="F16" s="61" t="n"/>
      <c r="G16" s="61" t="n"/>
      <c r="H16" s="61" t="n"/>
      <c r="I16" s="68">
        <f>F16/H16</f>
        <v/>
      </c>
      <c r="J16" s="61" t="n"/>
      <c r="K16" s="61" t="n"/>
      <c r="L16" s="61" t="n"/>
      <c r="M16" s="61" t="n"/>
      <c r="N16" s="68">
        <f>K16/M16</f>
        <v/>
      </c>
      <c r="O16" s="61" t="n"/>
      <c r="P16" s="61" t="n"/>
      <c r="Q16" s="61" t="n"/>
      <c r="R16" s="61" t="n"/>
      <c r="S16" s="68">
        <f>P16/R16</f>
        <v/>
      </c>
      <c r="T16" s="61" t="n"/>
      <c r="U16" s="61" t="n"/>
      <c r="V16" s="61" t="n"/>
      <c r="W16" s="61" t="n"/>
      <c r="X16" s="68">
        <f>U16/W16</f>
        <v/>
      </c>
      <c r="Y16" s="61" t="n"/>
      <c r="Z16" s="61" t="n"/>
      <c r="AA16" s="61" t="n"/>
      <c r="AB16" s="61" t="n"/>
      <c r="AC16" s="68">
        <f>Z16/AB16</f>
        <v/>
      </c>
      <c r="AD16" s="107" t="n"/>
      <c r="AE16" s="107" t="n"/>
      <c r="AF16" s="107" t="n"/>
    </row>
    <row r="17" hidden="1" ht="13.2" customHeight="1" s="405">
      <c r="A17" s="94" t="n">
        <v>5</v>
      </c>
      <c r="B17" s="94" t="n"/>
      <c r="C17" s="94" t="n"/>
      <c r="D17" s="94" t="n"/>
      <c r="E17" s="61" t="n"/>
      <c r="F17" s="61" t="n"/>
      <c r="G17" s="61" t="n"/>
      <c r="H17" s="61" t="n"/>
      <c r="I17" s="68">
        <f>F17/H17</f>
        <v/>
      </c>
      <c r="J17" s="61" t="n"/>
      <c r="K17" s="61" t="n"/>
      <c r="L17" s="61" t="n"/>
      <c r="M17" s="61" t="n"/>
      <c r="N17" s="68">
        <f>K17/M17</f>
        <v/>
      </c>
      <c r="O17" s="61" t="n"/>
      <c r="P17" s="61" t="n"/>
      <c r="Q17" s="61" t="n"/>
      <c r="R17" s="61" t="n"/>
      <c r="S17" s="68">
        <f>P17/R17</f>
        <v/>
      </c>
      <c r="T17" s="61" t="n"/>
      <c r="U17" s="61" t="n"/>
      <c r="V17" s="61" t="n"/>
      <c r="W17" s="61" t="n"/>
      <c r="X17" s="68">
        <f>U17/W17</f>
        <v/>
      </c>
      <c r="Y17" s="61" t="n"/>
      <c r="Z17" s="61" t="n"/>
      <c r="AA17" s="61" t="n"/>
      <c r="AB17" s="61" t="n"/>
      <c r="AC17" s="68">
        <f>Z17/AB17</f>
        <v/>
      </c>
      <c r="AD17" s="107" t="n"/>
      <c r="AE17" s="107" t="n"/>
      <c r="AF17" s="107" t="n"/>
    </row>
    <row r="18" ht="13.8" customHeight="1" s="405">
      <c r="A18" s="209" t="inlineStr">
        <is>
          <t>TỔNG TEAM OCP</t>
        </is>
      </c>
      <c r="B18" s="439" t="n"/>
      <c r="C18" s="209" t="n"/>
      <c r="D18" s="209" t="n"/>
      <c r="E18" s="77">
        <f>SUM(E13:E17)</f>
        <v/>
      </c>
      <c r="F18" s="77">
        <f>SUM(F13:F17)</f>
        <v/>
      </c>
      <c r="G18" s="77">
        <f>SUM(G13:G17)</f>
        <v/>
      </c>
      <c r="H18" s="77">
        <f>SUM(H13:H17)</f>
        <v/>
      </c>
      <c r="I18" s="74">
        <f>F18/H18</f>
        <v/>
      </c>
      <c r="J18" s="77">
        <f>SUM(J13:J17)</f>
        <v/>
      </c>
      <c r="K18" s="77">
        <f>SUM(K13:K17)</f>
        <v/>
      </c>
      <c r="L18" s="77">
        <f>SUM(L13:L17)</f>
        <v/>
      </c>
      <c r="M18" s="77">
        <f>SUM(M13:M17)</f>
        <v/>
      </c>
      <c r="N18" s="74">
        <f>K18/M18</f>
        <v/>
      </c>
      <c r="O18" s="77">
        <f>SUM(O13:O17)</f>
        <v/>
      </c>
      <c r="P18" s="77">
        <f>SUM(P13:P17)</f>
        <v/>
      </c>
      <c r="Q18" s="77">
        <f>SUM(Q13:Q17)</f>
        <v/>
      </c>
      <c r="R18" s="77">
        <f>SUM(R13:R17)</f>
        <v/>
      </c>
      <c r="S18" s="74">
        <f>P18/R18</f>
        <v/>
      </c>
      <c r="T18" s="77">
        <f>SUM(T13:T17)</f>
        <v/>
      </c>
      <c r="U18" s="77">
        <f>SUM(U13:U17)</f>
        <v/>
      </c>
      <c r="V18" s="77">
        <f>SUM(V13:V17)</f>
        <v/>
      </c>
      <c r="W18" s="77">
        <f>SUM(W13:W17)</f>
        <v/>
      </c>
      <c r="X18" s="74">
        <f>U18/W18</f>
        <v/>
      </c>
      <c r="Y18" s="77">
        <f>SUM(Y13:Y17)</f>
        <v/>
      </c>
      <c r="Z18" s="77">
        <f>SUM(Z13:Z17)</f>
        <v/>
      </c>
      <c r="AA18" s="77">
        <f>SUM(AA13:AA17)</f>
        <v/>
      </c>
      <c r="AB18" s="77">
        <f>SUM(AB13:AB17)</f>
        <v/>
      </c>
      <c r="AC18" s="74">
        <f>Z18/AB18</f>
        <v/>
      </c>
      <c r="AD18" s="109" t="n"/>
      <c r="AE18" s="109" t="n"/>
      <c r="AF18" s="109" t="n"/>
    </row>
    <row r="19" ht="13.2" customHeight="1" s="405">
      <c r="E19" s="106" t="n"/>
      <c r="F19" s="106" t="n"/>
      <c r="G19" s="106" t="n"/>
      <c r="H19" s="106" t="n"/>
      <c r="I19" s="107" t="n"/>
      <c r="J19" s="106" t="n"/>
      <c r="K19" s="106" t="n"/>
      <c r="L19" s="106" t="n"/>
      <c r="M19" s="106" t="n"/>
      <c r="O19" s="106" t="n"/>
      <c r="P19" s="106" t="n"/>
      <c r="Q19" s="106" t="n"/>
      <c r="R19" s="106" t="n"/>
      <c r="T19" s="106" t="n"/>
      <c r="U19" s="106" t="n"/>
      <c r="V19" s="106" t="n"/>
      <c r="W19" s="106" t="n"/>
      <c r="Y19" s="106" t="n"/>
      <c r="Z19" s="106" t="n"/>
      <c r="AA19" s="106" t="n"/>
      <c r="AB19" s="106" t="n"/>
    </row>
    <row r="20" ht="16.8" customHeight="1" s="405">
      <c r="A20" s="215" t="inlineStr">
        <is>
          <t>TỔNG</t>
        </is>
      </c>
      <c r="B20" s="439" t="n"/>
      <c r="C20" s="215" t="n"/>
      <c r="D20" s="215" t="n"/>
      <c r="E20" s="216">
        <f>E18+E11</f>
        <v/>
      </c>
      <c r="F20" s="216">
        <f>F18+F11</f>
        <v/>
      </c>
      <c r="G20" s="216">
        <f>G18+G11</f>
        <v/>
      </c>
      <c r="H20" s="216">
        <f>H18+H11</f>
        <v/>
      </c>
      <c r="I20" s="204">
        <f>F20/H20</f>
        <v/>
      </c>
      <c r="J20" s="216">
        <f>J18+J11</f>
        <v/>
      </c>
      <c r="K20" s="216">
        <f>K18+K11</f>
        <v/>
      </c>
      <c r="L20" s="216">
        <f>L18+L11</f>
        <v/>
      </c>
      <c r="M20" s="216">
        <f>M18+M11</f>
        <v/>
      </c>
      <c r="N20" s="204">
        <f>K20/M20</f>
        <v/>
      </c>
      <c r="O20" s="216">
        <f>O18+O11</f>
        <v/>
      </c>
      <c r="P20" s="216">
        <f>P18+P11</f>
        <v/>
      </c>
      <c r="Q20" s="216">
        <f>Q18+Q11</f>
        <v/>
      </c>
      <c r="R20" s="216">
        <f>R18+R11</f>
        <v/>
      </c>
      <c r="S20" s="204">
        <f>P20/R20</f>
        <v/>
      </c>
      <c r="T20" s="216">
        <f>T18+T11</f>
        <v/>
      </c>
      <c r="U20" s="216">
        <f>U18+U11</f>
        <v/>
      </c>
      <c r="V20" s="216">
        <f>V18+V11</f>
        <v/>
      </c>
      <c r="W20" s="216">
        <f>W18+W11</f>
        <v/>
      </c>
      <c r="X20" s="204">
        <f>U20/W20</f>
        <v/>
      </c>
      <c r="Y20" s="216">
        <f>Y18+Y11</f>
        <v/>
      </c>
      <c r="Z20" s="216">
        <f>Z18+Z11</f>
        <v/>
      </c>
      <c r="AA20" s="216">
        <f>AA18+AA11</f>
        <v/>
      </c>
      <c r="AB20" s="216">
        <f>AB18+AB11</f>
        <v/>
      </c>
      <c r="AC20" s="204">
        <f>Z20/AB20</f>
        <v/>
      </c>
      <c r="AD20" s="219" t="n"/>
      <c r="AE20" s="219" t="n"/>
      <c r="AF20" s="219" t="n"/>
    </row>
    <row r="21" ht="13.2" customHeight="1" s="405">
      <c r="E21" s="106" t="n"/>
      <c r="F21" s="106" t="n"/>
      <c r="G21" s="106" t="n"/>
      <c r="H21" s="106" t="n"/>
      <c r="J21" s="106" t="n"/>
      <c r="K21" s="106" t="n"/>
      <c r="L21" s="106" t="n"/>
      <c r="M21" s="106" t="n"/>
    </row>
    <row r="23" ht="13.2" customHeight="1" s="405">
      <c r="E23" s="441" t="inlineStr">
        <is>
          <t>Tổng chi tiêu tháng</t>
        </is>
      </c>
    </row>
    <row r="24" ht="17.4" customHeight="1" s="405">
      <c r="A24" s="138" t="inlineStr">
        <is>
          <t>STT</t>
        </is>
      </c>
      <c r="B24" s="138" t="inlineStr">
        <is>
          <t>Họ và tên</t>
        </is>
      </c>
      <c r="C24" s="22" t="inlineStr">
        <is>
          <t>Số tài khoản</t>
        </is>
      </c>
      <c r="D24" s="212" t="inlineStr">
        <is>
          <t>Số Thẻ</t>
        </is>
      </c>
      <c r="E24" s="10" t="inlineStr">
        <is>
          <t xml:space="preserve">Ngân sách cấp </t>
        </is>
      </c>
      <c r="F24" s="26" t="inlineStr">
        <is>
          <t>Ngân sách đã tiêu</t>
        </is>
      </c>
      <c r="G24" s="208" t="inlineStr">
        <is>
          <t>Số đơn</t>
        </is>
      </c>
      <c r="H24" s="208" t="inlineStr">
        <is>
          <t>Doanh số</t>
        </is>
      </c>
      <c r="I24" s="208" t="inlineStr">
        <is>
          <t>Tỷ lệ CP</t>
        </is>
      </c>
    </row>
    <row r="25" ht="15.6" customHeight="1" s="405">
      <c r="A25" s="94" t="n">
        <v>1</v>
      </c>
      <c r="B25" s="49" t="inlineStr">
        <is>
          <t>Nguyễn Hoàng Anh</t>
        </is>
      </c>
      <c r="C25" s="94" t="n"/>
      <c r="D25" s="94" t="n"/>
      <c r="E25" s="61">
        <f>SUM('NH Anh T'!C3)</f>
        <v/>
      </c>
      <c r="F25" s="61">
        <f>SUM('NH Anh T'!D3)</f>
        <v/>
      </c>
      <c r="G25" s="182">
        <f>SUM('NH Anh T'!E3)</f>
        <v/>
      </c>
      <c r="H25" s="61">
        <f>SUM('NH Anh T'!F3)</f>
        <v/>
      </c>
      <c r="I25" s="68">
        <f>F25/H25</f>
        <v/>
      </c>
    </row>
    <row r="26" ht="15.6" customHeight="1" s="405">
      <c r="A26" s="94" t="n">
        <v>2</v>
      </c>
      <c r="B26" s="49" t="inlineStr">
        <is>
          <t>Bùi Quang Anh</t>
        </is>
      </c>
      <c r="C26" s="94" t="n"/>
      <c r="D26" s="94" t="n"/>
      <c r="E26" s="61">
        <f>SUM('BQ Anh T'!C3)</f>
        <v/>
      </c>
      <c r="F26" s="61">
        <f>SUM('BQ Anh T'!D3)</f>
        <v/>
      </c>
      <c r="G26" s="182">
        <f>SUM('BQ Anh T'!E3)</f>
        <v/>
      </c>
      <c r="H26" s="61">
        <f>SUM('BQ Anh T'!F3)</f>
        <v/>
      </c>
      <c r="I26" s="68">
        <f>F26/H26</f>
        <v/>
      </c>
    </row>
    <row r="27" ht="15.6" customHeight="1" s="405">
      <c r="A27" s="94" t="n">
        <v>3</v>
      </c>
      <c r="B27" s="49" t="inlineStr">
        <is>
          <t>Trần Quang Huy</t>
        </is>
      </c>
      <c r="C27" s="94" t="n"/>
      <c r="D27" s="94" t="n"/>
      <c r="E27" s="61">
        <f>SUM('TQ Huy T'!C3)</f>
        <v/>
      </c>
      <c r="F27" s="61">
        <f>SUM('TQ Huy T'!D3)</f>
        <v/>
      </c>
      <c r="G27" s="182">
        <f>SUM('TQ Huy T'!E3)</f>
        <v/>
      </c>
      <c r="H27" s="61">
        <f>SUM('TQ Huy T'!F3)</f>
        <v/>
      </c>
      <c r="I27" s="68">
        <f>F27/H27</f>
        <v/>
      </c>
    </row>
    <row r="28" ht="15.6" customHeight="1" s="405">
      <c r="A28" s="94" t="n">
        <v>4</v>
      </c>
      <c r="B28" s="49" t="inlineStr">
        <is>
          <t>Phạm Thế Hải</t>
        </is>
      </c>
      <c r="C28" s="94" t="n"/>
      <c r="D28" s="94" t="n"/>
      <c r="E28" s="61">
        <f>SUM('PT Hải T'!C3)</f>
        <v/>
      </c>
      <c r="F28" s="61">
        <f>SUM('PT Hải T'!D3)</f>
        <v/>
      </c>
      <c r="G28" s="182">
        <f>SUM('PT Hải T'!E3)</f>
        <v/>
      </c>
      <c r="H28" s="61">
        <f>SUM('PT Hải T'!F3)</f>
        <v/>
      </c>
      <c r="I28" s="68">
        <f>F28/H28</f>
        <v/>
      </c>
    </row>
    <row r="29" ht="15.6" customHeight="1" s="405">
      <c r="A29" s="94" t="n">
        <v>5</v>
      </c>
      <c r="B29" s="49" t="inlineStr">
        <is>
          <t>Nguyễn Văn Lý</t>
        </is>
      </c>
      <c r="C29" s="94" t="n"/>
      <c r="D29" s="94" t="n"/>
      <c r="E29" s="61">
        <f>SUM('NV Lý T'!C3)</f>
        <v/>
      </c>
      <c r="F29" s="61">
        <f>SUM('NV Lý T'!D3)</f>
        <v/>
      </c>
      <c r="G29" s="182">
        <f>SUM('NV Lý T'!E3)</f>
        <v/>
      </c>
      <c r="H29" s="61">
        <f>SUM('NV Lý T'!F3)</f>
        <v/>
      </c>
      <c r="I29" s="68">
        <f>F29/H29</f>
        <v/>
      </c>
    </row>
    <row r="30" ht="15.6" customHeight="1" s="405">
      <c r="A30" s="94" t="n">
        <v>6</v>
      </c>
      <c r="B30" s="49" t="inlineStr">
        <is>
          <t>Đỗ Quốc Anh</t>
        </is>
      </c>
      <c r="C30" s="94" t="n"/>
      <c r="D30" s="94" t="n"/>
      <c r="E30" s="61">
        <f>SUM('ĐQ Anh T'!C3)</f>
        <v/>
      </c>
      <c r="F30" s="61">
        <f>SUM('ĐQ Anh T'!D3)</f>
        <v/>
      </c>
      <c r="G30" s="182">
        <f>SUM('ĐQ Anh T'!E3)</f>
        <v/>
      </c>
      <c r="H30" s="61">
        <f>SUM('ĐQ Anh T'!F3)</f>
        <v/>
      </c>
      <c r="I30" s="68">
        <f>F30/H30</f>
        <v/>
      </c>
    </row>
    <row r="31" hidden="1" ht="17.4" customHeight="1" s="405">
      <c r="A31" s="94" t="n">
        <v>7</v>
      </c>
      <c r="B31" s="84" t="n"/>
      <c r="C31" s="94" t="n"/>
      <c r="D31" s="94" t="n"/>
      <c r="E31" s="61" t="n"/>
      <c r="F31" s="61" t="n"/>
      <c r="G31" s="61" t="n"/>
      <c r="H31" s="61" t="n"/>
      <c r="I31" s="68">
        <f>F31/H31</f>
        <v/>
      </c>
    </row>
    <row r="32" hidden="1" ht="13.2" customHeight="1" s="405">
      <c r="A32" s="94" t="n">
        <v>8</v>
      </c>
      <c r="B32" s="94" t="n"/>
      <c r="C32" s="94" t="n"/>
      <c r="D32" s="94" t="n"/>
      <c r="E32" s="61" t="n"/>
      <c r="F32" s="61" t="n"/>
      <c r="G32" s="61" t="n"/>
      <c r="H32" s="61" t="n"/>
      <c r="I32" s="68">
        <f>F32/H32</f>
        <v/>
      </c>
    </row>
    <row r="33" ht="13.8" customHeight="1" s="405">
      <c r="A33" s="209" t="inlineStr">
        <is>
          <t>TỔNG TEAM NT</t>
        </is>
      </c>
      <c r="B33" s="439" t="n"/>
      <c r="C33" s="209" t="n"/>
      <c r="D33" s="209" t="n"/>
      <c r="E33" s="77">
        <f>SUM(E25:E32)</f>
        <v/>
      </c>
      <c r="F33" s="77">
        <f>SUM(F25:F32)</f>
        <v/>
      </c>
      <c r="G33" s="211">
        <f>SUM(G25:G32)</f>
        <v/>
      </c>
      <c r="H33" s="77">
        <f>SUM(H25:H32)</f>
        <v/>
      </c>
      <c r="I33" s="74">
        <f>F33/H33</f>
        <v/>
      </c>
    </row>
    <row r="34" ht="13.2" customHeight="1" s="405">
      <c r="E34" s="106" t="n"/>
      <c r="F34" s="106" t="n"/>
      <c r="G34" s="106" t="n"/>
      <c r="H34" s="106" t="n"/>
      <c r="I34" s="107" t="n"/>
    </row>
    <row r="35" ht="15.6" customHeight="1" s="405">
      <c r="A35" s="94" t="n">
        <v>1</v>
      </c>
      <c r="B35" s="112" t="inlineStr">
        <is>
          <t>Nguyễn Thọ Thưởng</t>
        </is>
      </c>
      <c r="C35" s="94" t="n"/>
      <c r="D35" s="94" t="n"/>
      <c r="E35" s="61">
        <f>SUM('NT Thưởng T'!C11)</f>
        <v/>
      </c>
      <c r="F35" s="61">
        <f>SUM('NT Thưởng T'!D3)</f>
        <v/>
      </c>
      <c r="G35" s="61">
        <f>SUM('NT Thưởng T'!E3)</f>
        <v/>
      </c>
      <c r="H35" s="61">
        <f>SUM('NT Thưởng T'!F3)</f>
        <v/>
      </c>
      <c r="I35" s="68">
        <f>F35/H35</f>
        <v/>
      </c>
    </row>
    <row r="36" hidden="1" ht="13.2" customHeight="1" s="405">
      <c r="A36" s="94" t="n">
        <v>2</v>
      </c>
      <c r="B36" s="94" t="n"/>
      <c r="C36" s="94" t="n"/>
      <c r="D36" s="94" t="n"/>
      <c r="E36" s="61" t="n"/>
      <c r="F36" s="61" t="n"/>
      <c r="G36" s="61" t="n"/>
      <c r="H36" s="61" t="n"/>
      <c r="I36" s="68">
        <f>F36/H36</f>
        <v/>
      </c>
    </row>
    <row r="37" hidden="1" ht="13.2" customHeight="1" s="405">
      <c r="A37" s="94" t="n">
        <v>3</v>
      </c>
      <c r="B37" s="94" t="n"/>
      <c r="C37" s="94" t="n"/>
      <c r="D37" s="94" t="n"/>
      <c r="E37" s="61" t="n"/>
      <c r="F37" s="61" t="n"/>
      <c r="G37" s="61" t="n"/>
      <c r="H37" s="61" t="n"/>
      <c r="I37" s="68">
        <f>F37/H37</f>
        <v/>
      </c>
    </row>
    <row r="38" hidden="1" ht="13.2" customHeight="1" s="405">
      <c r="A38" s="94" t="n">
        <v>4</v>
      </c>
      <c r="B38" s="94" t="n"/>
      <c r="C38" s="94" t="n"/>
      <c r="D38" s="94" t="n"/>
      <c r="E38" s="61" t="n"/>
      <c r="F38" s="61" t="n"/>
      <c r="G38" s="61" t="n"/>
      <c r="H38" s="61" t="n"/>
      <c r="I38" s="68">
        <f>F38/H38</f>
        <v/>
      </c>
    </row>
    <row r="39" hidden="1" ht="13.2" customHeight="1" s="405">
      <c r="A39" s="94" t="n">
        <v>5</v>
      </c>
      <c r="B39" s="94" t="n"/>
      <c r="C39" s="94" t="n"/>
      <c r="D39" s="94" t="n"/>
      <c r="E39" s="61" t="n"/>
      <c r="F39" s="61" t="n"/>
      <c r="G39" s="61" t="n"/>
      <c r="H39" s="61" t="n"/>
      <c r="I39" s="68">
        <f>F39/H39</f>
        <v/>
      </c>
    </row>
    <row r="40" ht="13.8" customHeight="1" s="405">
      <c r="A40" s="209" t="inlineStr">
        <is>
          <t>TỔNG TEAM OCP</t>
        </is>
      </c>
      <c r="B40" s="439" t="n"/>
      <c r="C40" s="209" t="n"/>
      <c r="D40" s="209" t="n"/>
      <c r="E40" s="77">
        <f>SUM(E35:E39)</f>
        <v/>
      </c>
      <c r="F40" s="77">
        <f>SUM(F35:F39)</f>
        <v/>
      </c>
      <c r="G40" s="77">
        <f>SUM(G35:G39)</f>
        <v/>
      </c>
      <c r="H40" s="77">
        <f>SUM(H35:H39)</f>
        <v/>
      </c>
      <c r="I40" s="74">
        <f>F40/H40</f>
        <v/>
      </c>
    </row>
    <row r="41" ht="13.2" customHeight="1" s="405">
      <c r="E41" s="106" t="n"/>
      <c r="F41" s="106" t="n"/>
      <c r="G41" s="106" t="n"/>
      <c r="H41" s="106" t="n"/>
      <c r="I41" s="107" t="n"/>
    </row>
    <row r="42" ht="16.8" customHeight="1" s="405">
      <c r="A42" s="215" t="inlineStr">
        <is>
          <t>TỔNG</t>
        </is>
      </c>
      <c r="B42" s="439" t="n"/>
      <c r="C42" s="215" t="n"/>
      <c r="D42" s="215" t="n"/>
      <c r="E42" s="216">
        <f>E40+E33</f>
        <v/>
      </c>
      <c r="F42" s="216">
        <f>F40+F33</f>
        <v/>
      </c>
      <c r="G42" s="216">
        <f>G40+G33</f>
        <v/>
      </c>
      <c r="H42" s="216">
        <f>H40+H33</f>
        <v/>
      </c>
      <c r="I42" s="204">
        <f>F42/H42</f>
        <v/>
      </c>
    </row>
  </sheetData>
  <mergeCells count="12">
    <mergeCell ref="A20:B20"/>
    <mergeCell ref="A33:B33"/>
    <mergeCell ref="A11:B11"/>
    <mergeCell ref="O1:S1"/>
    <mergeCell ref="E1:I1"/>
    <mergeCell ref="T1:X1"/>
    <mergeCell ref="A42:B42"/>
    <mergeCell ref="J1:N1"/>
    <mergeCell ref="Y1:AC1"/>
    <mergeCell ref="E23:I23"/>
    <mergeCell ref="A18:B18"/>
    <mergeCell ref="A40:B4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H1001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baseColWidth="8" defaultColWidth="12.6640625" defaultRowHeight="15.75" customHeight="1"/>
  <cols>
    <col width="5.88671875" customWidth="1" style="405" min="1" max="1"/>
    <col width="23.44140625" customWidth="1" style="405" min="2" max="2"/>
    <col width="14.88671875" customWidth="1" style="405" min="3" max="4"/>
    <col width="13.88671875" customWidth="1" style="405" min="5" max="5"/>
    <col width="12.21875" customWidth="1" style="405" min="6" max="6"/>
  </cols>
  <sheetData>
    <row r="1" ht="17.4" customHeight="1" s="405">
      <c r="A1" s="165" t="n"/>
      <c r="B1" s="165" t="n"/>
      <c r="C1" s="446" t="inlineStr">
        <is>
          <t>BÁO CÁO HÀNG NGÀY</t>
        </is>
      </c>
    </row>
    <row r="2" ht="27" customHeight="1" s="405">
      <c r="A2" s="138" t="inlineStr">
        <is>
          <t>STT</t>
        </is>
      </c>
      <c r="B2" s="138" t="inlineStr">
        <is>
          <t>Họ và tên</t>
        </is>
      </c>
      <c r="C2" s="208" t="inlineStr">
        <is>
          <t>Tổng doanh thu tháng</t>
        </is>
      </c>
      <c r="D2" s="208" t="inlineStr">
        <is>
          <t>Tổng ngân sách đã chi tiêu</t>
        </is>
      </c>
      <c r="E2" s="26" t="inlineStr">
        <is>
          <t>Ngân sách đã tiêu</t>
        </is>
      </c>
      <c r="F2" s="208" t="inlineStr">
        <is>
          <t>Số đơn</t>
        </is>
      </c>
      <c r="G2" s="208" t="inlineStr">
        <is>
          <t>Doanh số</t>
        </is>
      </c>
      <c r="H2" s="208" t="inlineStr">
        <is>
          <t>Tỷ lệ CP</t>
        </is>
      </c>
    </row>
    <row r="3" ht="15.6" customHeight="1" s="405">
      <c r="A3" s="94" t="n">
        <v>1</v>
      </c>
      <c r="B3" s="49" t="inlineStr">
        <is>
          <t>Nguyễn Hoàng Anh</t>
        </is>
      </c>
      <c r="C3" s="210">
        <f>SUM('NH Anh T'!F3)</f>
        <v/>
      </c>
      <c r="D3" s="210">
        <f>SUM('NH Anh T'!D3)</f>
        <v/>
      </c>
      <c r="E3" s="61">
        <f>SUM('NH Anh T'!D33)</f>
        <v/>
      </c>
      <c r="F3" s="182">
        <f>SUM('NH Anh T'!E33)</f>
        <v/>
      </c>
      <c r="G3" s="61">
        <f>SUM('NH Anh T'!F33)</f>
        <v/>
      </c>
      <c r="H3" s="68">
        <f>E3/G3</f>
        <v/>
      </c>
    </row>
    <row r="4" ht="15.6" customHeight="1" s="405">
      <c r="A4" s="94" t="n">
        <v>2</v>
      </c>
      <c r="B4" s="49" t="inlineStr">
        <is>
          <t>Bùi Quang Anh</t>
        </is>
      </c>
      <c r="C4" s="210">
        <f>SUM('BQ Anh T'!F3)</f>
        <v/>
      </c>
      <c r="D4" s="210">
        <f>SUM('BQ Anh T'!D3)</f>
        <v/>
      </c>
      <c r="E4" s="61">
        <f>SUM('BQ Anh T'!D33)</f>
        <v/>
      </c>
      <c r="F4" s="182">
        <f>SUM('BQ Anh T'!E33)</f>
        <v/>
      </c>
      <c r="G4" s="61">
        <f>SUM('BQ Anh T'!F33)</f>
        <v/>
      </c>
      <c r="H4" s="68">
        <f>E4/G4</f>
        <v/>
      </c>
    </row>
    <row r="5" ht="15.6" customHeight="1" s="405">
      <c r="A5" s="94" t="n">
        <v>3</v>
      </c>
      <c r="B5" s="49" t="inlineStr">
        <is>
          <t>Trần Quang Huy</t>
        </is>
      </c>
      <c r="C5" s="210">
        <f>SUM('TQ Huy T'!F3)</f>
        <v/>
      </c>
      <c r="D5" s="210">
        <f>SUM('TQ Huy T'!D3)</f>
        <v/>
      </c>
      <c r="E5" s="61">
        <f>SUM('TQ Huy T'!D33)</f>
        <v/>
      </c>
      <c r="F5" s="182">
        <f>SUM('TQ Huy T'!E33)</f>
        <v/>
      </c>
      <c r="G5" s="61">
        <f>SUM('TQ Huy T'!F33)</f>
        <v/>
      </c>
      <c r="H5" s="68">
        <f>E5/G5</f>
        <v/>
      </c>
    </row>
    <row r="6" ht="15.6" customHeight="1" s="405">
      <c r="A6" s="94" t="n">
        <v>4</v>
      </c>
      <c r="B6" s="49" t="inlineStr">
        <is>
          <t>Phạm Thế Hải</t>
        </is>
      </c>
      <c r="C6" s="210">
        <f>SUM('PT Hải T'!F3)</f>
        <v/>
      </c>
      <c r="D6" s="210">
        <f>SUM('PT Hải T'!D3)</f>
        <v/>
      </c>
      <c r="E6" s="61">
        <f>SUM('PT Hải T'!D33)</f>
        <v/>
      </c>
      <c r="F6" s="182">
        <f>SUM('PT Hải T'!E33)</f>
        <v/>
      </c>
      <c r="G6" s="61">
        <f>SUM('PT Hải T'!F33)</f>
        <v/>
      </c>
      <c r="H6" s="68">
        <f>E6/G6</f>
        <v/>
      </c>
    </row>
    <row r="7" hidden="1" ht="15.6" customHeight="1" s="405">
      <c r="A7" s="94" t="n">
        <v>5</v>
      </c>
      <c r="B7" s="49" t="inlineStr">
        <is>
          <t>Nguyễn Văn Lý</t>
        </is>
      </c>
      <c r="C7" s="210">
        <f>SUM('NV Lý T'!F3)</f>
        <v/>
      </c>
      <c r="D7" s="210">
        <f>SUM('NV Lý T'!D3)</f>
        <v/>
      </c>
      <c r="E7" s="61">
        <f>SUM('NV Lý T'!D17)</f>
        <v/>
      </c>
      <c r="F7" s="182">
        <f>SUM('NV Lý T'!E17)</f>
        <v/>
      </c>
      <c r="G7" s="61">
        <f>SUM('NV Lý T'!F17)</f>
        <v/>
      </c>
      <c r="H7" s="68">
        <f>E7/G7</f>
        <v/>
      </c>
    </row>
    <row r="8" ht="15.6" customHeight="1" s="405">
      <c r="A8" s="94" t="n">
        <v>6</v>
      </c>
      <c r="B8" s="49" t="inlineStr">
        <is>
          <t>Đỗ Quốc Anh</t>
        </is>
      </c>
      <c r="C8" s="210">
        <f>SUM('ĐQ Anh T'!F3)</f>
        <v/>
      </c>
      <c r="D8" s="210">
        <f>SUM('ĐQ Anh T'!D3)</f>
        <v/>
      </c>
      <c r="E8" s="61">
        <f>SUM('ĐQ Anh T'!D33)</f>
        <v/>
      </c>
      <c r="F8" s="182">
        <f>SUM('ĐQ Anh T'!E33)</f>
        <v/>
      </c>
      <c r="G8" s="61">
        <f>SUM('ĐQ Anh T'!F33)</f>
        <v/>
      </c>
      <c r="H8" s="68">
        <f>E8/G8</f>
        <v/>
      </c>
    </row>
    <row r="9" hidden="1" ht="17.4" customHeight="1" s="405">
      <c r="A9" s="94" t="n">
        <v>7</v>
      </c>
      <c r="B9" s="84" t="n"/>
      <c r="C9" s="210" t="n"/>
      <c r="D9" s="210" t="n"/>
      <c r="E9" s="61" t="n"/>
      <c r="F9" s="61" t="n"/>
      <c r="G9" s="61" t="n"/>
      <c r="H9" s="68">
        <f>E9/G9</f>
        <v/>
      </c>
    </row>
    <row r="10" hidden="1" ht="13.2" customHeight="1" s="405">
      <c r="A10" s="94" t="n">
        <v>8</v>
      </c>
      <c r="B10" s="94" t="n"/>
      <c r="C10" s="210" t="n"/>
      <c r="D10" s="210" t="n"/>
      <c r="E10" s="61" t="n"/>
      <c r="F10" s="61" t="n"/>
      <c r="G10" s="61" t="n"/>
      <c r="H10" s="68">
        <f>E10/G10</f>
        <v/>
      </c>
    </row>
    <row r="11" ht="13.8" customHeight="1" s="405">
      <c r="A11" s="209" t="inlineStr">
        <is>
          <t>TỔNG TEAM NT</t>
        </is>
      </c>
      <c r="B11" s="439" t="n"/>
      <c r="C11" s="213">
        <f>SUM(C3:C10)</f>
        <v/>
      </c>
      <c r="D11" s="213">
        <f>SUM(D3:D10)</f>
        <v/>
      </c>
      <c r="E11" s="77">
        <f>SUM(E3:E10)</f>
        <v/>
      </c>
      <c r="F11" s="211">
        <f>SUM(F3:F10)</f>
        <v/>
      </c>
      <c r="G11" s="77">
        <f>SUM(G3:G10)</f>
        <v/>
      </c>
      <c r="H11" s="74">
        <f>E11/G11</f>
        <v/>
      </c>
    </row>
    <row r="12" ht="13.2" customHeight="1" s="405">
      <c r="C12" s="214" t="n"/>
      <c r="D12" s="214" t="n"/>
      <c r="E12" s="106" t="n"/>
      <c r="F12" s="106" t="n"/>
      <c r="G12" s="106" t="n"/>
      <c r="H12" s="107" t="n"/>
    </row>
    <row r="13" ht="15.6" customHeight="1" s="405">
      <c r="A13" s="94" t="n">
        <v>1</v>
      </c>
      <c r="B13" s="112" t="inlineStr">
        <is>
          <t>Nguyễn Thọ Thưởng</t>
        </is>
      </c>
      <c r="C13" s="210">
        <f>SUM('NT Thưởng T'!F3)</f>
        <v/>
      </c>
      <c r="D13" s="210">
        <f>SUM('NT Thưởng T'!D3)</f>
        <v/>
      </c>
      <c r="E13" s="61">
        <f>SUM('NT Thưởng T'!D33)</f>
        <v/>
      </c>
      <c r="F13" s="61">
        <f>SUM('NT Thưởng T'!E33)</f>
        <v/>
      </c>
      <c r="G13" s="61">
        <f>SUM('NT Thưởng T'!F33)</f>
        <v/>
      </c>
      <c r="H13" s="68">
        <f>E13/G13</f>
        <v/>
      </c>
    </row>
    <row r="14" hidden="1" ht="13.2" customHeight="1" s="405">
      <c r="A14" s="94" t="n">
        <v>2</v>
      </c>
      <c r="B14" s="94" t="n"/>
      <c r="C14" s="210" t="n"/>
      <c r="D14" s="210" t="n"/>
      <c r="E14" s="61" t="n"/>
      <c r="F14" s="61" t="n"/>
      <c r="G14" s="61" t="n"/>
      <c r="H14" s="68">
        <f>E14/G14</f>
        <v/>
      </c>
    </row>
    <row r="15" hidden="1" ht="13.2" customHeight="1" s="405">
      <c r="A15" s="94" t="n">
        <v>3</v>
      </c>
      <c r="B15" s="94" t="n"/>
      <c r="C15" s="210" t="n"/>
      <c r="D15" s="210" t="n"/>
      <c r="E15" s="61" t="n"/>
      <c r="F15" s="61" t="n"/>
      <c r="G15" s="61" t="n"/>
      <c r="H15" s="68">
        <f>E15/G15</f>
        <v/>
      </c>
    </row>
    <row r="16" hidden="1" ht="13.2" customHeight="1" s="405">
      <c r="A16" s="94" t="n">
        <v>4</v>
      </c>
      <c r="B16" s="94" t="n"/>
      <c r="C16" s="210" t="n"/>
      <c r="D16" s="210" t="n"/>
      <c r="E16" s="61" t="n"/>
      <c r="F16" s="61" t="n"/>
      <c r="G16" s="61" t="n"/>
      <c r="H16" s="68">
        <f>E16/G16</f>
        <v/>
      </c>
    </row>
    <row r="17" hidden="1" ht="13.2" customHeight="1" s="405">
      <c r="A17" s="94" t="n">
        <v>5</v>
      </c>
      <c r="B17" s="94" t="n"/>
      <c r="C17" s="210" t="n"/>
      <c r="D17" s="210" t="n"/>
      <c r="E17" s="61" t="n"/>
      <c r="F17" s="61" t="n"/>
      <c r="G17" s="61" t="n"/>
      <c r="H17" s="68">
        <f>E17/G17</f>
        <v/>
      </c>
    </row>
    <row r="18" ht="13.8" customHeight="1" s="405">
      <c r="A18" s="209" t="inlineStr">
        <is>
          <t>TỔNG TEAM OCP</t>
        </is>
      </c>
      <c r="B18" s="439" t="n"/>
      <c r="C18" s="213">
        <f>SUM(C13:C17)</f>
        <v/>
      </c>
      <c r="D18" s="213">
        <f>SUM(D13:D17)</f>
        <v/>
      </c>
      <c r="E18" s="77">
        <f>SUM(E13:E17)</f>
        <v/>
      </c>
      <c r="F18" s="77">
        <f>SUM(F13:F17)</f>
        <v/>
      </c>
      <c r="G18" s="77">
        <f>SUM(G13:G17)</f>
        <v/>
      </c>
      <c r="H18" s="74">
        <f>E18/G18</f>
        <v/>
      </c>
    </row>
    <row r="19" ht="13.2" customHeight="1" s="405">
      <c r="C19" s="214" t="n"/>
      <c r="D19" s="214" t="n"/>
      <c r="E19" s="106" t="n"/>
      <c r="F19" s="106" t="n"/>
      <c r="G19" s="106" t="n"/>
      <c r="H19" s="107" t="n"/>
    </row>
    <row r="20" ht="16.8" customHeight="1" s="405">
      <c r="A20" s="215" t="inlineStr">
        <is>
          <t>TỔNG</t>
        </is>
      </c>
      <c r="B20" s="439" t="n"/>
      <c r="C20" s="217">
        <f>C18+C11</f>
        <v/>
      </c>
      <c r="D20" s="217" t="n"/>
      <c r="E20" s="216">
        <f>E18+E11</f>
        <v/>
      </c>
      <c r="F20" s="216">
        <f>F18+F11</f>
        <v/>
      </c>
      <c r="G20" s="216">
        <f>G18+G11</f>
        <v/>
      </c>
      <c r="H20" s="204">
        <f>E20/G20</f>
        <v/>
      </c>
    </row>
    <row r="21" ht="13.2" customHeight="1" s="405">
      <c r="C21" s="214" t="n"/>
      <c r="D21" s="214" t="n"/>
      <c r="E21" s="106" t="n"/>
      <c r="F21" s="106" t="n"/>
      <c r="G21" s="106" t="n"/>
    </row>
    <row r="22" ht="13.2" customHeight="1" s="405">
      <c r="C22" s="218" t="n"/>
      <c r="D22" s="218" t="n"/>
    </row>
    <row r="23" ht="13.2" customHeight="1" s="405">
      <c r="C23" s="218" t="n"/>
      <c r="D23" s="218" t="n"/>
    </row>
    <row r="24" ht="13.2" customHeight="1" s="405">
      <c r="C24" s="218" t="n"/>
      <c r="D24" s="218" t="n"/>
    </row>
    <row r="25" ht="13.2" customHeight="1" s="405">
      <c r="C25" s="218" t="n"/>
      <c r="D25" s="218" t="n"/>
    </row>
    <row r="26" ht="13.2" customHeight="1" s="405">
      <c r="C26" s="218" t="n"/>
      <c r="D26" s="218" t="n"/>
    </row>
    <row r="27" ht="13.2" customHeight="1" s="405">
      <c r="C27" s="218" t="n"/>
      <c r="D27" s="218" t="n"/>
    </row>
    <row r="28" ht="13.2" customHeight="1" s="405">
      <c r="C28" s="218" t="n"/>
      <c r="D28" s="218" t="n"/>
    </row>
    <row r="29" ht="13.2" customHeight="1" s="405">
      <c r="C29" s="218" t="n"/>
      <c r="D29" s="218" t="n"/>
    </row>
    <row r="30" ht="13.2" customHeight="1" s="405">
      <c r="C30" s="218" t="n"/>
      <c r="D30" s="218" t="n"/>
    </row>
    <row r="31" ht="13.2" customHeight="1" s="405">
      <c r="C31" s="218" t="n"/>
      <c r="D31" s="218" t="n"/>
    </row>
    <row r="32" ht="13.2" customHeight="1" s="405">
      <c r="C32" s="218" t="n"/>
      <c r="D32" s="218" t="n"/>
    </row>
    <row r="33" ht="13.2" customHeight="1" s="405">
      <c r="C33" s="218" t="n"/>
      <c r="D33" s="218" t="n"/>
    </row>
    <row r="34" ht="13.2" customHeight="1" s="405">
      <c r="C34" s="218" t="n"/>
      <c r="D34" s="218" t="n"/>
    </row>
    <row r="35" ht="13.2" customHeight="1" s="405">
      <c r="C35" s="218" t="n"/>
      <c r="D35" s="218" t="n"/>
    </row>
    <row r="36" ht="13.2" customHeight="1" s="405">
      <c r="C36" s="218" t="n"/>
      <c r="D36" s="218" t="n"/>
    </row>
    <row r="37" ht="13.2" customHeight="1" s="405">
      <c r="C37" s="218" t="n"/>
      <c r="D37" s="218" t="n"/>
    </row>
    <row r="38" ht="13.2" customHeight="1" s="405">
      <c r="C38" s="218" t="n"/>
      <c r="D38" s="218" t="n"/>
    </row>
    <row r="39" ht="13.2" customHeight="1" s="405">
      <c r="C39" s="218" t="n"/>
      <c r="D39" s="218" t="n"/>
    </row>
    <row r="40" ht="13.2" customHeight="1" s="405">
      <c r="C40" s="218" t="n"/>
      <c r="D40" s="218" t="n"/>
    </row>
    <row r="41" ht="13.2" customHeight="1" s="405">
      <c r="C41" s="218" t="n"/>
      <c r="D41" s="218" t="n"/>
    </row>
    <row r="42" ht="13.2" customHeight="1" s="405">
      <c r="C42" s="218" t="n"/>
      <c r="D42" s="218" t="n"/>
    </row>
    <row r="43" ht="13.2" customHeight="1" s="405">
      <c r="C43" s="218" t="n"/>
      <c r="D43" s="218" t="n"/>
    </row>
    <row r="44" ht="13.2" customHeight="1" s="405">
      <c r="C44" s="218" t="n"/>
      <c r="D44" s="218" t="n"/>
    </row>
    <row r="45" ht="13.2" customHeight="1" s="405">
      <c r="C45" s="218" t="n"/>
      <c r="D45" s="218" t="n"/>
    </row>
    <row r="46" ht="13.2" customHeight="1" s="405">
      <c r="C46" s="218" t="n"/>
      <c r="D46" s="218" t="n"/>
    </row>
    <row r="47" ht="13.2" customHeight="1" s="405">
      <c r="C47" s="218" t="n"/>
      <c r="D47" s="218" t="n"/>
    </row>
    <row r="48" ht="13.2" customHeight="1" s="405">
      <c r="C48" s="218" t="n"/>
      <c r="D48" s="218" t="n"/>
    </row>
    <row r="49" ht="13.2" customHeight="1" s="405">
      <c r="C49" s="218" t="n"/>
      <c r="D49" s="218" t="n"/>
    </row>
    <row r="50" ht="13.2" customHeight="1" s="405">
      <c r="C50" s="218" t="n"/>
      <c r="D50" s="218" t="n"/>
    </row>
    <row r="51" ht="13.2" customHeight="1" s="405">
      <c r="C51" s="218" t="n"/>
      <c r="D51" s="218" t="n"/>
    </row>
    <row r="52" ht="13.2" customHeight="1" s="405">
      <c r="C52" s="218" t="n"/>
      <c r="D52" s="218" t="n"/>
    </row>
    <row r="53" ht="13.2" customHeight="1" s="405">
      <c r="C53" s="218" t="n"/>
      <c r="D53" s="218" t="n"/>
    </row>
    <row r="54" ht="13.2" customHeight="1" s="405">
      <c r="C54" s="218" t="n"/>
      <c r="D54" s="218" t="n"/>
    </row>
    <row r="55" ht="13.2" customHeight="1" s="405">
      <c r="C55" s="218" t="n"/>
      <c r="D55" s="218" t="n"/>
    </row>
    <row r="56" ht="13.2" customHeight="1" s="405">
      <c r="C56" s="218" t="n"/>
      <c r="D56" s="218" t="n"/>
    </row>
    <row r="57" ht="13.2" customHeight="1" s="405">
      <c r="C57" s="218" t="n"/>
      <c r="D57" s="218" t="n"/>
    </row>
    <row r="58" ht="13.2" customHeight="1" s="405">
      <c r="C58" s="218" t="n"/>
      <c r="D58" s="218" t="n"/>
    </row>
    <row r="59" ht="13.2" customHeight="1" s="405">
      <c r="C59" s="218" t="n"/>
      <c r="D59" s="218" t="n"/>
    </row>
    <row r="60" ht="13.2" customHeight="1" s="405">
      <c r="C60" s="218" t="n"/>
      <c r="D60" s="218" t="n"/>
    </row>
    <row r="61" ht="13.2" customHeight="1" s="405">
      <c r="C61" s="218" t="n"/>
      <c r="D61" s="218" t="n"/>
    </row>
    <row r="62" ht="13.2" customHeight="1" s="405">
      <c r="C62" s="218" t="n"/>
      <c r="D62" s="218" t="n"/>
    </row>
    <row r="63" ht="13.2" customHeight="1" s="405">
      <c r="C63" s="218" t="n"/>
      <c r="D63" s="218" t="n"/>
    </row>
    <row r="64" ht="13.2" customHeight="1" s="405">
      <c r="C64" s="218" t="n"/>
      <c r="D64" s="218" t="n"/>
    </row>
    <row r="65" ht="13.2" customHeight="1" s="405">
      <c r="C65" s="218" t="n"/>
      <c r="D65" s="218" t="n"/>
    </row>
    <row r="66" ht="13.2" customHeight="1" s="405">
      <c r="C66" s="218" t="n"/>
      <c r="D66" s="218" t="n"/>
    </row>
    <row r="67" ht="13.2" customHeight="1" s="405">
      <c r="C67" s="218" t="n"/>
      <c r="D67" s="218" t="n"/>
    </row>
    <row r="68" ht="13.2" customHeight="1" s="405">
      <c r="C68" s="218" t="n"/>
      <c r="D68" s="218" t="n"/>
    </row>
    <row r="69" ht="13.2" customHeight="1" s="405">
      <c r="C69" s="218" t="n"/>
      <c r="D69" s="218" t="n"/>
    </row>
    <row r="70" ht="13.2" customHeight="1" s="405">
      <c r="C70" s="218" t="n"/>
      <c r="D70" s="218" t="n"/>
    </row>
    <row r="71" ht="13.2" customHeight="1" s="405">
      <c r="C71" s="218" t="n"/>
      <c r="D71" s="218" t="n"/>
    </row>
    <row r="72" ht="13.2" customHeight="1" s="405">
      <c r="C72" s="218" t="n"/>
      <c r="D72" s="218" t="n"/>
    </row>
    <row r="73" ht="13.2" customHeight="1" s="405">
      <c r="C73" s="218" t="n"/>
      <c r="D73" s="218" t="n"/>
    </row>
    <row r="74" ht="13.2" customHeight="1" s="405">
      <c r="C74" s="218" t="n"/>
      <c r="D74" s="218" t="n"/>
    </row>
    <row r="75" ht="13.2" customHeight="1" s="405">
      <c r="C75" s="218" t="n"/>
      <c r="D75" s="218" t="n"/>
    </row>
    <row r="76" ht="13.2" customHeight="1" s="405">
      <c r="C76" s="218" t="n"/>
      <c r="D76" s="218" t="n"/>
    </row>
    <row r="77" ht="13.2" customHeight="1" s="405">
      <c r="C77" s="218" t="n"/>
      <c r="D77" s="218" t="n"/>
    </row>
    <row r="78" ht="13.2" customHeight="1" s="405">
      <c r="C78" s="218" t="n"/>
      <c r="D78" s="218" t="n"/>
    </row>
    <row r="79" ht="13.2" customHeight="1" s="405">
      <c r="C79" s="218" t="n"/>
      <c r="D79" s="218" t="n"/>
    </row>
    <row r="80" ht="13.2" customHeight="1" s="405">
      <c r="C80" s="218" t="n"/>
      <c r="D80" s="218" t="n"/>
    </row>
    <row r="81" ht="13.2" customHeight="1" s="405">
      <c r="C81" s="218" t="n"/>
      <c r="D81" s="218" t="n"/>
    </row>
    <row r="82" ht="13.2" customHeight="1" s="405">
      <c r="C82" s="218" t="n"/>
      <c r="D82" s="218" t="n"/>
    </row>
    <row r="83" ht="13.2" customHeight="1" s="405">
      <c r="C83" s="218" t="n"/>
      <c r="D83" s="218" t="n"/>
    </row>
    <row r="84" ht="13.2" customHeight="1" s="405">
      <c r="C84" s="218" t="n"/>
      <c r="D84" s="218" t="n"/>
    </row>
    <row r="85" ht="13.2" customHeight="1" s="405">
      <c r="C85" s="218" t="n"/>
      <c r="D85" s="218" t="n"/>
    </row>
    <row r="86" ht="13.2" customHeight="1" s="405">
      <c r="C86" s="218" t="n"/>
      <c r="D86" s="218" t="n"/>
    </row>
    <row r="87" ht="13.2" customHeight="1" s="405">
      <c r="C87" s="218" t="n"/>
      <c r="D87" s="218" t="n"/>
    </row>
    <row r="88" ht="13.2" customHeight="1" s="405">
      <c r="C88" s="218" t="n"/>
      <c r="D88" s="218" t="n"/>
    </row>
    <row r="89" ht="13.2" customHeight="1" s="405">
      <c r="C89" s="218" t="n"/>
      <c r="D89" s="218" t="n"/>
    </row>
    <row r="90" ht="13.2" customHeight="1" s="405">
      <c r="C90" s="218" t="n"/>
      <c r="D90" s="218" t="n"/>
    </row>
    <row r="91" ht="13.2" customHeight="1" s="405">
      <c r="C91" s="218" t="n"/>
      <c r="D91" s="218" t="n"/>
    </row>
    <row r="92" ht="13.2" customHeight="1" s="405">
      <c r="C92" s="218" t="n"/>
      <c r="D92" s="218" t="n"/>
    </row>
    <row r="93" ht="13.2" customHeight="1" s="405">
      <c r="C93" s="218" t="n"/>
      <c r="D93" s="218" t="n"/>
    </row>
    <row r="94" ht="13.2" customHeight="1" s="405">
      <c r="C94" s="218" t="n"/>
      <c r="D94" s="218" t="n"/>
    </row>
    <row r="95" ht="13.2" customHeight="1" s="405">
      <c r="C95" s="218" t="n"/>
      <c r="D95" s="218" t="n"/>
    </row>
    <row r="96" ht="13.2" customHeight="1" s="405">
      <c r="C96" s="218" t="n"/>
      <c r="D96" s="218" t="n"/>
    </row>
    <row r="97" ht="13.2" customHeight="1" s="405">
      <c r="C97" s="218" t="n"/>
      <c r="D97" s="218" t="n"/>
    </row>
    <row r="98" ht="13.2" customHeight="1" s="405">
      <c r="C98" s="218" t="n"/>
      <c r="D98" s="218" t="n"/>
    </row>
    <row r="99" ht="13.2" customHeight="1" s="405">
      <c r="C99" s="218" t="n"/>
      <c r="D99" s="218" t="n"/>
    </row>
    <row r="100" ht="13.2" customHeight="1" s="405">
      <c r="C100" s="218" t="n"/>
      <c r="D100" s="218" t="n"/>
    </row>
    <row r="101" ht="13.2" customHeight="1" s="405">
      <c r="C101" s="218" t="n"/>
      <c r="D101" s="218" t="n"/>
    </row>
    <row r="102" ht="13.2" customHeight="1" s="405">
      <c r="C102" s="218" t="n"/>
      <c r="D102" s="218" t="n"/>
    </row>
    <row r="103" ht="13.2" customHeight="1" s="405">
      <c r="C103" s="218" t="n"/>
      <c r="D103" s="218" t="n"/>
    </row>
    <row r="104" ht="13.2" customHeight="1" s="405">
      <c r="C104" s="218" t="n"/>
      <c r="D104" s="218" t="n"/>
    </row>
    <row r="105" ht="13.2" customHeight="1" s="405">
      <c r="C105" s="218" t="n"/>
      <c r="D105" s="218" t="n"/>
    </row>
    <row r="106" ht="13.2" customHeight="1" s="405">
      <c r="C106" s="218" t="n"/>
      <c r="D106" s="218" t="n"/>
    </row>
    <row r="107" ht="13.2" customHeight="1" s="405">
      <c r="C107" s="218" t="n"/>
      <c r="D107" s="218" t="n"/>
    </row>
    <row r="108" ht="13.2" customHeight="1" s="405">
      <c r="C108" s="218" t="n"/>
      <c r="D108" s="218" t="n"/>
    </row>
    <row r="109" ht="13.2" customHeight="1" s="405">
      <c r="C109" s="218" t="n"/>
      <c r="D109" s="218" t="n"/>
    </row>
    <row r="110" ht="13.2" customHeight="1" s="405">
      <c r="C110" s="218" t="n"/>
      <c r="D110" s="218" t="n"/>
    </row>
    <row r="111" ht="13.2" customHeight="1" s="405">
      <c r="C111" s="218" t="n"/>
      <c r="D111" s="218" t="n"/>
    </row>
    <row r="112" ht="13.2" customHeight="1" s="405">
      <c r="C112" s="218" t="n"/>
      <c r="D112" s="218" t="n"/>
    </row>
    <row r="113" ht="13.2" customHeight="1" s="405">
      <c r="C113" s="218" t="n"/>
      <c r="D113" s="218" t="n"/>
    </row>
    <row r="114" ht="13.2" customHeight="1" s="405">
      <c r="C114" s="218" t="n"/>
      <c r="D114" s="218" t="n"/>
    </row>
    <row r="115" ht="13.2" customHeight="1" s="405">
      <c r="C115" s="218" t="n"/>
      <c r="D115" s="218" t="n"/>
    </row>
    <row r="116" ht="13.2" customHeight="1" s="405">
      <c r="C116" s="218" t="n"/>
      <c r="D116" s="218" t="n"/>
    </row>
    <row r="117" ht="13.2" customHeight="1" s="405">
      <c r="C117" s="218" t="n"/>
      <c r="D117" s="218" t="n"/>
    </row>
    <row r="118" ht="13.2" customHeight="1" s="405">
      <c r="C118" s="218" t="n"/>
      <c r="D118" s="218" t="n"/>
    </row>
    <row r="119" ht="13.2" customHeight="1" s="405">
      <c r="C119" s="218" t="n"/>
      <c r="D119" s="218" t="n"/>
    </row>
    <row r="120" ht="13.2" customHeight="1" s="405">
      <c r="C120" s="218" t="n"/>
      <c r="D120" s="218" t="n"/>
    </row>
    <row r="121" ht="13.2" customHeight="1" s="405">
      <c r="C121" s="218" t="n"/>
      <c r="D121" s="218" t="n"/>
    </row>
    <row r="122" ht="13.2" customHeight="1" s="405">
      <c r="C122" s="218" t="n"/>
      <c r="D122" s="218" t="n"/>
    </row>
    <row r="123" ht="13.2" customHeight="1" s="405">
      <c r="C123" s="218" t="n"/>
      <c r="D123" s="218" t="n"/>
    </row>
    <row r="124" ht="13.2" customHeight="1" s="405">
      <c r="C124" s="218" t="n"/>
      <c r="D124" s="218" t="n"/>
    </row>
    <row r="125" ht="13.2" customHeight="1" s="405">
      <c r="C125" s="218" t="n"/>
      <c r="D125" s="218" t="n"/>
    </row>
    <row r="126" ht="13.2" customHeight="1" s="405">
      <c r="C126" s="218" t="n"/>
      <c r="D126" s="218" t="n"/>
    </row>
    <row r="127" ht="13.2" customHeight="1" s="405">
      <c r="C127" s="218" t="n"/>
      <c r="D127" s="218" t="n"/>
    </row>
    <row r="128" ht="13.2" customHeight="1" s="405">
      <c r="C128" s="218" t="n"/>
      <c r="D128" s="218" t="n"/>
    </row>
    <row r="129" ht="13.2" customHeight="1" s="405">
      <c r="C129" s="218" t="n"/>
      <c r="D129" s="218" t="n"/>
    </row>
    <row r="130" ht="13.2" customHeight="1" s="405">
      <c r="C130" s="218" t="n"/>
      <c r="D130" s="218" t="n"/>
    </row>
    <row r="131" ht="13.2" customHeight="1" s="405">
      <c r="C131" s="218" t="n"/>
      <c r="D131" s="218" t="n"/>
    </row>
    <row r="132" ht="13.2" customHeight="1" s="405">
      <c r="C132" s="218" t="n"/>
      <c r="D132" s="218" t="n"/>
    </row>
    <row r="133" ht="13.2" customHeight="1" s="405">
      <c r="C133" s="218" t="n"/>
      <c r="D133" s="218" t="n"/>
    </row>
    <row r="134" ht="13.2" customHeight="1" s="405">
      <c r="C134" s="218" t="n"/>
      <c r="D134" s="218" t="n"/>
    </row>
    <row r="135" ht="13.2" customHeight="1" s="405">
      <c r="C135" s="218" t="n"/>
      <c r="D135" s="218" t="n"/>
    </row>
    <row r="136" ht="13.2" customHeight="1" s="405">
      <c r="C136" s="218" t="n"/>
      <c r="D136" s="218" t="n"/>
    </row>
    <row r="137" ht="13.2" customHeight="1" s="405">
      <c r="C137" s="218" t="n"/>
      <c r="D137" s="218" t="n"/>
    </row>
    <row r="138" ht="13.2" customHeight="1" s="405">
      <c r="C138" s="218" t="n"/>
      <c r="D138" s="218" t="n"/>
    </row>
    <row r="139" ht="13.2" customHeight="1" s="405">
      <c r="C139" s="218" t="n"/>
      <c r="D139" s="218" t="n"/>
    </row>
    <row r="140" ht="13.2" customHeight="1" s="405">
      <c r="C140" s="218" t="n"/>
      <c r="D140" s="218" t="n"/>
    </row>
    <row r="141" ht="13.2" customHeight="1" s="405">
      <c r="C141" s="218" t="n"/>
      <c r="D141" s="218" t="n"/>
    </row>
    <row r="142" ht="13.2" customHeight="1" s="405">
      <c r="C142" s="218" t="n"/>
      <c r="D142" s="218" t="n"/>
    </row>
    <row r="143" ht="13.2" customHeight="1" s="405">
      <c r="C143" s="218" t="n"/>
      <c r="D143" s="218" t="n"/>
    </row>
    <row r="144" ht="13.2" customHeight="1" s="405">
      <c r="C144" s="218" t="n"/>
      <c r="D144" s="218" t="n"/>
    </row>
    <row r="145" ht="13.2" customHeight="1" s="405">
      <c r="C145" s="218" t="n"/>
      <c r="D145" s="218" t="n"/>
    </row>
    <row r="146" ht="13.2" customHeight="1" s="405">
      <c r="C146" s="218" t="n"/>
      <c r="D146" s="218" t="n"/>
    </row>
    <row r="147" ht="13.2" customHeight="1" s="405">
      <c r="C147" s="218" t="n"/>
      <c r="D147" s="218" t="n"/>
    </row>
    <row r="148" ht="13.2" customHeight="1" s="405">
      <c r="C148" s="218" t="n"/>
      <c r="D148" s="218" t="n"/>
    </row>
    <row r="149" ht="13.2" customHeight="1" s="405">
      <c r="C149" s="218" t="n"/>
      <c r="D149" s="218" t="n"/>
    </row>
    <row r="150" ht="13.2" customHeight="1" s="405">
      <c r="C150" s="218" t="n"/>
      <c r="D150" s="218" t="n"/>
    </row>
    <row r="151" ht="13.2" customHeight="1" s="405">
      <c r="C151" s="218" t="n"/>
      <c r="D151" s="218" t="n"/>
    </row>
    <row r="152" ht="13.2" customHeight="1" s="405">
      <c r="C152" s="218" t="n"/>
      <c r="D152" s="218" t="n"/>
    </row>
    <row r="153" ht="13.2" customHeight="1" s="405">
      <c r="C153" s="218" t="n"/>
      <c r="D153" s="218" t="n"/>
    </row>
    <row r="154" ht="13.2" customHeight="1" s="405">
      <c r="C154" s="218" t="n"/>
      <c r="D154" s="218" t="n"/>
    </row>
    <row r="155" ht="13.2" customHeight="1" s="405">
      <c r="C155" s="218" t="n"/>
      <c r="D155" s="218" t="n"/>
    </row>
    <row r="156" ht="13.2" customHeight="1" s="405">
      <c r="C156" s="218" t="n"/>
      <c r="D156" s="218" t="n"/>
    </row>
    <row r="157" ht="13.2" customHeight="1" s="405">
      <c r="C157" s="218" t="n"/>
      <c r="D157" s="218" t="n"/>
    </row>
    <row r="158" ht="13.2" customHeight="1" s="405">
      <c r="C158" s="218" t="n"/>
      <c r="D158" s="218" t="n"/>
    </row>
    <row r="159" ht="13.2" customHeight="1" s="405">
      <c r="C159" s="218" t="n"/>
      <c r="D159" s="218" t="n"/>
    </row>
    <row r="160" ht="13.2" customHeight="1" s="405">
      <c r="C160" s="218" t="n"/>
      <c r="D160" s="218" t="n"/>
    </row>
    <row r="161" ht="13.2" customHeight="1" s="405">
      <c r="C161" s="218" t="n"/>
      <c r="D161" s="218" t="n"/>
    </row>
    <row r="162" ht="13.2" customHeight="1" s="405">
      <c r="C162" s="218" t="n"/>
      <c r="D162" s="218" t="n"/>
    </row>
    <row r="163" ht="13.2" customHeight="1" s="405">
      <c r="C163" s="218" t="n"/>
      <c r="D163" s="218" t="n"/>
    </row>
    <row r="164" ht="13.2" customHeight="1" s="405">
      <c r="C164" s="218" t="n"/>
      <c r="D164" s="218" t="n"/>
    </row>
    <row r="165" ht="13.2" customHeight="1" s="405">
      <c r="C165" s="218" t="n"/>
      <c r="D165" s="218" t="n"/>
    </row>
    <row r="166" ht="13.2" customHeight="1" s="405">
      <c r="C166" s="218" t="n"/>
      <c r="D166" s="218" t="n"/>
    </row>
    <row r="167" ht="13.2" customHeight="1" s="405">
      <c r="C167" s="218" t="n"/>
      <c r="D167" s="218" t="n"/>
    </row>
    <row r="168" ht="13.2" customHeight="1" s="405">
      <c r="C168" s="218" t="n"/>
      <c r="D168" s="218" t="n"/>
    </row>
    <row r="169" ht="13.2" customHeight="1" s="405">
      <c r="C169" s="218" t="n"/>
      <c r="D169" s="218" t="n"/>
    </row>
    <row r="170" ht="13.2" customHeight="1" s="405">
      <c r="C170" s="218" t="n"/>
      <c r="D170" s="218" t="n"/>
    </row>
    <row r="171" ht="13.2" customHeight="1" s="405">
      <c r="C171" s="218" t="n"/>
      <c r="D171" s="218" t="n"/>
    </row>
    <row r="172" ht="13.2" customHeight="1" s="405">
      <c r="C172" s="218" t="n"/>
      <c r="D172" s="218" t="n"/>
    </row>
    <row r="173" ht="13.2" customHeight="1" s="405">
      <c r="C173" s="218" t="n"/>
      <c r="D173" s="218" t="n"/>
    </row>
    <row r="174" ht="13.2" customHeight="1" s="405">
      <c r="C174" s="218" t="n"/>
      <c r="D174" s="218" t="n"/>
    </row>
    <row r="175" ht="13.2" customHeight="1" s="405">
      <c r="C175" s="218" t="n"/>
      <c r="D175" s="218" t="n"/>
    </row>
    <row r="176" ht="13.2" customHeight="1" s="405">
      <c r="C176" s="218" t="n"/>
      <c r="D176" s="218" t="n"/>
    </row>
    <row r="177" ht="13.2" customHeight="1" s="405">
      <c r="C177" s="218" t="n"/>
      <c r="D177" s="218" t="n"/>
    </row>
    <row r="178" ht="13.2" customHeight="1" s="405">
      <c r="C178" s="218" t="n"/>
      <c r="D178" s="218" t="n"/>
    </row>
    <row r="179" ht="13.2" customHeight="1" s="405">
      <c r="C179" s="218" t="n"/>
      <c r="D179" s="218" t="n"/>
    </row>
    <row r="180" ht="13.2" customHeight="1" s="405">
      <c r="C180" s="218" t="n"/>
      <c r="D180" s="218" t="n"/>
    </row>
    <row r="181" ht="13.2" customHeight="1" s="405">
      <c r="C181" s="218" t="n"/>
      <c r="D181" s="218" t="n"/>
    </row>
    <row r="182" ht="13.2" customHeight="1" s="405">
      <c r="C182" s="218" t="n"/>
      <c r="D182" s="218" t="n"/>
    </row>
    <row r="183" ht="13.2" customHeight="1" s="405">
      <c r="C183" s="218" t="n"/>
      <c r="D183" s="218" t="n"/>
    </row>
    <row r="184" ht="13.2" customHeight="1" s="405">
      <c r="C184" s="218" t="n"/>
      <c r="D184" s="218" t="n"/>
    </row>
    <row r="185" ht="13.2" customHeight="1" s="405">
      <c r="C185" s="218" t="n"/>
      <c r="D185" s="218" t="n"/>
    </row>
    <row r="186" ht="13.2" customHeight="1" s="405">
      <c r="C186" s="218" t="n"/>
      <c r="D186" s="218" t="n"/>
    </row>
    <row r="187" ht="13.2" customHeight="1" s="405">
      <c r="C187" s="218" t="n"/>
      <c r="D187" s="218" t="n"/>
    </row>
    <row r="188" ht="13.2" customHeight="1" s="405">
      <c r="C188" s="218" t="n"/>
      <c r="D188" s="218" t="n"/>
    </row>
    <row r="189" ht="13.2" customHeight="1" s="405">
      <c r="C189" s="218" t="n"/>
      <c r="D189" s="218" t="n"/>
    </row>
    <row r="190" ht="13.2" customHeight="1" s="405">
      <c r="C190" s="218" t="n"/>
      <c r="D190" s="218" t="n"/>
    </row>
    <row r="191" ht="13.2" customHeight="1" s="405">
      <c r="C191" s="218" t="n"/>
      <c r="D191" s="218" t="n"/>
    </row>
    <row r="192" ht="13.2" customHeight="1" s="405">
      <c r="C192" s="218" t="n"/>
      <c r="D192" s="218" t="n"/>
    </row>
    <row r="193" ht="13.2" customHeight="1" s="405">
      <c r="C193" s="218" t="n"/>
      <c r="D193" s="218" t="n"/>
    </row>
    <row r="194" ht="13.2" customHeight="1" s="405">
      <c r="C194" s="218" t="n"/>
      <c r="D194" s="218" t="n"/>
    </row>
    <row r="195" ht="13.2" customHeight="1" s="405">
      <c r="C195" s="218" t="n"/>
      <c r="D195" s="218" t="n"/>
    </row>
    <row r="196" ht="13.2" customHeight="1" s="405">
      <c r="C196" s="218" t="n"/>
      <c r="D196" s="218" t="n"/>
    </row>
    <row r="197" ht="13.2" customHeight="1" s="405">
      <c r="C197" s="218" t="n"/>
      <c r="D197" s="218" t="n"/>
    </row>
    <row r="198" ht="13.2" customHeight="1" s="405">
      <c r="C198" s="218" t="n"/>
      <c r="D198" s="218" t="n"/>
    </row>
    <row r="199" ht="13.2" customHeight="1" s="405">
      <c r="C199" s="218" t="n"/>
      <c r="D199" s="218" t="n"/>
    </row>
    <row r="200" ht="13.2" customHeight="1" s="405">
      <c r="C200" s="218" t="n"/>
      <c r="D200" s="218" t="n"/>
    </row>
    <row r="201" ht="13.2" customHeight="1" s="405">
      <c r="C201" s="218" t="n"/>
      <c r="D201" s="218" t="n"/>
    </row>
    <row r="202" ht="13.2" customHeight="1" s="405">
      <c r="C202" s="218" t="n"/>
      <c r="D202" s="218" t="n"/>
    </row>
    <row r="203" ht="13.2" customHeight="1" s="405">
      <c r="C203" s="218" t="n"/>
      <c r="D203" s="218" t="n"/>
    </row>
    <row r="204" ht="13.2" customHeight="1" s="405">
      <c r="C204" s="218" t="n"/>
      <c r="D204" s="218" t="n"/>
    </row>
    <row r="205" ht="13.2" customHeight="1" s="405">
      <c r="C205" s="218" t="n"/>
      <c r="D205" s="218" t="n"/>
    </row>
    <row r="206" ht="13.2" customHeight="1" s="405">
      <c r="C206" s="218" t="n"/>
      <c r="D206" s="218" t="n"/>
    </row>
    <row r="207" ht="13.2" customHeight="1" s="405">
      <c r="C207" s="218" t="n"/>
      <c r="D207" s="218" t="n"/>
    </row>
    <row r="208" ht="13.2" customHeight="1" s="405">
      <c r="C208" s="218" t="n"/>
      <c r="D208" s="218" t="n"/>
    </row>
    <row r="209" ht="13.2" customHeight="1" s="405">
      <c r="C209" s="218" t="n"/>
      <c r="D209" s="218" t="n"/>
    </row>
    <row r="210" ht="13.2" customHeight="1" s="405">
      <c r="C210" s="218" t="n"/>
      <c r="D210" s="218" t="n"/>
    </row>
    <row r="211" ht="13.2" customHeight="1" s="405">
      <c r="C211" s="218" t="n"/>
      <c r="D211" s="218" t="n"/>
    </row>
    <row r="212" ht="13.2" customHeight="1" s="405">
      <c r="C212" s="218" t="n"/>
      <c r="D212" s="218" t="n"/>
    </row>
    <row r="213" ht="13.2" customHeight="1" s="405">
      <c r="C213" s="218" t="n"/>
      <c r="D213" s="218" t="n"/>
    </row>
    <row r="214" ht="13.2" customHeight="1" s="405">
      <c r="C214" s="218" t="n"/>
      <c r="D214" s="218" t="n"/>
    </row>
    <row r="215" ht="13.2" customHeight="1" s="405">
      <c r="C215" s="218" t="n"/>
      <c r="D215" s="218" t="n"/>
    </row>
    <row r="216" ht="13.2" customHeight="1" s="405">
      <c r="C216" s="218" t="n"/>
      <c r="D216" s="218" t="n"/>
    </row>
    <row r="217" ht="13.2" customHeight="1" s="405">
      <c r="C217" s="218" t="n"/>
      <c r="D217" s="218" t="n"/>
    </row>
    <row r="218" ht="13.2" customHeight="1" s="405">
      <c r="C218" s="218" t="n"/>
      <c r="D218" s="218" t="n"/>
    </row>
    <row r="219" ht="13.2" customHeight="1" s="405">
      <c r="C219" s="218" t="n"/>
      <c r="D219" s="218" t="n"/>
    </row>
    <row r="220" ht="13.2" customHeight="1" s="405">
      <c r="C220" s="218" t="n"/>
      <c r="D220" s="218" t="n"/>
    </row>
    <row r="221" ht="13.2" customHeight="1" s="405">
      <c r="C221" s="218" t="n"/>
      <c r="D221" s="218" t="n"/>
    </row>
    <row r="222" ht="13.2" customHeight="1" s="405">
      <c r="C222" s="218" t="n"/>
      <c r="D222" s="218" t="n"/>
    </row>
    <row r="223" ht="13.2" customHeight="1" s="405">
      <c r="C223" s="218" t="n"/>
      <c r="D223" s="218" t="n"/>
    </row>
    <row r="224" ht="13.2" customHeight="1" s="405">
      <c r="C224" s="218" t="n"/>
      <c r="D224" s="218" t="n"/>
    </row>
    <row r="225" ht="13.2" customHeight="1" s="405">
      <c r="C225" s="218" t="n"/>
      <c r="D225" s="218" t="n"/>
    </row>
    <row r="226" ht="13.2" customHeight="1" s="405">
      <c r="C226" s="218" t="n"/>
      <c r="D226" s="218" t="n"/>
    </row>
    <row r="227" ht="13.2" customHeight="1" s="405">
      <c r="C227" s="218" t="n"/>
      <c r="D227" s="218" t="n"/>
    </row>
    <row r="228" ht="13.2" customHeight="1" s="405">
      <c r="C228" s="218" t="n"/>
      <c r="D228" s="218" t="n"/>
    </row>
    <row r="229" ht="13.2" customHeight="1" s="405">
      <c r="C229" s="218" t="n"/>
      <c r="D229" s="218" t="n"/>
    </row>
    <row r="230" ht="13.2" customHeight="1" s="405">
      <c r="C230" s="218" t="n"/>
      <c r="D230" s="218" t="n"/>
    </row>
    <row r="231" ht="13.2" customHeight="1" s="405">
      <c r="C231" s="218" t="n"/>
      <c r="D231" s="218" t="n"/>
    </row>
    <row r="232" ht="13.2" customHeight="1" s="405">
      <c r="C232" s="218" t="n"/>
      <c r="D232" s="218" t="n"/>
    </row>
    <row r="233" ht="13.2" customHeight="1" s="405">
      <c r="C233" s="218" t="n"/>
      <c r="D233" s="218" t="n"/>
    </row>
    <row r="234" ht="13.2" customHeight="1" s="405">
      <c r="C234" s="218" t="n"/>
      <c r="D234" s="218" t="n"/>
    </row>
    <row r="235" ht="13.2" customHeight="1" s="405">
      <c r="C235" s="218" t="n"/>
      <c r="D235" s="218" t="n"/>
    </row>
    <row r="236" ht="13.2" customHeight="1" s="405">
      <c r="C236" s="218" t="n"/>
      <c r="D236" s="218" t="n"/>
    </row>
    <row r="237" ht="13.2" customHeight="1" s="405">
      <c r="C237" s="218" t="n"/>
      <c r="D237" s="218" t="n"/>
    </row>
    <row r="238" ht="13.2" customHeight="1" s="405">
      <c r="C238" s="218" t="n"/>
      <c r="D238" s="218" t="n"/>
    </row>
    <row r="239" ht="13.2" customHeight="1" s="405">
      <c r="C239" s="218" t="n"/>
      <c r="D239" s="218" t="n"/>
    </row>
    <row r="240" ht="13.2" customHeight="1" s="405">
      <c r="C240" s="218" t="n"/>
      <c r="D240" s="218" t="n"/>
    </row>
    <row r="241" ht="13.2" customHeight="1" s="405">
      <c r="C241" s="218" t="n"/>
      <c r="D241" s="218" t="n"/>
    </row>
    <row r="242" ht="13.2" customHeight="1" s="405">
      <c r="C242" s="218" t="n"/>
      <c r="D242" s="218" t="n"/>
    </row>
    <row r="243" ht="13.2" customHeight="1" s="405">
      <c r="C243" s="218" t="n"/>
      <c r="D243" s="218" t="n"/>
    </row>
    <row r="244" ht="13.2" customHeight="1" s="405">
      <c r="C244" s="218" t="n"/>
      <c r="D244" s="218" t="n"/>
    </row>
    <row r="245" ht="13.2" customHeight="1" s="405">
      <c r="C245" s="218" t="n"/>
      <c r="D245" s="218" t="n"/>
    </row>
    <row r="246" ht="13.2" customHeight="1" s="405">
      <c r="C246" s="218" t="n"/>
      <c r="D246" s="218" t="n"/>
    </row>
    <row r="247" ht="13.2" customHeight="1" s="405">
      <c r="C247" s="218" t="n"/>
      <c r="D247" s="218" t="n"/>
    </row>
    <row r="248" ht="13.2" customHeight="1" s="405">
      <c r="C248" s="218" t="n"/>
      <c r="D248" s="218" t="n"/>
    </row>
    <row r="249" ht="13.2" customHeight="1" s="405">
      <c r="C249" s="218" t="n"/>
      <c r="D249" s="218" t="n"/>
    </row>
    <row r="250" ht="13.2" customHeight="1" s="405">
      <c r="C250" s="218" t="n"/>
      <c r="D250" s="218" t="n"/>
    </row>
    <row r="251" ht="13.2" customHeight="1" s="405">
      <c r="C251" s="218" t="n"/>
      <c r="D251" s="218" t="n"/>
    </row>
    <row r="252" ht="13.2" customHeight="1" s="405">
      <c r="C252" s="218" t="n"/>
      <c r="D252" s="218" t="n"/>
    </row>
    <row r="253" ht="13.2" customHeight="1" s="405">
      <c r="C253" s="218" t="n"/>
      <c r="D253" s="218" t="n"/>
    </row>
    <row r="254" ht="13.2" customHeight="1" s="405">
      <c r="C254" s="218" t="n"/>
      <c r="D254" s="218" t="n"/>
    </row>
    <row r="255" ht="13.2" customHeight="1" s="405">
      <c r="C255" s="218" t="n"/>
      <c r="D255" s="218" t="n"/>
    </row>
    <row r="256" ht="13.2" customHeight="1" s="405">
      <c r="C256" s="218" t="n"/>
      <c r="D256" s="218" t="n"/>
    </row>
    <row r="257" ht="13.2" customHeight="1" s="405">
      <c r="C257" s="218" t="n"/>
      <c r="D257" s="218" t="n"/>
    </row>
    <row r="258" ht="13.2" customHeight="1" s="405">
      <c r="C258" s="218" t="n"/>
      <c r="D258" s="218" t="n"/>
    </row>
    <row r="259" ht="13.2" customHeight="1" s="405">
      <c r="C259" s="218" t="n"/>
      <c r="D259" s="218" t="n"/>
    </row>
    <row r="260" ht="13.2" customHeight="1" s="405">
      <c r="C260" s="218" t="n"/>
      <c r="D260" s="218" t="n"/>
    </row>
    <row r="261" ht="13.2" customHeight="1" s="405">
      <c r="C261" s="218" t="n"/>
      <c r="D261" s="218" t="n"/>
    </row>
    <row r="262" ht="13.2" customHeight="1" s="405">
      <c r="C262" s="218" t="n"/>
      <c r="D262" s="218" t="n"/>
    </row>
    <row r="263" ht="13.2" customHeight="1" s="405">
      <c r="C263" s="218" t="n"/>
      <c r="D263" s="218" t="n"/>
    </row>
    <row r="264" ht="13.2" customHeight="1" s="405">
      <c r="C264" s="218" t="n"/>
      <c r="D264" s="218" t="n"/>
    </row>
    <row r="265" ht="13.2" customHeight="1" s="405">
      <c r="C265" s="218" t="n"/>
      <c r="D265" s="218" t="n"/>
    </row>
    <row r="266" ht="13.2" customHeight="1" s="405">
      <c r="C266" s="218" t="n"/>
      <c r="D266" s="218" t="n"/>
    </row>
    <row r="267" ht="13.2" customHeight="1" s="405">
      <c r="C267" s="218" t="n"/>
      <c r="D267" s="218" t="n"/>
    </row>
    <row r="268" ht="13.2" customHeight="1" s="405">
      <c r="C268" s="218" t="n"/>
      <c r="D268" s="218" t="n"/>
    </row>
    <row r="269" ht="13.2" customHeight="1" s="405">
      <c r="C269" s="218" t="n"/>
      <c r="D269" s="218" t="n"/>
    </row>
    <row r="270" ht="13.2" customHeight="1" s="405">
      <c r="C270" s="218" t="n"/>
      <c r="D270" s="218" t="n"/>
    </row>
    <row r="271" ht="13.2" customHeight="1" s="405">
      <c r="C271" s="218" t="n"/>
      <c r="D271" s="218" t="n"/>
    </row>
    <row r="272" ht="13.2" customHeight="1" s="405">
      <c r="C272" s="218" t="n"/>
      <c r="D272" s="218" t="n"/>
    </row>
    <row r="273" ht="13.2" customHeight="1" s="405">
      <c r="C273" s="218" t="n"/>
      <c r="D273" s="218" t="n"/>
    </row>
    <row r="274" ht="13.2" customHeight="1" s="405">
      <c r="C274" s="218" t="n"/>
      <c r="D274" s="218" t="n"/>
    </row>
    <row r="275" ht="13.2" customHeight="1" s="405">
      <c r="C275" s="218" t="n"/>
      <c r="D275" s="218" t="n"/>
    </row>
    <row r="276" ht="13.2" customHeight="1" s="405">
      <c r="C276" s="218" t="n"/>
      <c r="D276" s="218" t="n"/>
    </row>
    <row r="277" ht="13.2" customHeight="1" s="405">
      <c r="C277" s="218" t="n"/>
      <c r="D277" s="218" t="n"/>
    </row>
    <row r="278" ht="13.2" customHeight="1" s="405">
      <c r="C278" s="218" t="n"/>
      <c r="D278" s="218" t="n"/>
    </row>
    <row r="279" ht="13.2" customHeight="1" s="405">
      <c r="C279" s="218" t="n"/>
      <c r="D279" s="218" t="n"/>
    </row>
    <row r="280" ht="13.2" customHeight="1" s="405">
      <c r="C280" s="218" t="n"/>
      <c r="D280" s="218" t="n"/>
    </row>
    <row r="281" ht="13.2" customHeight="1" s="405">
      <c r="C281" s="218" t="n"/>
      <c r="D281" s="218" t="n"/>
    </row>
    <row r="282" ht="13.2" customHeight="1" s="405">
      <c r="C282" s="218" t="n"/>
      <c r="D282" s="218" t="n"/>
    </row>
    <row r="283" ht="13.2" customHeight="1" s="405">
      <c r="C283" s="218" t="n"/>
      <c r="D283" s="218" t="n"/>
    </row>
    <row r="284" ht="13.2" customHeight="1" s="405">
      <c r="C284" s="218" t="n"/>
      <c r="D284" s="218" t="n"/>
    </row>
    <row r="285" ht="13.2" customHeight="1" s="405">
      <c r="C285" s="218" t="n"/>
      <c r="D285" s="218" t="n"/>
    </row>
    <row r="286" ht="13.2" customHeight="1" s="405">
      <c r="C286" s="218" t="n"/>
      <c r="D286" s="218" t="n"/>
    </row>
    <row r="287" ht="13.2" customHeight="1" s="405">
      <c r="C287" s="218" t="n"/>
      <c r="D287" s="218" t="n"/>
    </row>
    <row r="288" ht="13.2" customHeight="1" s="405">
      <c r="C288" s="218" t="n"/>
      <c r="D288" s="218" t="n"/>
    </row>
    <row r="289" ht="13.2" customHeight="1" s="405">
      <c r="C289" s="218" t="n"/>
      <c r="D289" s="218" t="n"/>
    </row>
    <row r="290" ht="13.2" customHeight="1" s="405">
      <c r="C290" s="218" t="n"/>
      <c r="D290" s="218" t="n"/>
    </row>
    <row r="291" ht="13.2" customHeight="1" s="405">
      <c r="C291" s="218" t="n"/>
      <c r="D291" s="218" t="n"/>
    </row>
    <row r="292" ht="13.2" customHeight="1" s="405">
      <c r="C292" s="218" t="n"/>
      <c r="D292" s="218" t="n"/>
    </row>
    <row r="293" ht="13.2" customHeight="1" s="405">
      <c r="C293" s="218" t="n"/>
      <c r="D293" s="218" t="n"/>
    </row>
    <row r="294" ht="13.2" customHeight="1" s="405">
      <c r="C294" s="218" t="n"/>
      <c r="D294" s="218" t="n"/>
    </row>
    <row r="295" ht="13.2" customHeight="1" s="405">
      <c r="C295" s="218" t="n"/>
      <c r="D295" s="218" t="n"/>
    </row>
    <row r="296" ht="13.2" customHeight="1" s="405">
      <c r="C296" s="218" t="n"/>
      <c r="D296" s="218" t="n"/>
    </row>
    <row r="297" ht="13.2" customHeight="1" s="405">
      <c r="C297" s="218" t="n"/>
      <c r="D297" s="218" t="n"/>
    </row>
    <row r="298" ht="13.2" customHeight="1" s="405">
      <c r="C298" s="218" t="n"/>
      <c r="D298" s="218" t="n"/>
    </row>
    <row r="299" ht="13.2" customHeight="1" s="405">
      <c r="C299" s="218" t="n"/>
      <c r="D299" s="218" t="n"/>
    </row>
    <row r="300" ht="13.2" customHeight="1" s="405">
      <c r="C300" s="218" t="n"/>
      <c r="D300" s="218" t="n"/>
    </row>
    <row r="301" ht="13.2" customHeight="1" s="405">
      <c r="C301" s="218" t="n"/>
      <c r="D301" s="218" t="n"/>
    </row>
    <row r="302" ht="13.2" customHeight="1" s="405">
      <c r="C302" s="218" t="n"/>
      <c r="D302" s="218" t="n"/>
    </row>
    <row r="303" ht="13.2" customHeight="1" s="405">
      <c r="C303" s="218" t="n"/>
      <c r="D303" s="218" t="n"/>
    </row>
    <row r="304" ht="13.2" customHeight="1" s="405">
      <c r="C304" s="218" t="n"/>
      <c r="D304" s="218" t="n"/>
    </row>
    <row r="305" ht="13.2" customHeight="1" s="405">
      <c r="C305" s="218" t="n"/>
      <c r="D305" s="218" t="n"/>
    </row>
    <row r="306" ht="13.2" customHeight="1" s="405">
      <c r="C306" s="218" t="n"/>
      <c r="D306" s="218" t="n"/>
    </row>
    <row r="307" ht="13.2" customHeight="1" s="405">
      <c r="C307" s="218" t="n"/>
      <c r="D307" s="218" t="n"/>
    </row>
    <row r="308" ht="13.2" customHeight="1" s="405">
      <c r="C308" s="218" t="n"/>
      <c r="D308" s="218" t="n"/>
    </row>
    <row r="309" ht="13.2" customHeight="1" s="405">
      <c r="C309" s="218" t="n"/>
      <c r="D309" s="218" t="n"/>
    </row>
    <row r="310" ht="13.2" customHeight="1" s="405">
      <c r="C310" s="218" t="n"/>
      <c r="D310" s="218" t="n"/>
    </row>
    <row r="311" ht="13.2" customHeight="1" s="405">
      <c r="C311" s="218" t="n"/>
      <c r="D311" s="218" t="n"/>
    </row>
    <row r="312" ht="13.2" customHeight="1" s="405">
      <c r="C312" s="218" t="n"/>
      <c r="D312" s="218" t="n"/>
    </row>
    <row r="313" ht="13.2" customHeight="1" s="405">
      <c r="C313" s="218" t="n"/>
      <c r="D313" s="218" t="n"/>
    </row>
    <row r="314" ht="13.2" customHeight="1" s="405">
      <c r="C314" s="218" t="n"/>
      <c r="D314" s="218" t="n"/>
    </row>
    <row r="315" ht="13.2" customHeight="1" s="405">
      <c r="C315" s="218" t="n"/>
      <c r="D315" s="218" t="n"/>
    </row>
    <row r="316" ht="13.2" customHeight="1" s="405">
      <c r="C316" s="218" t="n"/>
      <c r="D316" s="218" t="n"/>
    </row>
    <row r="317" ht="13.2" customHeight="1" s="405">
      <c r="C317" s="218" t="n"/>
      <c r="D317" s="218" t="n"/>
    </row>
    <row r="318" ht="13.2" customHeight="1" s="405">
      <c r="C318" s="218" t="n"/>
      <c r="D318" s="218" t="n"/>
    </row>
    <row r="319" ht="13.2" customHeight="1" s="405">
      <c r="C319" s="218" t="n"/>
      <c r="D319" s="218" t="n"/>
    </row>
    <row r="320" ht="13.2" customHeight="1" s="405">
      <c r="C320" s="218" t="n"/>
      <c r="D320" s="218" t="n"/>
    </row>
    <row r="321" ht="13.2" customHeight="1" s="405">
      <c r="C321" s="218" t="n"/>
      <c r="D321" s="218" t="n"/>
    </row>
    <row r="322" ht="13.2" customHeight="1" s="405">
      <c r="C322" s="218" t="n"/>
      <c r="D322" s="218" t="n"/>
    </row>
    <row r="323" ht="13.2" customHeight="1" s="405">
      <c r="C323" s="218" t="n"/>
      <c r="D323" s="218" t="n"/>
    </row>
    <row r="324" ht="13.2" customHeight="1" s="405">
      <c r="C324" s="218" t="n"/>
      <c r="D324" s="218" t="n"/>
    </row>
    <row r="325" ht="13.2" customHeight="1" s="405">
      <c r="C325" s="218" t="n"/>
      <c r="D325" s="218" t="n"/>
    </row>
    <row r="326" ht="13.2" customHeight="1" s="405">
      <c r="C326" s="218" t="n"/>
      <c r="D326" s="218" t="n"/>
    </row>
    <row r="327" ht="13.2" customHeight="1" s="405">
      <c r="C327" s="218" t="n"/>
      <c r="D327" s="218" t="n"/>
    </row>
    <row r="328" ht="13.2" customHeight="1" s="405">
      <c r="C328" s="218" t="n"/>
      <c r="D328" s="218" t="n"/>
    </row>
    <row r="329" ht="13.2" customHeight="1" s="405">
      <c r="C329" s="218" t="n"/>
      <c r="D329" s="218" t="n"/>
    </row>
    <row r="330" ht="13.2" customHeight="1" s="405">
      <c r="C330" s="218" t="n"/>
      <c r="D330" s="218" t="n"/>
    </row>
    <row r="331" ht="13.2" customHeight="1" s="405">
      <c r="C331" s="218" t="n"/>
      <c r="D331" s="218" t="n"/>
    </row>
    <row r="332" ht="13.2" customHeight="1" s="405">
      <c r="C332" s="218" t="n"/>
      <c r="D332" s="218" t="n"/>
    </row>
    <row r="333" ht="13.2" customHeight="1" s="405">
      <c r="C333" s="218" t="n"/>
      <c r="D333" s="218" t="n"/>
    </row>
    <row r="334" ht="13.2" customHeight="1" s="405">
      <c r="C334" s="218" t="n"/>
      <c r="D334" s="218" t="n"/>
    </row>
    <row r="335" ht="13.2" customHeight="1" s="405">
      <c r="C335" s="218" t="n"/>
      <c r="D335" s="218" t="n"/>
    </row>
    <row r="336" ht="13.2" customHeight="1" s="405">
      <c r="C336" s="218" t="n"/>
      <c r="D336" s="218" t="n"/>
    </row>
    <row r="337" ht="13.2" customHeight="1" s="405">
      <c r="C337" s="218" t="n"/>
      <c r="D337" s="218" t="n"/>
    </row>
    <row r="338" ht="13.2" customHeight="1" s="405">
      <c r="C338" s="218" t="n"/>
      <c r="D338" s="218" t="n"/>
    </row>
    <row r="339" ht="13.2" customHeight="1" s="405">
      <c r="C339" s="218" t="n"/>
      <c r="D339" s="218" t="n"/>
    </row>
    <row r="340" ht="13.2" customHeight="1" s="405">
      <c r="C340" s="218" t="n"/>
      <c r="D340" s="218" t="n"/>
    </row>
    <row r="341" ht="13.2" customHeight="1" s="405">
      <c r="C341" s="218" t="n"/>
      <c r="D341" s="218" t="n"/>
    </row>
    <row r="342" ht="13.2" customHeight="1" s="405">
      <c r="C342" s="218" t="n"/>
      <c r="D342" s="218" t="n"/>
    </row>
    <row r="343" ht="13.2" customHeight="1" s="405">
      <c r="C343" s="218" t="n"/>
      <c r="D343" s="218" t="n"/>
    </row>
    <row r="344" ht="13.2" customHeight="1" s="405">
      <c r="C344" s="218" t="n"/>
      <c r="D344" s="218" t="n"/>
    </row>
    <row r="345" ht="13.2" customHeight="1" s="405">
      <c r="C345" s="218" t="n"/>
      <c r="D345" s="218" t="n"/>
    </row>
    <row r="346" ht="13.2" customHeight="1" s="405">
      <c r="C346" s="218" t="n"/>
      <c r="D346" s="218" t="n"/>
    </row>
    <row r="347" ht="13.2" customHeight="1" s="405">
      <c r="C347" s="218" t="n"/>
      <c r="D347" s="218" t="n"/>
    </row>
    <row r="348" ht="13.2" customHeight="1" s="405">
      <c r="C348" s="218" t="n"/>
      <c r="D348" s="218" t="n"/>
    </row>
    <row r="349" ht="13.2" customHeight="1" s="405">
      <c r="C349" s="218" t="n"/>
      <c r="D349" s="218" t="n"/>
    </row>
    <row r="350" ht="13.2" customHeight="1" s="405">
      <c r="C350" s="218" t="n"/>
      <c r="D350" s="218" t="n"/>
    </row>
    <row r="351" ht="13.2" customHeight="1" s="405">
      <c r="C351" s="218" t="n"/>
      <c r="D351" s="218" t="n"/>
    </row>
    <row r="352" ht="13.2" customHeight="1" s="405">
      <c r="C352" s="218" t="n"/>
      <c r="D352" s="218" t="n"/>
    </row>
    <row r="353" ht="13.2" customHeight="1" s="405">
      <c r="C353" s="218" t="n"/>
      <c r="D353" s="218" t="n"/>
    </row>
    <row r="354" ht="13.2" customHeight="1" s="405">
      <c r="C354" s="218" t="n"/>
      <c r="D354" s="218" t="n"/>
    </row>
    <row r="355" ht="13.2" customHeight="1" s="405">
      <c r="C355" s="218" t="n"/>
      <c r="D355" s="218" t="n"/>
    </row>
    <row r="356" ht="13.2" customHeight="1" s="405">
      <c r="C356" s="218" t="n"/>
      <c r="D356" s="218" t="n"/>
    </row>
    <row r="357" ht="13.2" customHeight="1" s="405">
      <c r="C357" s="218" t="n"/>
      <c r="D357" s="218" t="n"/>
    </row>
    <row r="358" ht="13.2" customHeight="1" s="405">
      <c r="C358" s="218" t="n"/>
      <c r="D358" s="218" t="n"/>
    </row>
    <row r="359" ht="13.2" customHeight="1" s="405">
      <c r="C359" s="218" t="n"/>
      <c r="D359" s="218" t="n"/>
    </row>
    <row r="360" ht="13.2" customHeight="1" s="405">
      <c r="C360" s="218" t="n"/>
      <c r="D360" s="218" t="n"/>
    </row>
    <row r="361" ht="13.2" customHeight="1" s="405">
      <c r="C361" s="218" t="n"/>
      <c r="D361" s="218" t="n"/>
    </row>
    <row r="362" ht="13.2" customHeight="1" s="405">
      <c r="C362" s="218" t="n"/>
      <c r="D362" s="218" t="n"/>
    </row>
    <row r="363" ht="13.2" customHeight="1" s="405">
      <c r="C363" s="218" t="n"/>
      <c r="D363" s="218" t="n"/>
    </row>
    <row r="364" ht="13.2" customHeight="1" s="405">
      <c r="C364" s="218" t="n"/>
      <c r="D364" s="218" t="n"/>
    </row>
    <row r="365" ht="13.2" customHeight="1" s="405">
      <c r="C365" s="218" t="n"/>
      <c r="D365" s="218" t="n"/>
    </row>
    <row r="366" ht="13.2" customHeight="1" s="405">
      <c r="C366" s="218" t="n"/>
      <c r="D366" s="218" t="n"/>
    </row>
    <row r="367" ht="13.2" customHeight="1" s="405">
      <c r="C367" s="218" t="n"/>
      <c r="D367" s="218" t="n"/>
    </row>
    <row r="368" ht="13.2" customHeight="1" s="405">
      <c r="C368" s="218" t="n"/>
      <c r="D368" s="218" t="n"/>
    </row>
    <row r="369" ht="13.2" customHeight="1" s="405">
      <c r="C369" s="218" t="n"/>
      <c r="D369" s="218" t="n"/>
    </row>
    <row r="370" ht="13.2" customHeight="1" s="405">
      <c r="C370" s="218" t="n"/>
      <c r="D370" s="218" t="n"/>
    </row>
    <row r="371" ht="13.2" customHeight="1" s="405">
      <c r="C371" s="218" t="n"/>
      <c r="D371" s="218" t="n"/>
    </row>
    <row r="372" ht="13.2" customHeight="1" s="405">
      <c r="C372" s="218" t="n"/>
      <c r="D372" s="218" t="n"/>
    </row>
    <row r="373" ht="13.2" customHeight="1" s="405">
      <c r="C373" s="218" t="n"/>
      <c r="D373" s="218" t="n"/>
    </row>
    <row r="374" ht="13.2" customHeight="1" s="405">
      <c r="C374" s="218" t="n"/>
      <c r="D374" s="218" t="n"/>
    </row>
    <row r="375" ht="13.2" customHeight="1" s="405">
      <c r="C375" s="218" t="n"/>
      <c r="D375" s="218" t="n"/>
    </row>
    <row r="376" ht="13.2" customHeight="1" s="405">
      <c r="C376" s="218" t="n"/>
      <c r="D376" s="218" t="n"/>
    </row>
    <row r="377" ht="13.2" customHeight="1" s="405">
      <c r="C377" s="218" t="n"/>
      <c r="D377" s="218" t="n"/>
    </row>
    <row r="378" ht="13.2" customHeight="1" s="405">
      <c r="C378" s="218" t="n"/>
      <c r="D378" s="218" t="n"/>
    </row>
    <row r="379" ht="13.2" customHeight="1" s="405">
      <c r="C379" s="218" t="n"/>
      <c r="D379" s="218" t="n"/>
    </row>
    <row r="380" ht="13.2" customHeight="1" s="405">
      <c r="C380" s="218" t="n"/>
      <c r="D380" s="218" t="n"/>
    </row>
    <row r="381" ht="13.2" customHeight="1" s="405">
      <c r="C381" s="218" t="n"/>
      <c r="D381" s="218" t="n"/>
    </row>
    <row r="382" ht="13.2" customHeight="1" s="405">
      <c r="C382" s="218" t="n"/>
      <c r="D382" s="218" t="n"/>
    </row>
    <row r="383" ht="13.2" customHeight="1" s="405">
      <c r="C383" s="218" t="n"/>
      <c r="D383" s="218" t="n"/>
    </row>
    <row r="384" ht="13.2" customHeight="1" s="405">
      <c r="C384" s="218" t="n"/>
      <c r="D384" s="218" t="n"/>
    </row>
    <row r="385" ht="13.2" customHeight="1" s="405">
      <c r="C385" s="218" t="n"/>
      <c r="D385" s="218" t="n"/>
    </row>
    <row r="386" ht="13.2" customHeight="1" s="405">
      <c r="C386" s="218" t="n"/>
      <c r="D386" s="218" t="n"/>
    </row>
    <row r="387" ht="13.2" customHeight="1" s="405">
      <c r="C387" s="218" t="n"/>
      <c r="D387" s="218" t="n"/>
    </row>
    <row r="388" ht="13.2" customHeight="1" s="405">
      <c r="C388" s="218" t="n"/>
      <c r="D388" s="218" t="n"/>
    </row>
    <row r="389" ht="13.2" customHeight="1" s="405">
      <c r="C389" s="218" t="n"/>
      <c r="D389" s="218" t="n"/>
    </row>
    <row r="390" ht="13.2" customHeight="1" s="405">
      <c r="C390" s="218" t="n"/>
      <c r="D390" s="218" t="n"/>
    </row>
    <row r="391" ht="13.2" customHeight="1" s="405">
      <c r="C391" s="218" t="n"/>
      <c r="D391" s="218" t="n"/>
    </row>
    <row r="392" ht="13.2" customHeight="1" s="405">
      <c r="C392" s="218" t="n"/>
      <c r="D392" s="218" t="n"/>
    </row>
    <row r="393" ht="13.2" customHeight="1" s="405">
      <c r="C393" s="218" t="n"/>
      <c r="D393" s="218" t="n"/>
    </row>
    <row r="394" ht="13.2" customHeight="1" s="405">
      <c r="C394" s="218" t="n"/>
      <c r="D394" s="218" t="n"/>
    </row>
    <row r="395" ht="13.2" customHeight="1" s="405">
      <c r="C395" s="218" t="n"/>
      <c r="D395" s="218" t="n"/>
    </row>
    <row r="396" ht="13.2" customHeight="1" s="405">
      <c r="C396" s="218" t="n"/>
      <c r="D396" s="218" t="n"/>
    </row>
    <row r="397" ht="13.2" customHeight="1" s="405">
      <c r="C397" s="218" t="n"/>
      <c r="D397" s="218" t="n"/>
    </row>
    <row r="398" ht="13.2" customHeight="1" s="405">
      <c r="C398" s="218" t="n"/>
      <c r="D398" s="218" t="n"/>
    </row>
    <row r="399" ht="13.2" customHeight="1" s="405">
      <c r="C399" s="218" t="n"/>
      <c r="D399" s="218" t="n"/>
    </row>
    <row r="400" ht="13.2" customHeight="1" s="405">
      <c r="C400" s="218" t="n"/>
      <c r="D400" s="218" t="n"/>
    </row>
    <row r="401" ht="13.2" customHeight="1" s="405">
      <c r="C401" s="218" t="n"/>
      <c r="D401" s="218" t="n"/>
    </row>
    <row r="402" ht="13.2" customHeight="1" s="405">
      <c r="C402" s="218" t="n"/>
      <c r="D402" s="218" t="n"/>
    </row>
    <row r="403" ht="13.2" customHeight="1" s="405">
      <c r="C403" s="218" t="n"/>
      <c r="D403" s="218" t="n"/>
    </row>
    <row r="404" ht="13.2" customHeight="1" s="405">
      <c r="C404" s="218" t="n"/>
      <c r="D404" s="218" t="n"/>
    </row>
    <row r="405" ht="13.2" customHeight="1" s="405">
      <c r="C405" s="218" t="n"/>
      <c r="D405" s="218" t="n"/>
    </row>
    <row r="406" ht="13.2" customHeight="1" s="405">
      <c r="C406" s="218" t="n"/>
      <c r="D406" s="218" t="n"/>
    </row>
    <row r="407" ht="13.2" customHeight="1" s="405">
      <c r="C407" s="218" t="n"/>
      <c r="D407" s="218" t="n"/>
    </row>
    <row r="408" ht="13.2" customHeight="1" s="405">
      <c r="C408" s="218" t="n"/>
      <c r="D408" s="218" t="n"/>
    </row>
    <row r="409" ht="13.2" customHeight="1" s="405">
      <c r="C409" s="218" t="n"/>
      <c r="D409" s="218" t="n"/>
    </row>
    <row r="410" ht="13.2" customHeight="1" s="405">
      <c r="C410" s="218" t="n"/>
      <c r="D410" s="218" t="n"/>
    </row>
    <row r="411" ht="13.2" customHeight="1" s="405">
      <c r="C411" s="218" t="n"/>
      <c r="D411" s="218" t="n"/>
    </row>
    <row r="412" ht="13.2" customHeight="1" s="405">
      <c r="C412" s="218" t="n"/>
      <c r="D412" s="218" t="n"/>
    </row>
    <row r="413" ht="13.2" customHeight="1" s="405">
      <c r="C413" s="218" t="n"/>
      <c r="D413" s="218" t="n"/>
    </row>
    <row r="414" ht="13.2" customHeight="1" s="405">
      <c r="C414" s="218" t="n"/>
      <c r="D414" s="218" t="n"/>
    </row>
    <row r="415" ht="13.2" customHeight="1" s="405">
      <c r="C415" s="218" t="n"/>
      <c r="D415" s="218" t="n"/>
    </row>
    <row r="416" ht="13.2" customHeight="1" s="405">
      <c r="C416" s="218" t="n"/>
      <c r="D416" s="218" t="n"/>
    </row>
    <row r="417" ht="13.2" customHeight="1" s="405">
      <c r="C417" s="218" t="n"/>
      <c r="D417" s="218" t="n"/>
    </row>
    <row r="418" ht="13.2" customHeight="1" s="405">
      <c r="C418" s="218" t="n"/>
      <c r="D418" s="218" t="n"/>
    </row>
    <row r="419" ht="13.2" customHeight="1" s="405">
      <c r="C419" s="218" t="n"/>
      <c r="D419" s="218" t="n"/>
    </row>
    <row r="420" ht="13.2" customHeight="1" s="405">
      <c r="C420" s="218" t="n"/>
      <c r="D420" s="218" t="n"/>
    </row>
    <row r="421" ht="13.2" customHeight="1" s="405">
      <c r="C421" s="218" t="n"/>
      <c r="D421" s="218" t="n"/>
    </row>
    <row r="422" ht="13.2" customHeight="1" s="405">
      <c r="C422" s="218" t="n"/>
      <c r="D422" s="218" t="n"/>
    </row>
    <row r="423" ht="13.2" customHeight="1" s="405">
      <c r="C423" s="218" t="n"/>
      <c r="D423" s="218" t="n"/>
    </row>
    <row r="424" ht="13.2" customHeight="1" s="405">
      <c r="C424" s="218" t="n"/>
      <c r="D424" s="218" t="n"/>
    </row>
    <row r="425" ht="13.2" customHeight="1" s="405">
      <c r="C425" s="218" t="n"/>
      <c r="D425" s="218" t="n"/>
    </row>
    <row r="426" ht="13.2" customHeight="1" s="405">
      <c r="C426" s="218" t="n"/>
      <c r="D426" s="218" t="n"/>
    </row>
    <row r="427" ht="13.2" customHeight="1" s="405">
      <c r="C427" s="218" t="n"/>
      <c r="D427" s="218" t="n"/>
    </row>
    <row r="428" ht="13.2" customHeight="1" s="405">
      <c r="C428" s="218" t="n"/>
      <c r="D428" s="218" t="n"/>
    </row>
    <row r="429" ht="13.2" customHeight="1" s="405">
      <c r="C429" s="218" t="n"/>
      <c r="D429" s="218" t="n"/>
    </row>
    <row r="430" ht="13.2" customHeight="1" s="405">
      <c r="C430" s="218" t="n"/>
      <c r="D430" s="218" t="n"/>
    </row>
    <row r="431" ht="13.2" customHeight="1" s="405">
      <c r="C431" s="218" t="n"/>
      <c r="D431" s="218" t="n"/>
    </row>
    <row r="432" ht="13.2" customHeight="1" s="405">
      <c r="C432" s="218" t="n"/>
      <c r="D432" s="218" t="n"/>
    </row>
    <row r="433" ht="13.2" customHeight="1" s="405">
      <c r="C433" s="218" t="n"/>
      <c r="D433" s="218" t="n"/>
    </row>
    <row r="434" ht="13.2" customHeight="1" s="405">
      <c r="C434" s="218" t="n"/>
      <c r="D434" s="218" t="n"/>
    </row>
    <row r="435" ht="13.2" customHeight="1" s="405">
      <c r="C435" s="218" t="n"/>
      <c r="D435" s="218" t="n"/>
    </row>
    <row r="436" ht="13.2" customHeight="1" s="405">
      <c r="C436" s="218" t="n"/>
      <c r="D436" s="218" t="n"/>
    </row>
    <row r="437" ht="13.2" customHeight="1" s="405">
      <c r="C437" s="218" t="n"/>
      <c r="D437" s="218" t="n"/>
    </row>
    <row r="438" ht="13.2" customHeight="1" s="405">
      <c r="C438" s="218" t="n"/>
      <c r="D438" s="218" t="n"/>
    </row>
    <row r="439" ht="13.2" customHeight="1" s="405">
      <c r="C439" s="218" t="n"/>
      <c r="D439" s="218" t="n"/>
    </row>
    <row r="440" ht="13.2" customHeight="1" s="405">
      <c r="C440" s="218" t="n"/>
      <c r="D440" s="218" t="n"/>
    </row>
    <row r="441" ht="13.2" customHeight="1" s="405">
      <c r="C441" s="218" t="n"/>
      <c r="D441" s="218" t="n"/>
    </row>
    <row r="442" ht="13.2" customHeight="1" s="405">
      <c r="C442" s="218" t="n"/>
      <c r="D442" s="218" t="n"/>
    </row>
    <row r="443" ht="13.2" customHeight="1" s="405">
      <c r="C443" s="218" t="n"/>
      <c r="D443" s="218" t="n"/>
    </row>
    <row r="444" ht="13.2" customHeight="1" s="405">
      <c r="C444" s="218" t="n"/>
      <c r="D444" s="218" t="n"/>
    </row>
    <row r="445" ht="13.2" customHeight="1" s="405">
      <c r="C445" s="218" t="n"/>
      <c r="D445" s="218" t="n"/>
    </row>
    <row r="446" ht="13.2" customHeight="1" s="405">
      <c r="C446" s="218" t="n"/>
      <c r="D446" s="218" t="n"/>
    </row>
    <row r="447" ht="13.2" customHeight="1" s="405">
      <c r="C447" s="218" t="n"/>
      <c r="D447" s="218" t="n"/>
    </row>
    <row r="448" ht="13.2" customHeight="1" s="405">
      <c r="C448" s="218" t="n"/>
      <c r="D448" s="218" t="n"/>
    </row>
    <row r="449" ht="13.2" customHeight="1" s="405">
      <c r="C449" s="218" t="n"/>
      <c r="D449" s="218" t="n"/>
    </row>
    <row r="450" ht="13.2" customHeight="1" s="405">
      <c r="C450" s="218" t="n"/>
      <c r="D450" s="218" t="n"/>
    </row>
    <row r="451" ht="13.2" customHeight="1" s="405">
      <c r="C451" s="218" t="n"/>
      <c r="D451" s="218" t="n"/>
    </row>
    <row r="452" ht="13.2" customHeight="1" s="405">
      <c r="C452" s="218" t="n"/>
      <c r="D452" s="218" t="n"/>
    </row>
    <row r="453" ht="13.2" customHeight="1" s="405">
      <c r="C453" s="218" t="n"/>
      <c r="D453" s="218" t="n"/>
    </row>
    <row r="454" ht="13.2" customHeight="1" s="405">
      <c r="C454" s="218" t="n"/>
      <c r="D454" s="218" t="n"/>
    </row>
    <row r="455" ht="13.2" customHeight="1" s="405">
      <c r="C455" s="218" t="n"/>
      <c r="D455" s="218" t="n"/>
    </row>
    <row r="456" ht="13.2" customHeight="1" s="405">
      <c r="C456" s="218" t="n"/>
      <c r="D456" s="218" t="n"/>
    </row>
    <row r="457" ht="13.2" customHeight="1" s="405">
      <c r="C457" s="218" t="n"/>
      <c r="D457" s="218" t="n"/>
    </row>
    <row r="458" ht="13.2" customHeight="1" s="405">
      <c r="C458" s="218" t="n"/>
      <c r="D458" s="218" t="n"/>
    </row>
    <row r="459" ht="13.2" customHeight="1" s="405">
      <c r="C459" s="218" t="n"/>
      <c r="D459" s="218" t="n"/>
    </row>
    <row r="460" ht="13.2" customHeight="1" s="405">
      <c r="C460" s="218" t="n"/>
      <c r="D460" s="218" t="n"/>
    </row>
    <row r="461" ht="13.2" customHeight="1" s="405">
      <c r="C461" s="218" t="n"/>
      <c r="D461" s="218" t="n"/>
    </row>
    <row r="462" ht="13.2" customHeight="1" s="405">
      <c r="C462" s="218" t="n"/>
      <c r="D462" s="218" t="n"/>
    </row>
    <row r="463" ht="13.2" customHeight="1" s="405">
      <c r="C463" s="218" t="n"/>
      <c r="D463" s="218" t="n"/>
    </row>
    <row r="464" ht="13.2" customHeight="1" s="405">
      <c r="C464" s="218" t="n"/>
      <c r="D464" s="218" t="n"/>
    </row>
    <row r="465" ht="13.2" customHeight="1" s="405">
      <c r="C465" s="218" t="n"/>
      <c r="D465" s="218" t="n"/>
    </row>
    <row r="466" ht="13.2" customHeight="1" s="405">
      <c r="C466" s="218" t="n"/>
      <c r="D466" s="218" t="n"/>
    </row>
    <row r="467" ht="13.2" customHeight="1" s="405">
      <c r="C467" s="218" t="n"/>
      <c r="D467" s="218" t="n"/>
    </row>
    <row r="468" ht="13.2" customHeight="1" s="405">
      <c r="C468" s="218" t="n"/>
      <c r="D468" s="218" t="n"/>
    </row>
    <row r="469" ht="13.2" customHeight="1" s="405">
      <c r="C469" s="218" t="n"/>
      <c r="D469" s="218" t="n"/>
    </row>
    <row r="470" ht="13.2" customHeight="1" s="405">
      <c r="C470" s="218" t="n"/>
      <c r="D470" s="218" t="n"/>
    </row>
    <row r="471" ht="13.2" customHeight="1" s="405">
      <c r="C471" s="218" t="n"/>
      <c r="D471" s="218" t="n"/>
    </row>
    <row r="472" ht="13.2" customHeight="1" s="405">
      <c r="C472" s="218" t="n"/>
      <c r="D472" s="218" t="n"/>
    </row>
    <row r="473" ht="13.2" customHeight="1" s="405">
      <c r="C473" s="218" t="n"/>
      <c r="D473" s="218" t="n"/>
    </row>
    <row r="474" ht="13.2" customHeight="1" s="405">
      <c r="C474" s="218" t="n"/>
      <c r="D474" s="218" t="n"/>
    </row>
    <row r="475" ht="13.2" customHeight="1" s="405">
      <c r="C475" s="218" t="n"/>
      <c r="D475" s="218" t="n"/>
    </row>
    <row r="476" ht="13.2" customHeight="1" s="405">
      <c r="C476" s="218" t="n"/>
      <c r="D476" s="218" t="n"/>
    </row>
    <row r="477" ht="13.2" customHeight="1" s="405">
      <c r="C477" s="218" t="n"/>
      <c r="D477" s="218" t="n"/>
    </row>
    <row r="478" ht="13.2" customHeight="1" s="405">
      <c r="C478" s="218" t="n"/>
      <c r="D478" s="218" t="n"/>
    </row>
    <row r="479" ht="13.2" customHeight="1" s="405">
      <c r="C479" s="218" t="n"/>
      <c r="D479" s="218" t="n"/>
    </row>
    <row r="480" ht="13.2" customHeight="1" s="405">
      <c r="C480" s="218" t="n"/>
      <c r="D480" s="218" t="n"/>
    </row>
    <row r="481" ht="13.2" customHeight="1" s="405">
      <c r="C481" s="218" t="n"/>
      <c r="D481" s="218" t="n"/>
    </row>
    <row r="482" ht="13.2" customHeight="1" s="405">
      <c r="C482" s="218" t="n"/>
      <c r="D482" s="218" t="n"/>
    </row>
    <row r="483" ht="13.2" customHeight="1" s="405">
      <c r="C483" s="218" t="n"/>
      <c r="D483" s="218" t="n"/>
    </row>
    <row r="484" ht="13.2" customHeight="1" s="405">
      <c r="C484" s="218" t="n"/>
      <c r="D484" s="218" t="n"/>
    </row>
    <row r="485" ht="13.2" customHeight="1" s="405">
      <c r="C485" s="218" t="n"/>
      <c r="D485" s="218" t="n"/>
    </row>
    <row r="486" ht="13.2" customHeight="1" s="405">
      <c r="C486" s="218" t="n"/>
      <c r="D486" s="218" t="n"/>
    </row>
    <row r="487" ht="13.2" customHeight="1" s="405">
      <c r="C487" s="218" t="n"/>
      <c r="D487" s="218" t="n"/>
    </row>
    <row r="488" ht="13.2" customHeight="1" s="405">
      <c r="C488" s="218" t="n"/>
      <c r="D488" s="218" t="n"/>
    </row>
    <row r="489" ht="13.2" customHeight="1" s="405">
      <c r="C489" s="218" t="n"/>
      <c r="D489" s="218" t="n"/>
    </row>
    <row r="490" ht="13.2" customHeight="1" s="405">
      <c r="C490" s="218" t="n"/>
      <c r="D490" s="218" t="n"/>
    </row>
    <row r="491" ht="13.2" customHeight="1" s="405">
      <c r="C491" s="218" t="n"/>
      <c r="D491" s="218" t="n"/>
    </row>
    <row r="492" ht="13.2" customHeight="1" s="405">
      <c r="C492" s="218" t="n"/>
      <c r="D492" s="218" t="n"/>
    </row>
    <row r="493" ht="13.2" customHeight="1" s="405">
      <c r="C493" s="218" t="n"/>
      <c r="D493" s="218" t="n"/>
    </row>
    <row r="494" ht="13.2" customHeight="1" s="405">
      <c r="C494" s="218" t="n"/>
      <c r="D494" s="218" t="n"/>
    </row>
    <row r="495" ht="13.2" customHeight="1" s="405">
      <c r="C495" s="218" t="n"/>
      <c r="D495" s="218" t="n"/>
    </row>
    <row r="496" ht="13.2" customHeight="1" s="405">
      <c r="C496" s="218" t="n"/>
      <c r="D496" s="218" t="n"/>
    </row>
    <row r="497" ht="13.2" customHeight="1" s="405">
      <c r="C497" s="218" t="n"/>
      <c r="D497" s="218" t="n"/>
    </row>
    <row r="498" ht="13.2" customHeight="1" s="405">
      <c r="C498" s="218" t="n"/>
      <c r="D498" s="218" t="n"/>
    </row>
    <row r="499" ht="13.2" customHeight="1" s="405">
      <c r="C499" s="218" t="n"/>
      <c r="D499" s="218" t="n"/>
    </row>
    <row r="500" ht="13.2" customHeight="1" s="405">
      <c r="C500" s="218" t="n"/>
      <c r="D500" s="218" t="n"/>
    </row>
    <row r="501" ht="13.2" customHeight="1" s="405">
      <c r="C501" s="218" t="n"/>
      <c r="D501" s="218" t="n"/>
    </row>
    <row r="502" ht="13.2" customHeight="1" s="405">
      <c r="C502" s="218" t="n"/>
      <c r="D502" s="218" t="n"/>
    </row>
    <row r="503" ht="13.2" customHeight="1" s="405">
      <c r="C503" s="218" t="n"/>
      <c r="D503" s="218" t="n"/>
    </row>
    <row r="504" ht="13.2" customHeight="1" s="405">
      <c r="C504" s="218" t="n"/>
      <c r="D504" s="218" t="n"/>
    </row>
    <row r="505" ht="13.2" customHeight="1" s="405">
      <c r="C505" s="218" t="n"/>
      <c r="D505" s="218" t="n"/>
    </row>
    <row r="506" ht="13.2" customHeight="1" s="405">
      <c r="C506" s="218" t="n"/>
      <c r="D506" s="218" t="n"/>
    </row>
    <row r="507" ht="13.2" customHeight="1" s="405">
      <c r="C507" s="218" t="n"/>
      <c r="D507" s="218" t="n"/>
    </row>
    <row r="508" ht="13.2" customHeight="1" s="405">
      <c r="C508" s="218" t="n"/>
      <c r="D508" s="218" t="n"/>
    </row>
    <row r="509" ht="13.2" customHeight="1" s="405">
      <c r="C509" s="218" t="n"/>
      <c r="D509" s="218" t="n"/>
    </row>
    <row r="510" ht="13.2" customHeight="1" s="405">
      <c r="C510" s="218" t="n"/>
      <c r="D510" s="218" t="n"/>
    </row>
    <row r="511" ht="13.2" customHeight="1" s="405">
      <c r="C511" s="218" t="n"/>
      <c r="D511" s="218" t="n"/>
    </row>
    <row r="512" ht="13.2" customHeight="1" s="405">
      <c r="C512" s="218" t="n"/>
      <c r="D512" s="218" t="n"/>
    </row>
    <row r="513" ht="13.2" customHeight="1" s="405">
      <c r="C513" s="218" t="n"/>
      <c r="D513" s="218" t="n"/>
    </row>
    <row r="514" ht="13.2" customHeight="1" s="405">
      <c r="C514" s="218" t="n"/>
      <c r="D514" s="218" t="n"/>
    </row>
    <row r="515" ht="13.2" customHeight="1" s="405">
      <c r="C515" s="218" t="n"/>
      <c r="D515" s="218" t="n"/>
    </row>
    <row r="516" ht="13.2" customHeight="1" s="405">
      <c r="C516" s="218" t="n"/>
      <c r="D516" s="218" t="n"/>
    </row>
    <row r="517" ht="13.2" customHeight="1" s="405">
      <c r="C517" s="218" t="n"/>
      <c r="D517" s="218" t="n"/>
    </row>
    <row r="518" ht="13.2" customHeight="1" s="405">
      <c r="C518" s="218" t="n"/>
      <c r="D518" s="218" t="n"/>
    </row>
    <row r="519" ht="13.2" customHeight="1" s="405">
      <c r="C519" s="218" t="n"/>
      <c r="D519" s="218" t="n"/>
    </row>
    <row r="520" ht="13.2" customHeight="1" s="405">
      <c r="C520" s="218" t="n"/>
      <c r="D520" s="218" t="n"/>
    </row>
    <row r="521" ht="13.2" customHeight="1" s="405">
      <c r="C521" s="218" t="n"/>
      <c r="D521" s="218" t="n"/>
    </row>
    <row r="522" ht="13.2" customHeight="1" s="405">
      <c r="C522" s="218" t="n"/>
      <c r="D522" s="218" t="n"/>
    </row>
    <row r="523" ht="13.2" customHeight="1" s="405">
      <c r="C523" s="218" t="n"/>
      <c r="D523" s="218" t="n"/>
    </row>
    <row r="524" ht="13.2" customHeight="1" s="405">
      <c r="C524" s="218" t="n"/>
      <c r="D524" s="218" t="n"/>
    </row>
    <row r="525" ht="13.2" customHeight="1" s="405">
      <c r="C525" s="218" t="n"/>
      <c r="D525" s="218" t="n"/>
    </row>
    <row r="526" ht="13.2" customHeight="1" s="405">
      <c r="C526" s="218" t="n"/>
      <c r="D526" s="218" t="n"/>
    </row>
    <row r="527" ht="13.2" customHeight="1" s="405">
      <c r="C527" s="218" t="n"/>
      <c r="D527" s="218" t="n"/>
    </row>
    <row r="528" ht="13.2" customHeight="1" s="405">
      <c r="C528" s="218" t="n"/>
      <c r="D528" s="218" t="n"/>
    </row>
    <row r="529" ht="13.2" customHeight="1" s="405">
      <c r="C529" s="218" t="n"/>
      <c r="D529" s="218" t="n"/>
    </row>
    <row r="530" ht="13.2" customHeight="1" s="405">
      <c r="C530" s="218" t="n"/>
      <c r="D530" s="218" t="n"/>
    </row>
    <row r="531" ht="13.2" customHeight="1" s="405">
      <c r="C531" s="218" t="n"/>
      <c r="D531" s="218" t="n"/>
    </row>
    <row r="532" ht="13.2" customHeight="1" s="405">
      <c r="C532" s="218" t="n"/>
      <c r="D532" s="218" t="n"/>
    </row>
    <row r="533" ht="13.2" customHeight="1" s="405">
      <c r="C533" s="218" t="n"/>
      <c r="D533" s="218" t="n"/>
    </row>
    <row r="534" ht="13.2" customHeight="1" s="405">
      <c r="C534" s="218" t="n"/>
      <c r="D534" s="218" t="n"/>
    </row>
    <row r="535" ht="13.2" customHeight="1" s="405">
      <c r="C535" s="218" t="n"/>
      <c r="D535" s="218" t="n"/>
    </row>
    <row r="536" ht="13.2" customHeight="1" s="405">
      <c r="C536" s="218" t="n"/>
      <c r="D536" s="218" t="n"/>
    </row>
    <row r="537" ht="13.2" customHeight="1" s="405">
      <c r="C537" s="218" t="n"/>
      <c r="D537" s="218" t="n"/>
    </row>
    <row r="538" ht="13.2" customHeight="1" s="405">
      <c r="C538" s="218" t="n"/>
      <c r="D538" s="218" t="n"/>
    </row>
    <row r="539" ht="13.2" customHeight="1" s="405">
      <c r="C539" s="218" t="n"/>
      <c r="D539" s="218" t="n"/>
    </row>
    <row r="540" ht="13.2" customHeight="1" s="405">
      <c r="C540" s="218" t="n"/>
      <c r="D540" s="218" t="n"/>
    </row>
    <row r="541" ht="13.2" customHeight="1" s="405">
      <c r="C541" s="218" t="n"/>
      <c r="D541" s="218" t="n"/>
    </row>
    <row r="542" ht="13.2" customHeight="1" s="405">
      <c r="C542" s="218" t="n"/>
      <c r="D542" s="218" t="n"/>
    </row>
    <row r="543" ht="13.2" customHeight="1" s="405">
      <c r="C543" s="218" t="n"/>
      <c r="D543" s="218" t="n"/>
    </row>
    <row r="544" ht="13.2" customHeight="1" s="405">
      <c r="C544" s="218" t="n"/>
      <c r="D544" s="218" t="n"/>
    </row>
    <row r="545" ht="13.2" customHeight="1" s="405">
      <c r="C545" s="218" t="n"/>
      <c r="D545" s="218" t="n"/>
    </row>
    <row r="546" ht="13.2" customHeight="1" s="405">
      <c r="C546" s="218" t="n"/>
      <c r="D546" s="218" t="n"/>
    </row>
    <row r="547" ht="13.2" customHeight="1" s="405">
      <c r="C547" s="218" t="n"/>
      <c r="D547" s="218" t="n"/>
    </row>
    <row r="548" ht="13.2" customHeight="1" s="405">
      <c r="C548" s="218" t="n"/>
      <c r="D548" s="218" t="n"/>
    </row>
    <row r="549" ht="13.2" customHeight="1" s="405">
      <c r="C549" s="218" t="n"/>
      <c r="D549" s="218" t="n"/>
    </row>
    <row r="550" ht="13.2" customHeight="1" s="405">
      <c r="C550" s="218" t="n"/>
      <c r="D550" s="218" t="n"/>
    </row>
    <row r="551" ht="13.2" customHeight="1" s="405">
      <c r="C551" s="218" t="n"/>
      <c r="D551" s="218" t="n"/>
    </row>
    <row r="552" ht="13.2" customHeight="1" s="405">
      <c r="C552" s="218" t="n"/>
      <c r="D552" s="218" t="n"/>
    </row>
    <row r="553" ht="13.2" customHeight="1" s="405">
      <c r="C553" s="218" t="n"/>
      <c r="D553" s="218" t="n"/>
    </row>
    <row r="554" ht="13.2" customHeight="1" s="405">
      <c r="C554" s="218" t="n"/>
      <c r="D554" s="218" t="n"/>
    </row>
    <row r="555" ht="13.2" customHeight="1" s="405">
      <c r="C555" s="218" t="n"/>
      <c r="D555" s="218" t="n"/>
    </row>
    <row r="556" ht="13.2" customHeight="1" s="405">
      <c r="C556" s="218" t="n"/>
      <c r="D556" s="218" t="n"/>
    </row>
    <row r="557" ht="13.2" customHeight="1" s="405">
      <c r="C557" s="218" t="n"/>
      <c r="D557" s="218" t="n"/>
    </row>
    <row r="558" ht="13.2" customHeight="1" s="405">
      <c r="C558" s="218" t="n"/>
      <c r="D558" s="218" t="n"/>
    </row>
    <row r="559" ht="13.2" customHeight="1" s="405">
      <c r="C559" s="218" t="n"/>
      <c r="D559" s="218" t="n"/>
    </row>
    <row r="560" ht="13.2" customHeight="1" s="405">
      <c r="C560" s="218" t="n"/>
      <c r="D560" s="218" t="n"/>
    </row>
    <row r="561" ht="13.2" customHeight="1" s="405">
      <c r="C561" s="218" t="n"/>
      <c r="D561" s="218" t="n"/>
    </row>
    <row r="562" ht="13.2" customHeight="1" s="405">
      <c r="C562" s="218" t="n"/>
      <c r="D562" s="218" t="n"/>
    </row>
    <row r="563" ht="13.2" customHeight="1" s="405">
      <c r="C563" s="218" t="n"/>
      <c r="D563" s="218" t="n"/>
    </row>
    <row r="564" ht="13.2" customHeight="1" s="405">
      <c r="C564" s="218" t="n"/>
      <c r="D564" s="218" t="n"/>
    </row>
    <row r="565" ht="13.2" customHeight="1" s="405">
      <c r="C565" s="218" t="n"/>
      <c r="D565" s="218" t="n"/>
    </row>
    <row r="566" ht="13.2" customHeight="1" s="405">
      <c r="C566" s="218" t="n"/>
      <c r="D566" s="218" t="n"/>
    </row>
    <row r="567" ht="13.2" customHeight="1" s="405">
      <c r="C567" s="218" t="n"/>
      <c r="D567" s="218" t="n"/>
    </row>
    <row r="568" ht="13.2" customHeight="1" s="405">
      <c r="C568" s="218" t="n"/>
      <c r="D568" s="218" t="n"/>
    </row>
    <row r="569" ht="13.2" customHeight="1" s="405">
      <c r="C569" s="218" t="n"/>
      <c r="D569" s="218" t="n"/>
    </row>
    <row r="570" ht="13.2" customHeight="1" s="405">
      <c r="C570" s="218" t="n"/>
      <c r="D570" s="218" t="n"/>
    </row>
    <row r="571" ht="13.2" customHeight="1" s="405">
      <c r="C571" s="218" t="n"/>
      <c r="D571" s="218" t="n"/>
    </row>
    <row r="572" ht="13.2" customHeight="1" s="405">
      <c r="C572" s="218" t="n"/>
      <c r="D572" s="218" t="n"/>
    </row>
    <row r="573" ht="13.2" customHeight="1" s="405">
      <c r="C573" s="218" t="n"/>
      <c r="D573" s="218" t="n"/>
    </row>
    <row r="574" ht="13.2" customHeight="1" s="405">
      <c r="C574" s="218" t="n"/>
      <c r="D574" s="218" t="n"/>
    </row>
    <row r="575" ht="13.2" customHeight="1" s="405">
      <c r="C575" s="218" t="n"/>
      <c r="D575" s="218" t="n"/>
    </row>
    <row r="576" ht="13.2" customHeight="1" s="405">
      <c r="C576" s="218" t="n"/>
      <c r="D576" s="218" t="n"/>
    </row>
    <row r="577" ht="13.2" customHeight="1" s="405">
      <c r="C577" s="218" t="n"/>
      <c r="D577" s="218" t="n"/>
    </row>
    <row r="578" ht="13.2" customHeight="1" s="405">
      <c r="C578" s="218" t="n"/>
      <c r="D578" s="218" t="n"/>
    </row>
    <row r="579" ht="13.2" customHeight="1" s="405">
      <c r="C579" s="218" t="n"/>
      <c r="D579" s="218" t="n"/>
    </row>
    <row r="580" ht="13.2" customHeight="1" s="405">
      <c r="C580" s="218" t="n"/>
      <c r="D580" s="218" t="n"/>
    </row>
    <row r="581" ht="13.2" customHeight="1" s="405">
      <c r="C581" s="218" t="n"/>
      <c r="D581" s="218" t="n"/>
    </row>
    <row r="582" ht="13.2" customHeight="1" s="405">
      <c r="C582" s="218" t="n"/>
      <c r="D582" s="218" t="n"/>
    </row>
    <row r="583" ht="13.2" customHeight="1" s="405">
      <c r="C583" s="218" t="n"/>
      <c r="D583" s="218" t="n"/>
    </row>
    <row r="584" ht="13.2" customHeight="1" s="405">
      <c r="C584" s="218" t="n"/>
      <c r="D584" s="218" t="n"/>
    </row>
    <row r="585" ht="13.2" customHeight="1" s="405">
      <c r="C585" s="218" t="n"/>
      <c r="D585" s="218" t="n"/>
    </row>
    <row r="586" ht="13.2" customHeight="1" s="405">
      <c r="C586" s="218" t="n"/>
      <c r="D586" s="218" t="n"/>
    </row>
    <row r="587" ht="13.2" customHeight="1" s="405">
      <c r="C587" s="218" t="n"/>
      <c r="D587" s="218" t="n"/>
    </row>
    <row r="588" ht="13.2" customHeight="1" s="405">
      <c r="C588" s="218" t="n"/>
      <c r="D588" s="218" t="n"/>
    </row>
    <row r="589" ht="13.2" customHeight="1" s="405">
      <c r="C589" s="218" t="n"/>
      <c r="D589" s="218" t="n"/>
    </row>
    <row r="590" ht="13.2" customHeight="1" s="405">
      <c r="C590" s="218" t="n"/>
      <c r="D590" s="218" t="n"/>
    </row>
    <row r="591" ht="13.2" customHeight="1" s="405">
      <c r="C591" s="218" t="n"/>
      <c r="D591" s="218" t="n"/>
    </row>
    <row r="592" ht="13.2" customHeight="1" s="405">
      <c r="C592" s="218" t="n"/>
      <c r="D592" s="218" t="n"/>
    </row>
    <row r="593" ht="13.2" customHeight="1" s="405">
      <c r="C593" s="218" t="n"/>
      <c r="D593" s="218" t="n"/>
    </row>
    <row r="594" ht="13.2" customHeight="1" s="405">
      <c r="C594" s="218" t="n"/>
      <c r="D594" s="218" t="n"/>
    </row>
    <row r="595" ht="13.2" customHeight="1" s="405">
      <c r="C595" s="218" t="n"/>
      <c r="D595" s="218" t="n"/>
    </row>
    <row r="596" ht="13.2" customHeight="1" s="405">
      <c r="C596" s="218" t="n"/>
      <c r="D596" s="218" t="n"/>
    </row>
    <row r="597" ht="13.2" customHeight="1" s="405">
      <c r="C597" s="218" t="n"/>
      <c r="D597" s="218" t="n"/>
    </row>
    <row r="598" ht="13.2" customHeight="1" s="405">
      <c r="C598" s="218" t="n"/>
      <c r="D598" s="218" t="n"/>
    </row>
    <row r="599" ht="13.2" customHeight="1" s="405">
      <c r="C599" s="218" t="n"/>
      <c r="D599" s="218" t="n"/>
    </row>
    <row r="600" ht="13.2" customHeight="1" s="405">
      <c r="C600" s="218" t="n"/>
      <c r="D600" s="218" t="n"/>
    </row>
    <row r="601" ht="13.2" customHeight="1" s="405">
      <c r="C601" s="218" t="n"/>
      <c r="D601" s="218" t="n"/>
    </row>
    <row r="602" ht="13.2" customHeight="1" s="405">
      <c r="C602" s="218" t="n"/>
      <c r="D602" s="218" t="n"/>
    </row>
    <row r="603" ht="13.2" customHeight="1" s="405">
      <c r="C603" s="218" t="n"/>
      <c r="D603" s="218" t="n"/>
    </row>
    <row r="604" ht="13.2" customHeight="1" s="405">
      <c r="C604" s="218" t="n"/>
      <c r="D604" s="218" t="n"/>
    </row>
    <row r="605" ht="13.2" customHeight="1" s="405">
      <c r="C605" s="218" t="n"/>
      <c r="D605" s="218" t="n"/>
    </row>
    <row r="606" ht="13.2" customHeight="1" s="405">
      <c r="C606" s="218" t="n"/>
      <c r="D606" s="218" t="n"/>
    </row>
    <row r="607" ht="13.2" customHeight="1" s="405">
      <c r="C607" s="218" t="n"/>
      <c r="D607" s="218" t="n"/>
    </row>
    <row r="608" ht="13.2" customHeight="1" s="405">
      <c r="C608" s="218" t="n"/>
      <c r="D608" s="218" t="n"/>
    </row>
    <row r="609" ht="13.2" customHeight="1" s="405">
      <c r="C609" s="218" t="n"/>
      <c r="D609" s="218" t="n"/>
    </row>
    <row r="610" ht="13.2" customHeight="1" s="405">
      <c r="C610" s="218" t="n"/>
      <c r="D610" s="218" t="n"/>
    </row>
    <row r="611" ht="13.2" customHeight="1" s="405">
      <c r="C611" s="218" t="n"/>
      <c r="D611" s="218" t="n"/>
    </row>
    <row r="612" ht="13.2" customHeight="1" s="405">
      <c r="C612" s="218" t="n"/>
      <c r="D612" s="218" t="n"/>
    </row>
    <row r="613" ht="13.2" customHeight="1" s="405">
      <c r="C613" s="218" t="n"/>
      <c r="D613" s="218" t="n"/>
    </row>
    <row r="614" ht="13.2" customHeight="1" s="405">
      <c r="C614" s="218" t="n"/>
      <c r="D614" s="218" t="n"/>
    </row>
    <row r="615" ht="13.2" customHeight="1" s="405">
      <c r="C615" s="218" t="n"/>
      <c r="D615" s="218" t="n"/>
    </row>
    <row r="616" ht="13.2" customHeight="1" s="405">
      <c r="C616" s="218" t="n"/>
      <c r="D616" s="218" t="n"/>
    </row>
    <row r="617" ht="13.2" customHeight="1" s="405">
      <c r="C617" s="218" t="n"/>
      <c r="D617" s="218" t="n"/>
    </row>
    <row r="618" ht="13.2" customHeight="1" s="405">
      <c r="C618" s="218" t="n"/>
      <c r="D618" s="218" t="n"/>
    </row>
    <row r="619" ht="13.2" customHeight="1" s="405">
      <c r="C619" s="218" t="n"/>
      <c r="D619" s="218" t="n"/>
    </row>
    <row r="620" ht="13.2" customHeight="1" s="405">
      <c r="C620" s="218" t="n"/>
      <c r="D620" s="218" t="n"/>
    </row>
    <row r="621" ht="13.2" customHeight="1" s="405">
      <c r="C621" s="218" t="n"/>
      <c r="D621" s="218" t="n"/>
    </row>
    <row r="622" ht="13.2" customHeight="1" s="405">
      <c r="C622" s="218" t="n"/>
      <c r="D622" s="218" t="n"/>
    </row>
    <row r="623" ht="13.2" customHeight="1" s="405">
      <c r="C623" s="218" t="n"/>
      <c r="D623" s="218" t="n"/>
    </row>
    <row r="624" ht="13.2" customHeight="1" s="405">
      <c r="C624" s="218" t="n"/>
      <c r="D624" s="218" t="n"/>
    </row>
    <row r="625" ht="13.2" customHeight="1" s="405">
      <c r="C625" s="218" t="n"/>
      <c r="D625" s="218" t="n"/>
    </row>
    <row r="626" ht="13.2" customHeight="1" s="405">
      <c r="C626" s="218" t="n"/>
      <c r="D626" s="218" t="n"/>
    </row>
    <row r="627" ht="13.2" customHeight="1" s="405">
      <c r="C627" s="218" t="n"/>
      <c r="D627" s="218" t="n"/>
    </row>
    <row r="628" ht="13.2" customHeight="1" s="405">
      <c r="C628" s="218" t="n"/>
      <c r="D628" s="218" t="n"/>
    </row>
    <row r="629" ht="13.2" customHeight="1" s="405">
      <c r="C629" s="218" t="n"/>
      <c r="D629" s="218" t="n"/>
    </row>
    <row r="630" ht="13.2" customHeight="1" s="405">
      <c r="C630" s="218" t="n"/>
      <c r="D630" s="218" t="n"/>
    </row>
    <row r="631" ht="13.2" customHeight="1" s="405">
      <c r="C631" s="218" t="n"/>
      <c r="D631" s="218" t="n"/>
    </row>
    <row r="632" ht="13.2" customHeight="1" s="405">
      <c r="C632" s="218" t="n"/>
      <c r="D632" s="218" t="n"/>
    </row>
    <row r="633" ht="13.2" customHeight="1" s="405">
      <c r="C633" s="218" t="n"/>
      <c r="D633" s="218" t="n"/>
    </row>
    <row r="634" ht="13.2" customHeight="1" s="405">
      <c r="C634" s="218" t="n"/>
      <c r="D634" s="218" t="n"/>
    </row>
    <row r="635" ht="13.2" customHeight="1" s="405">
      <c r="C635" s="218" t="n"/>
      <c r="D635" s="218" t="n"/>
    </row>
    <row r="636" ht="13.2" customHeight="1" s="405">
      <c r="C636" s="218" t="n"/>
      <c r="D636" s="218" t="n"/>
    </row>
    <row r="637" ht="13.2" customHeight="1" s="405">
      <c r="C637" s="218" t="n"/>
      <c r="D637" s="218" t="n"/>
    </row>
    <row r="638" ht="13.2" customHeight="1" s="405">
      <c r="C638" s="218" t="n"/>
      <c r="D638" s="218" t="n"/>
    </row>
    <row r="639" ht="13.2" customHeight="1" s="405">
      <c r="C639" s="218" t="n"/>
      <c r="D639" s="218" t="n"/>
    </row>
    <row r="640" ht="13.2" customHeight="1" s="405">
      <c r="C640" s="218" t="n"/>
      <c r="D640" s="218" t="n"/>
    </row>
    <row r="641" ht="13.2" customHeight="1" s="405">
      <c r="C641" s="218" t="n"/>
      <c r="D641" s="218" t="n"/>
    </row>
    <row r="642" ht="13.2" customHeight="1" s="405">
      <c r="C642" s="218" t="n"/>
      <c r="D642" s="218" t="n"/>
    </row>
    <row r="643" ht="13.2" customHeight="1" s="405">
      <c r="C643" s="218" t="n"/>
      <c r="D643" s="218" t="n"/>
    </row>
    <row r="644" ht="13.2" customHeight="1" s="405">
      <c r="C644" s="218" t="n"/>
      <c r="D644" s="218" t="n"/>
    </row>
    <row r="645" ht="13.2" customHeight="1" s="405">
      <c r="C645" s="218" t="n"/>
      <c r="D645" s="218" t="n"/>
    </row>
    <row r="646" ht="13.2" customHeight="1" s="405">
      <c r="C646" s="218" t="n"/>
      <c r="D646" s="218" t="n"/>
    </row>
    <row r="647" ht="13.2" customHeight="1" s="405">
      <c r="C647" s="218" t="n"/>
      <c r="D647" s="218" t="n"/>
    </row>
    <row r="648" ht="13.2" customHeight="1" s="405">
      <c r="C648" s="218" t="n"/>
      <c r="D648" s="218" t="n"/>
    </row>
    <row r="649" ht="13.2" customHeight="1" s="405">
      <c r="C649" s="218" t="n"/>
      <c r="D649" s="218" t="n"/>
    </row>
    <row r="650" ht="13.2" customHeight="1" s="405">
      <c r="C650" s="218" t="n"/>
      <c r="D650" s="218" t="n"/>
    </row>
    <row r="651" ht="13.2" customHeight="1" s="405">
      <c r="C651" s="218" t="n"/>
      <c r="D651" s="218" t="n"/>
    </row>
    <row r="652" ht="13.2" customHeight="1" s="405">
      <c r="C652" s="218" t="n"/>
      <c r="D652" s="218" t="n"/>
    </row>
    <row r="653" ht="13.2" customHeight="1" s="405">
      <c r="C653" s="218" t="n"/>
      <c r="D653" s="218" t="n"/>
    </row>
    <row r="654" ht="13.2" customHeight="1" s="405">
      <c r="C654" s="218" t="n"/>
      <c r="D654" s="218" t="n"/>
    </row>
    <row r="655" ht="13.2" customHeight="1" s="405">
      <c r="C655" s="218" t="n"/>
      <c r="D655" s="218" t="n"/>
    </row>
    <row r="656" ht="13.2" customHeight="1" s="405">
      <c r="C656" s="218" t="n"/>
      <c r="D656" s="218" t="n"/>
    </row>
    <row r="657" ht="13.2" customHeight="1" s="405">
      <c r="C657" s="218" t="n"/>
      <c r="D657" s="218" t="n"/>
    </row>
    <row r="658" ht="13.2" customHeight="1" s="405">
      <c r="C658" s="218" t="n"/>
      <c r="D658" s="218" t="n"/>
    </row>
    <row r="659" ht="13.2" customHeight="1" s="405">
      <c r="C659" s="218" t="n"/>
      <c r="D659" s="218" t="n"/>
    </row>
    <row r="660" ht="13.2" customHeight="1" s="405">
      <c r="C660" s="218" t="n"/>
      <c r="D660" s="218" t="n"/>
    </row>
    <row r="661" ht="13.2" customHeight="1" s="405">
      <c r="C661" s="218" t="n"/>
      <c r="D661" s="218" t="n"/>
    </row>
    <row r="662" ht="13.2" customHeight="1" s="405">
      <c r="C662" s="218" t="n"/>
      <c r="D662" s="218" t="n"/>
    </row>
    <row r="663" ht="13.2" customHeight="1" s="405">
      <c r="C663" s="218" t="n"/>
      <c r="D663" s="218" t="n"/>
    </row>
    <row r="664" ht="13.2" customHeight="1" s="405">
      <c r="C664" s="218" t="n"/>
      <c r="D664" s="218" t="n"/>
    </row>
    <row r="665" ht="13.2" customHeight="1" s="405">
      <c r="C665" s="218" t="n"/>
      <c r="D665" s="218" t="n"/>
    </row>
    <row r="666" ht="13.2" customHeight="1" s="405">
      <c r="C666" s="218" t="n"/>
      <c r="D666" s="218" t="n"/>
    </row>
    <row r="667" ht="13.2" customHeight="1" s="405">
      <c r="C667" s="218" t="n"/>
      <c r="D667" s="218" t="n"/>
    </row>
    <row r="668" ht="13.2" customHeight="1" s="405">
      <c r="C668" s="218" t="n"/>
      <c r="D668" s="218" t="n"/>
    </row>
    <row r="669" ht="13.2" customHeight="1" s="405">
      <c r="C669" s="218" t="n"/>
      <c r="D669" s="218" t="n"/>
    </row>
    <row r="670" ht="13.2" customHeight="1" s="405">
      <c r="C670" s="218" t="n"/>
      <c r="D670" s="218" t="n"/>
    </row>
    <row r="671" ht="13.2" customHeight="1" s="405">
      <c r="C671" s="218" t="n"/>
      <c r="D671" s="218" t="n"/>
    </row>
    <row r="672" ht="13.2" customHeight="1" s="405">
      <c r="C672" s="218" t="n"/>
      <c r="D672" s="218" t="n"/>
    </row>
    <row r="673" ht="13.2" customHeight="1" s="405">
      <c r="C673" s="218" t="n"/>
      <c r="D673" s="218" t="n"/>
    </row>
    <row r="674" ht="13.2" customHeight="1" s="405">
      <c r="C674" s="218" t="n"/>
      <c r="D674" s="218" t="n"/>
    </row>
    <row r="675" ht="13.2" customHeight="1" s="405">
      <c r="C675" s="218" t="n"/>
      <c r="D675" s="218" t="n"/>
    </row>
    <row r="676" ht="13.2" customHeight="1" s="405">
      <c r="C676" s="218" t="n"/>
      <c r="D676" s="218" t="n"/>
    </row>
    <row r="677" ht="13.2" customHeight="1" s="405">
      <c r="C677" s="218" t="n"/>
      <c r="D677" s="218" t="n"/>
    </row>
    <row r="678" ht="13.2" customHeight="1" s="405">
      <c r="C678" s="218" t="n"/>
      <c r="D678" s="218" t="n"/>
    </row>
    <row r="679" ht="13.2" customHeight="1" s="405">
      <c r="C679" s="218" t="n"/>
      <c r="D679" s="218" t="n"/>
    </row>
    <row r="680" ht="13.2" customHeight="1" s="405">
      <c r="C680" s="218" t="n"/>
      <c r="D680" s="218" t="n"/>
    </row>
    <row r="681" ht="13.2" customHeight="1" s="405">
      <c r="C681" s="218" t="n"/>
      <c r="D681" s="218" t="n"/>
    </row>
    <row r="682" ht="13.2" customHeight="1" s="405">
      <c r="C682" s="218" t="n"/>
      <c r="D682" s="218" t="n"/>
    </row>
    <row r="683" ht="13.2" customHeight="1" s="405">
      <c r="C683" s="218" t="n"/>
      <c r="D683" s="218" t="n"/>
    </row>
    <row r="684" ht="13.2" customHeight="1" s="405">
      <c r="C684" s="218" t="n"/>
      <c r="D684" s="218" t="n"/>
    </row>
    <row r="685" ht="13.2" customHeight="1" s="405">
      <c r="C685" s="218" t="n"/>
      <c r="D685" s="218" t="n"/>
    </row>
    <row r="686" ht="13.2" customHeight="1" s="405">
      <c r="C686" s="218" t="n"/>
      <c r="D686" s="218" t="n"/>
    </row>
    <row r="687" ht="13.2" customHeight="1" s="405">
      <c r="C687" s="218" t="n"/>
      <c r="D687" s="218" t="n"/>
    </row>
    <row r="688" ht="13.2" customHeight="1" s="405">
      <c r="C688" s="218" t="n"/>
      <c r="D688" s="218" t="n"/>
    </row>
    <row r="689" ht="13.2" customHeight="1" s="405">
      <c r="C689" s="218" t="n"/>
      <c r="D689" s="218" t="n"/>
    </row>
    <row r="690" ht="13.2" customHeight="1" s="405">
      <c r="C690" s="218" t="n"/>
      <c r="D690" s="218" t="n"/>
    </row>
    <row r="691" ht="13.2" customHeight="1" s="405">
      <c r="C691" s="218" t="n"/>
      <c r="D691" s="218" t="n"/>
    </row>
    <row r="692" ht="13.2" customHeight="1" s="405">
      <c r="C692" s="218" t="n"/>
      <c r="D692" s="218" t="n"/>
    </row>
    <row r="693" ht="13.2" customHeight="1" s="405">
      <c r="C693" s="218" t="n"/>
      <c r="D693" s="218" t="n"/>
    </row>
    <row r="694" ht="13.2" customHeight="1" s="405">
      <c r="C694" s="218" t="n"/>
      <c r="D694" s="218" t="n"/>
    </row>
    <row r="695" ht="13.2" customHeight="1" s="405">
      <c r="C695" s="218" t="n"/>
      <c r="D695" s="218" t="n"/>
    </row>
    <row r="696" ht="13.2" customHeight="1" s="405">
      <c r="C696" s="218" t="n"/>
      <c r="D696" s="218" t="n"/>
    </row>
    <row r="697" ht="13.2" customHeight="1" s="405">
      <c r="C697" s="218" t="n"/>
      <c r="D697" s="218" t="n"/>
    </row>
    <row r="698" ht="13.2" customHeight="1" s="405">
      <c r="C698" s="218" t="n"/>
      <c r="D698" s="218" t="n"/>
    </row>
    <row r="699" ht="13.2" customHeight="1" s="405">
      <c r="C699" s="218" t="n"/>
      <c r="D699" s="218" t="n"/>
    </row>
    <row r="700" ht="13.2" customHeight="1" s="405">
      <c r="C700" s="218" t="n"/>
      <c r="D700" s="218" t="n"/>
    </row>
    <row r="701" ht="13.2" customHeight="1" s="405">
      <c r="C701" s="218" t="n"/>
      <c r="D701" s="218" t="n"/>
    </row>
    <row r="702" ht="13.2" customHeight="1" s="405">
      <c r="C702" s="218" t="n"/>
      <c r="D702" s="218" t="n"/>
    </row>
    <row r="703" ht="13.2" customHeight="1" s="405">
      <c r="C703" s="218" t="n"/>
      <c r="D703" s="218" t="n"/>
    </row>
    <row r="704" ht="13.2" customHeight="1" s="405">
      <c r="C704" s="218" t="n"/>
      <c r="D704" s="218" t="n"/>
    </row>
    <row r="705" ht="13.2" customHeight="1" s="405">
      <c r="C705" s="218" t="n"/>
      <c r="D705" s="218" t="n"/>
    </row>
    <row r="706" ht="13.2" customHeight="1" s="405">
      <c r="C706" s="218" t="n"/>
      <c r="D706" s="218" t="n"/>
    </row>
    <row r="707" ht="13.2" customHeight="1" s="405">
      <c r="C707" s="218" t="n"/>
      <c r="D707" s="218" t="n"/>
    </row>
    <row r="708" ht="13.2" customHeight="1" s="405">
      <c r="C708" s="218" t="n"/>
      <c r="D708" s="218" t="n"/>
    </row>
    <row r="709" ht="13.2" customHeight="1" s="405">
      <c r="C709" s="218" t="n"/>
      <c r="D709" s="218" t="n"/>
    </row>
    <row r="710" ht="13.2" customHeight="1" s="405">
      <c r="C710" s="218" t="n"/>
      <c r="D710" s="218" t="n"/>
    </row>
    <row r="711" ht="13.2" customHeight="1" s="405">
      <c r="C711" s="218" t="n"/>
      <c r="D711" s="218" t="n"/>
    </row>
    <row r="712" ht="13.2" customHeight="1" s="405">
      <c r="C712" s="218" t="n"/>
      <c r="D712" s="218" t="n"/>
    </row>
    <row r="713" ht="13.2" customHeight="1" s="405">
      <c r="C713" s="218" t="n"/>
      <c r="D713" s="218" t="n"/>
    </row>
    <row r="714" ht="13.2" customHeight="1" s="405">
      <c r="C714" s="218" t="n"/>
      <c r="D714" s="218" t="n"/>
    </row>
    <row r="715" ht="13.2" customHeight="1" s="405">
      <c r="C715" s="218" t="n"/>
      <c r="D715" s="218" t="n"/>
    </row>
    <row r="716" ht="13.2" customHeight="1" s="405">
      <c r="C716" s="218" t="n"/>
      <c r="D716" s="218" t="n"/>
    </row>
    <row r="717" ht="13.2" customHeight="1" s="405">
      <c r="C717" s="218" t="n"/>
      <c r="D717" s="218" t="n"/>
    </row>
    <row r="718" ht="13.2" customHeight="1" s="405">
      <c r="C718" s="218" t="n"/>
      <c r="D718" s="218" t="n"/>
    </row>
    <row r="719" ht="13.2" customHeight="1" s="405">
      <c r="C719" s="218" t="n"/>
      <c r="D719" s="218" t="n"/>
    </row>
    <row r="720" ht="13.2" customHeight="1" s="405">
      <c r="C720" s="218" t="n"/>
      <c r="D720" s="218" t="n"/>
    </row>
    <row r="721" ht="13.2" customHeight="1" s="405">
      <c r="C721" s="218" t="n"/>
      <c r="D721" s="218" t="n"/>
    </row>
    <row r="722" ht="13.2" customHeight="1" s="405">
      <c r="C722" s="218" t="n"/>
      <c r="D722" s="218" t="n"/>
    </row>
    <row r="723" ht="13.2" customHeight="1" s="405">
      <c r="C723" s="218" t="n"/>
      <c r="D723" s="218" t="n"/>
    </row>
    <row r="724" ht="13.2" customHeight="1" s="405">
      <c r="C724" s="218" t="n"/>
      <c r="D724" s="218" t="n"/>
    </row>
    <row r="725" ht="13.2" customHeight="1" s="405">
      <c r="C725" s="218" t="n"/>
      <c r="D725" s="218" t="n"/>
    </row>
    <row r="726" ht="13.2" customHeight="1" s="405">
      <c r="C726" s="218" t="n"/>
      <c r="D726" s="218" t="n"/>
    </row>
    <row r="727" ht="13.2" customHeight="1" s="405">
      <c r="C727" s="218" t="n"/>
      <c r="D727" s="218" t="n"/>
    </row>
    <row r="728" ht="13.2" customHeight="1" s="405">
      <c r="C728" s="218" t="n"/>
      <c r="D728" s="218" t="n"/>
    </row>
    <row r="729" ht="13.2" customHeight="1" s="405">
      <c r="C729" s="218" t="n"/>
      <c r="D729" s="218" t="n"/>
    </row>
    <row r="730" ht="13.2" customHeight="1" s="405">
      <c r="C730" s="218" t="n"/>
      <c r="D730" s="218" t="n"/>
    </row>
    <row r="731" ht="13.2" customHeight="1" s="405">
      <c r="C731" s="218" t="n"/>
      <c r="D731" s="218" t="n"/>
    </row>
    <row r="732" ht="13.2" customHeight="1" s="405">
      <c r="C732" s="218" t="n"/>
      <c r="D732" s="218" t="n"/>
    </row>
    <row r="733" ht="13.2" customHeight="1" s="405">
      <c r="C733" s="218" t="n"/>
      <c r="D733" s="218" t="n"/>
    </row>
    <row r="734" ht="13.2" customHeight="1" s="405">
      <c r="C734" s="218" t="n"/>
      <c r="D734" s="218" t="n"/>
    </row>
    <row r="735" ht="13.2" customHeight="1" s="405">
      <c r="C735" s="218" t="n"/>
      <c r="D735" s="218" t="n"/>
    </row>
    <row r="736" ht="13.2" customHeight="1" s="405">
      <c r="C736" s="218" t="n"/>
      <c r="D736" s="218" t="n"/>
    </row>
    <row r="737" ht="13.2" customHeight="1" s="405">
      <c r="C737" s="218" t="n"/>
      <c r="D737" s="218" t="n"/>
    </row>
    <row r="738" ht="13.2" customHeight="1" s="405">
      <c r="C738" s="218" t="n"/>
      <c r="D738" s="218" t="n"/>
    </row>
    <row r="739" ht="13.2" customHeight="1" s="405">
      <c r="C739" s="218" t="n"/>
      <c r="D739" s="218" t="n"/>
    </row>
    <row r="740" ht="13.2" customHeight="1" s="405">
      <c r="C740" s="218" t="n"/>
      <c r="D740" s="218" t="n"/>
    </row>
    <row r="741" ht="13.2" customHeight="1" s="405">
      <c r="C741" s="218" t="n"/>
      <c r="D741" s="218" t="n"/>
    </row>
    <row r="742" ht="13.2" customHeight="1" s="405">
      <c r="C742" s="218" t="n"/>
      <c r="D742" s="218" t="n"/>
    </row>
    <row r="743" ht="13.2" customHeight="1" s="405">
      <c r="C743" s="218" t="n"/>
      <c r="D743" s="218" t="n"/>
    </row>
    <row r="744" ht="13.2" customHeight="1" s="405">
      <c r="C744" s="218" t="n"/>
      <c r="D744" s="218" t="n"/>
    </row>
    <row r="745" ht="13.2" customHeight="1" s="405">
      <c r="C745" s="218" t="n"/>
      <c r="D745" s="218" t="n"/>
    </row>
    <row r="746" ht="13.2" customHeight="1" s="405">
      <c r="C746" s="218" t="n"/>
      <c r="D746" s="218" t="n"/>
    </row>
    <row r="747" ht="13.2" customHeight="1" s="405">
      <c r="C747" s="218" t="n"/>
      <c r="D747" s="218" t="n"/>
    </row>
    <row r="748" ht="13.2" customHeight="1" s="405">
      <c r="C748" s="218" t="n"/>
      <c r="D748" s="218" t="n"/>
    </row>
    <row r="749" ht="13.2" customHeight="1" s="405">
      <c r="C749" s="218" t="n"/>
      <c r="D749" s="218" t="n"/>
    </row>
    <row r="750" ht="13.2" customHeight="1" s="405">
      <c r="C750" s="218" t="n"/>
      <c r="D750" s="218" t="n"/>
    </row>
    <row r="751" ht="13.2" customHeight="1" s="405">
      <c r="C751" s="218" t="n"/>
      <c r="D751" s="218" t="n"/>
    </row>
    <row r="752" ht="13.2" customHeight="1" s="405">
      <c r="C752" s="218" t="n"/>
      <c r="D752" s="218" t="n"/>
    </row>
    <row r="753" ht="13.2" customHeight="1" s="405">
      <c r="C753" s="218" t="n"/>
      <c r="D753" s="218" t="n"/>
    </row>
    <row r="754" ht="13.2" customHeight="1" s="405">
      <c r="C754" s="218" t="n"/>
      <c r="D754" s="218" t="n"/>
    </row>
    <row r="755" ht="13.2" customHeight="1" s="405">
      <c r="C755" s="218" t="n"/>
      <c r="D755" s="218" t="n"/>
    </row>
    <row r="756" ht="13.2" customHeight="1" s="405">
      <c r="C756" s="218" t="n"/>
      <c r="D756" s="218" t="n"/>
    </row>
    <row r="757" ht="13.2" customHeight="1" s="405">
      <c r="C757" s="218" t="n"/>
      <c r="D757" s="218" t="n"/>
    </row>
    <row r="758" ht="13.2" customHeight="1" s="405">
      <c r="C758" s="218" t="n"/>
      <c r="D758" s="218" t="n"/>
    </row>
    <row r="759" ht="13.2" customHeight="1" s="405">
      <c r="C759" s="218" t="n"/>
      <c r="D759" s="218" t="n"/>
    </row>
    <row r="760" ht="13.2" customHeight="1" s="405">
      <c r="C760" s="218" t="n"/>
      <c r="D760" s="218" t="n"/>
    </row>
    <row r="761" ht="13.2" customHeight="1" s="405">
      <c r="C761" s="218" t="n"/>
      <c r="D761" s="218" t="n"/>
    </row>
    <row r="762" ht="13.2" customHeight="1" s="405">
      <c r="C762" s="218" t="n"/>
      <c r="D762" s="218" t="n"/>
    </row>
    <row r="763" ht="13.2" customHeight="1" s="405">
      <c r="C763" s="218" t="n"/>
      <c r="D763" s="218" t="n"/>
    </row>
    <row r="764" ht="13.2" customHeight="1" s="405">
      <c r="C764" s="218" t="n"/>
      <c r="D764" s="218" t="n"/>
    </row>
    <row r="765" ht="13.2" customHeight="1" s="405">
      <c r="C765" s="218" t="n"/>
      <c r="D765" s="218" t="n"/>
    </row>
    <row r="766" ht="13.2" customHeight="1" s="405">
      <c r="C766" s="218" t="n"/>
      <c r="D766" s="218" t="n"/>
    </row>
    <row r="767" ht="13.2" customHeight="1" s="405">
      <c r="C767" s="218" t="n"/>
      <c r="D767" s="218" t="n"/>
    </row>
    <row r="768" ht="13.2" customHeight="1" s="405">
      <c r="C768" s="218" t="n"/>
      <c r="D768" s="218" t="n"/>
    </row>
    <row r="769" ht="13.2" customHeight="1" s="405">
      <c r="C769" s="218" t="n"/>
      <c r="D769" s="218" t="n"/>
    </row>
    <row r="770" ht="13.2" customHeight="1" s="405">
      <c r="C770" s="218" t="n"/>
      <c r="D770" s="218" t="n"/>
    </row>
    <row r="771" ht="13.2" customHeight="1" s="405">
      <c r="C771" s="218" t="n"/>
      <c r="D771" s="218" t="n"/>
    </row>
    <row r="772" ht="13.2" customHeight="1" s="405">
      <c r="C772" s="218" t="n"/>
      <c r="D772" s="218" t="n"/>
    </row>
    <row r="773" ht="13.2" customHeight="1" s="405">
      <c r="C773" s="218" t="n"/>
      <c r="D773" s="218" t="n"/>
    </row>
    <row r="774" ht="13.2" customHeight="1" s="405">
      <c r="C774" s="218" t="n"/>
      <c r="D774" s="218" t="n"/>
    </row>
    <row r="775" ht="13.2" customHeight="1" s="405">
      <c r="C775" s="218" t="n"/>
      <c r="D775" s="218" t="n"/>
    </row>
    <row r="776" ht="13.2" customHeight="1" s="405">
      <c r="C776" s="218" t="n"/>
      <c r="D776" s="218" t="n"/>
    </row>
    <row r="777" ht="13.2" customHeight="1" s="405">
      <c r="C777" s="218" t="n"/>
      <c r="D777" s="218" t="n"/>
    </row>
    <row r="778" ht="13.2" customHeight="1" s="405">
      <c r="C778" s="218" t="n"/>
      <c r="D778" s="218" t="n"/>
    </row>
    <row r="779" ht="13.2" customHeight="1" s="405">
      <c r="C779" s="218" t="n"/>
      <c r="D779" s="218" t="n"/>
    </row>
    <row r="780" ht="13.2" customHeight="1" s="405">
      <c r="C780" s="218" t="n"/>
      <c r="D780" s="218" t="n"/>
    </row>
    <row r="781" ht="13.2" customHeight="1" s="405">
      <c r="C781" s="218" t="n"/>
      <c r="D781" s="218" t="n"/>
    </row>
    <row r="782" ht="13.2" customHeight="1" s="405">
      <c r="C782" s="218" t="n"/>
      <c r="D782" s="218" t="n"/>
    </row>
    <row r="783" ht="13.2" customHeight="1" s="405">
      <c r="C783" s="218" t="n"/>
      <c r="D783" s="218" t="n"/>
    </row>
    <row r="784" ht="13.2" customHeight="1" s="405">
      <c r="C784" s="218" t="n"/>
      <c r="D784" s="218" t="n"/>
    </row>
    <row r="785" ht="13.2" customHeight="1" s="405">
      <c r="C785" s="218" t="n"/>
      <c r="D785" s="218" t="n"/>
    </row>
    <row r="786" ht="13.2" customHeight="1" s="405">
      <c r="C786" s="218" t="n"/>
      <c r="D786" s="218" t="n"/>
    </row>
    <row r="787" ht="13.2" customHeight="1" s="405">
      <c r="C787" s="218" t="n"/>
      <c r="D787" s="218" t="n"/>
    </row>
    <row r="788" ht="13.2" customHeight="1" s="405">
      <c r="C788" s="218" t="n"/>
      <c r="D788" s="218" t="n"/>
    </row>
    <row r="789" ht="13.2" customHeight="1" s="405">
      <c r="C789" s="218" t="n"/>
      <c r="D789" s="218" t="n"/>
    </row>
    <row r="790" ht="13.2" customHeight="1" s="405">
      <c r="C790" s="218" t="n"/>
      <c r="D790" s="218" t="n"/>
    </row>
    <row r="791" ht="13.2" customHeight="1" s="405">
      <c r="C791" s="218" t="n"/>
      <c r="D791" s="218" t="n"/>
    </row>
    <row r="792" ht="13.2" customHeight="1" s="405">
      <c r="C792" s="218" t="n"/>
      <c r="D792" s="218" t="n"/>
    </row>
    <row r="793" ht="13.2" customHeight="1" s="405">
      <c r="C793" s="218" t="n"/>
      <c r="D793" s="218" t="n"/>
    </row>
    <row r="794" ht="13.2" customHeight="1" s="405">
      <c r="C794" s="218" t="n"/>
      <c r="D794" s="218" t="n"/>
    </row>
    <row r="795" ht="13.2" customHeight="1" s="405">
      <c r="C795" s="218" t="n"/>
      <c r="D795" s="218" t="n"/>
    </row>
    <row r="796" ht="13.2" customHeight="1" s="405">
      <c r="C796" s="218" t="n"/>
      <c r="D796" s="218" t="n"/>
    </row>
    <row r="797" ht="13.2" customHeight="1" s="405">
      <c r="C797" s="218" t="n"/>
      <c r="D797" s="218" t="n"/>
    </row>
    <row r="798" ht="13.2" customHeight="1" s="405">
      <c r="C798" s="218" t="n"/>
      <c r="D798" s="218" t="n"/>
    </row>
    <row r="799" ht="13.2" customHeight="1" s="405">
      <c r="C799" s="218" t="n"/>
      <c r="D799" s="218" t="n"/>
    </row>
    <row r="800" ht="13.2" customHeight="1" s="405">
      <c r="C800" s="218" t="n"/>
      <c r="D800" s="218" t="n"/>
    </row>
    <row r="801" ht="13.2" customHeight="1" s="405">
      <c r="C801" s="218" t="n"/>
      <c r="D801" s="218" t="n"/>
    </row>
    <row r="802" ht="13.2" customHeight="1" s="405">
      <c r="C802" s="218" t="n"/>
      <c r="D802" s="218" t="n"/>
    </row>
    <row r="803" ht="13.2" customHeight="1" s="405">
      <c r="C803" s="218" t="n"/>
      <c r="D803" s="218" t="n"/>
    </row>
    <row r="804" ht="13.2" customHeight="1" s="405">
      <c r="C804" s="218" t="n"/>
      <c r="D804" s="218" t="n"/>
    </row>
    <row r="805" ht="13.2" customHeight="1" s="405">
      <c r="C805" s="218" t="n"/>
      <c r="D805" s="218" t="n"/>
    </row>
    <row r="806" ht="13.2" customHeight="1" s="405">
      <c r="C806" s="218" t="n"/>
      <c r="D806" s="218" t="n"/>
    </row>
    <row r="807" ht="13.2" customHeight="1" s="405">
      <c r="C807" s="218" t="n"/>
      <c r="D807" s="218" t="n"/>
    </row>
    <row r="808" ht="13.2" customHeight="1" s="405">
      <c r="C808" s="218" t="n"/>
      <c r="D808" s="218" t="n"/>
    </row>
    <row r="809" ht="13.2" customHeight="1" s="405">
      <c r="C809" s="218" t="n"/>
      <c r="D809" s="218" t="n"/>
    </row>
    <row r="810" ht="13.2" customHeight="1" s="405">
      <c r="C810" s="218" t="n"/>
      <c r="D810" s="218" t="n"/>
    </row>
    <row r="811" ht="13.2" customHeight="1" s="405">
      <c r="C811" s="218" t="n"/>
      <c r="D811" s="218" t="n"/>
    </row>
    <row r="812" ht="13.2" customHeight="1" s="405">
      <c r="C812" s="218" t="n"/>
      <c r="D812" s="218" t="n"/>
    </row>
    <row r="813" ht="13.2" customHeight="1" s="405">
      <c r="C813" s="218" t="n"/>
      <c r="D813" s="218" t="n"/>
    </row>
    <row r="814" ht="13.2" customHeight="1" s="405">
      <c r="C814" s="218" t="n"/>
      <c r="D814" s="218" t="n"/>
    </row>
    <row r="815" ht="13.2" customHeight="1" s="405">
      <c r="C815" s="218" t="n"/>
      <c r="D815" s="218" t="n"/>
    </row>
    <row r="816" ht="13.2" customHeight="1" s="405">
      <c r="C816" s="218" t="n"/>
      <c r="D816" s="218" t="n"/>
    </row>
    <row r="817" ht="13.2" customHeight="1" s="405">
      <c r="C817" s="218" t="n"/>
      <c r="D817" s="218" t="n"/>
    </row>
    <row r="818" ht="13.2" customHeight="1" s="405">
      <c r="C818" s="218" t="n"/>
      <c r="D818" s="218" t="n"/>
    </row>
    <row r="819" ht="13.2" customHeight="1" s="405">
      <c r="C819" s="218" t="n"/>
      <c r="D819" s="218" t="n"/>
    </row>
    <row r="820" ht="13.2" customHeight="1" s="405">
      <c r="C820" s="218" t="n"/>
      <c r="D820" s="218" t="n"/>
    </row>
    <row r="821" ht="13.2" customHeight="1" s="405">
      <c r="C821" s="218" t="n"/>
      <c r="D821" s="218" t="n"/>
    </row>
    <row r="822" ht="13.2" customHeight="1" s="405">
      <c r="C822" s="218" t="n"/>
      <c r="D822" s="218" t="n"/>
    </row>
    <row r="823" ht="13.2" customHeight="1" s="405">
      <c r="C823" s="218" t="n"/>
      <c r="D823" s="218" t="n"/>
    </row>
    <row r="824" ht="13.2" customHeight="1" s="405">
      <c r="C824" s="218" t="n"/>
      <c r="D824" s="218" t="n"/>
    </row>
    <row r="825" ht="13.2" customHeight="1" s="405">
      <c r="C825" s="218" t="n"/>
      <c r="D825" s="218" t="n"/>
    </row>
    <row r="826" ht="13.2" customHeight="1" s="405">
      <c r="C826" s="218" t="n"/>
      <c r="D826" s="218" t="n"/>
    </row>
    <row r="827" ht="13.2" customHeight="1" s="405">
      <c r="C827" s="218" t="n"/>
      <c r="D827" s="218" t="n"/>
    </row>
    <row r="828" ht="13.2" customHeight="1" s="405">
      <c r="C828" s="218" t="n"/>
      <c r="D828" s="218" t="n"/>
    </row>
    <row r="829" ht="13.2" customHeight="1" s="405">
      <c r="C829" s="218" t="n"/>
      <c r="D829" s="218" t="n"/>
    </row>
    <row r="830" ht="13.2" customHeight="1" s="405">
      <c r="C830" s="218" t="n"/>
      <c r="D830" s="218" t="n"/>
    </row>
    <row r="831" ht="13.2" customHeight="1" s="405">
      <c r="C831" s="218" t="n"/>
      <c r="D831" s="218" t="n"/>
    </row>
    <row r="832" ht="13.2" customHeight="1" s="405">
      <c r="C832" s="218" t="n"/>
      <c r="D832" s="218" t="n"/>
    </row>
    <row r="833" ht="13.2" customHeight="1" s="405">
      <c r="C833" s="218" t="n"/>
      <c r="D833" s="218" t="n"/>
    </row>
    <row r="834" ht="13.2" customHeight="1" s="405">
      <c r="C834" s="218" t="n"/>
      <c r="D834" s="218" t="n"/>
    </row>
    <row r="835" ht="13.2" customHeight="1" s="405">
      <c r="C835" s="218" t="n"/>
      <c r="D835" s="218" t="n"/>
    </row>
    <row r="836" ht="13.2" customHeight="1" s="405">
      <c r="C836" s="218" t="n"/>
      <c r="D836" s="218" t="n"/>
    </row>
    <row r="837" ht="13.2" customHeight="1" s="405">
      <c r="C837" s="218" t="n"/>
      <c r="D837" s="218" t="n"/>
    </row>
    <row r="838" ht="13.2" customHeight="1" s="405">
      <c r="C838" s="218" t="n"/>
      <c r="D838" s="218" t="n"/>
    </row>
    <row r="839" ht="13.2" customHeight="1" s="405">
      <c r="C839" s="218" t="n"/>
      <c r="D839" s="218" t="n"/>
    </row>
    <row r="840" ht="13.2" customHeight="1" s="405">
      <c r="C840" s="218" t="n"/>
      <c r="D840" s="218" t="n"/>
    </row>
    <row r="841" ht="13.2" customHeight="1" s="405">
      <c r="C841" s="218" t="n"/>
      <c r="D841" s="218" t="n"/>
    </row>
    <row r="842" ht="13.2" customHeight="1" s="405">
      <c r="C842" s="218" t="n"/>
      <c r="D842" s="218" t="n"/>
    </row>
    <row r="843" ht="13.2" customHeight="1" s="405">
      <c r="C843" s="218" t="n"/>
      <c r="D843" s="218" t="n"/>
    </row>
    <row r="844" ht="13.2" customHeight="1" s="405">
      <c r="C844" s="218" t="n"/>
      <c r="D844" s="218" t="n"/>
    </row>
    <row r="845" ht="13.2" customHeight="1" s="405">
      <c r="C845" s="218" t="n"/>
      <c r="D845" s="218" t="n"/>
    </row>
    <row r="846" ht="13.2" customHeight="1" s="405">
      <c r="C846" s="218" t="n"/>
      <c r="D846" s="218" t="n"/>
    </row>
    <row r="847" ht="13.2" customHeight="1" s="405">
      <c r="C847" s="218" t="n"/>
      <c r="D847" s="218" t="n"/>
    </row>
    <row r="848" ht="13.2" customHeight="1" s="405">
      <c r="C848" s="218" t="n"/>
      <c r="D848" s="218" t="n"/>
    </row>
    <row r="849" ht="13.2" customHeight="1" s="405">
      <c r="C849" s="218" t="n"/>
      <c r="D849" s="218" t="n"/>
    </row>
    <row r="850" ht="13.2" customHeight="1" s="405">
      <c r="C850" s="218" t="n"/>
      <c r="D850" s="218" t="n"/>
    </row>
    <row r="851" ht="13.2" customHeight="1" s="405">
      <c r="C851" s="218" t="n"/>
      <c r="D851" s="218" t="n"/>
    </row>
    <row r="852" ht="13.2" customHeight="1" s="405">
      <c r="C852" s="218" t="n"/>
      <c r="D852" s="218" t="n"/>
    </row>
    <row r="853" ht="13.2" customHeight="1" s="405">
      <c r="C853" s="218" t="n"/>
      <c r="D853" s="218" t="n"/>
    </row>
    <row r="854" ht="13.2" customHeight="1" s="405">
      <c r="C854" s="218" t="n"/>
      <c r="D854" s="218" t="n"/>
    </row>
    <row r="855" ht="13.2" customHeight="1" s="405">
      <c r="C855" s="218" t="n"/>
      <c r="D855" s="218" t="n"/>
    </row>
    <row r="856" ht="13.2" customHeight="1" s="405">
      <c r="C856" s="218" t="n"/>
      <c r="D856" s="218" t="n"/>
    </row>
    <row r="857" ht="13.2" customHeight="1" s="405">
      <c r="C857" s="218" t="n"/>
      <c r="D857" s="218" t="n"/>
    </row>
    <row r="858" ht="13.2" customHeight="1" s="405">
      <c r="C858" s="218" t="n"/>
      <c r="D858" s="218" t="n"/>
    </row>
    <row r="859" ht="13.2" customHeight="1" s="405">
      <c r="C859" s="218" t="n"/>
      <c r="D859" s="218" t="n"/>
    </row>
    <row r="860" ht="13.2" customHeight="1" s="405">
      <c r="C860" s="218" t="n"/>
      <c r="D860" s="218" t="n"/>
    </row>
    <row r="861" ht="13.2" customHeight="1" s="405">
      <c r="C861" s="218" t="n"/>
      <c r="D861" s="218" t="n"/>
    </row>
    <row r="862" ht="13.2" customHeight="1" s="405">
      <c r="C862" s="218" t="n"/>
      <c r="D862" s="218" t="n"/>
    </row>
    <row r="863" ht="13.2" customHeight="1" s="405">
      <c r="C863" s="218" t="n"/>
      <c r="D863" s="218" t="n"/>
    </row>
    <row r="864" ht="13.2" customHeight="1" s="405">
      <c r="C864" s="218" t="n"/>
      <c r="D864" s="218" t="n"/>
    </row>
    <row r="865" ht="13.2" customHeight="1" s="405">
      <c r="C865" s="218" t="n"/>
      <c r="D865" s="218" t="n"/>
    </row>
    <row r="866" ht="13.2" customHeight="1" s="405">
      <c r="C866" s="218" t="n"/>
      <c r="D866" s="218" t="n"/>
    </row>
    <row r="867" ht="13.2" customHeight="1" s="405">
      <c r="C867" s="218" t="n"/>
      <c r="D867" s="218" t="n"/>
    </row>
    <row r="868" ht="13.2" customHeight="1" s="405">
      <c r="C868" s="218" t="n"/>
      <c r="D868" s="218" t="n"/>
    </row>
    <row r="869" ht="13.2" customHeight="1" s="405">
      <c r="C869" s="218" t="n"/>
      <c r="D869" s="218" t="n"/>
    </row>
    <row r="870" ht="13.2" customHeight="1" s="405">
      <c r="C870" s="218" t="n"/>
      <c r="D870" s="218" t="n"/>
    </row>
    <row r="871" ht="13.2" customHeight="1" s="405">
      <c r="C871" s="218" t="n"/>
      <c r="D871" s="218" t="n"/>
    </row>
    <row r="872" ht="13.2" customHeight="1" s="405">
      <c r="C872" s="218" t="n"/>
      <c r="D872" s="218" t="n"/>
    </row>
    <row r="873" ht="13.2" customHeight="1" s="405">
      <c r="C873" s="218" t="n"/>
      <c r="D873" s="218" t="n"/>
    </row>
    <row r="874" ht="13.2" customHeight="1" s="405">
      <c r="C874" s="218" t="n"/>
      <c r="D874" s="218" t="n"/>
    </row>
    <row r="875" ht="13.2" customHeight="1" s="405">
      <c r="C875" s="218" t="n"/>
      <c r="D875" s="218" t="n"/>
    </row>
    <row r="876" ht="13.2" customHeight="1" s="405">
      <c r="C876" s="218" t="n"/>
      <c r="D876" s="218" t="n"/>
    </row>
    <row r="877" ht="13.2" customHeight="1" s="405">
      <c r="C877" s="218" t="n"/>
      <c r="D877" s="218" t="n"/>
    </row>
    <row r="878" ht="13.2" customHeight="1" s="405">
      <c r="C878" s="218" t="n"/>
      <c r="D878" s="218" t="n"/>
    </row>
    <row r="879" ht="13.2" customHeight="1" s="405">
      <c r="C879" s="218" t="n"/>
      <c r="D879" s="218" t="n"/>
    </row>
    <row r="880" ht="13.2" customHeight="1" s="405">
      <c r="C880" s="218" t="n"/>
      <c r="D880" s="218" t="n"/>
    </row>
    <row r="881" ht="13.2" customHeight="1" s="405">
      <c r="C881" s="218" t="n"/>
      <c r="D881" s="218" t="n"/>
    </row>
    <row r="882" ht="13.2" customHeight="1" s="405">
      <c r="C882" s="218" t="n"/>
      <c r="D882" s="218" t="n"/>
    </row>
    <row r="883" ht="13.2" customHeight="1" s="405">
      <c r="C883" s="218" t="n"/>
      <c r="D883" s="218" t="n"/>
    </row>
    <row r="884" ht="13.2" customHeight="1" s="405">
      <c r="C884" s="218" t="n"/>
      <c r="D884" s="218" t="n"/>
    </row>
    <row r="885" ht="13.2" customHeight="1" s="405">
      <c r="C885" s="218" t="n"/>
      <c r="D885" s="218" t="n"/>
    </row>
    <row r="886" ht="13.2" customHeight="1" s="405">
      <c r="C886" s="218" t="n"/>
      <c r="D886" s="218" t="n"/>
    </row>
    <row r="887" ht="13.2" customHeight="1" s="405">
      <c r="C887" s="218" t="n"/>
      <c r="D887" s="218" t="n"/>
    </row>
    <row r="888" ht="13.2" customHeight="1" s="405">
      <c r="C888" s="218" t="n"/>
      <c r="D888" s="218" t="n"/>
    </row>
    <row r="889" ht="13.2" customHeight="1" s="405">
      <c r="C889" s="218" t="n"/>
      <c r="D889" s="218" t="n"/>
    </row>
    <row r="890" ht="13.2" customHeight="1" s="405">
      <c r="C890" s="218" t="n"/>
      <c r="D890" s="218" t="n"/>
    </row>
    <row r="891" ht="13.2" customHeight="1" s="405">
      <c r="C891" s="218" t="n"/>
      <c r="D891" s="218" t="n"/>
    </row>
    <row r="892" ht="13.2" customHeight="1" s="405">
      <c r="C892" s="218" t="n"/>
      <c r="D892" s="218" t="n"/>
    </row>
    <row r="893" ht="13.2" customHeight="1" s="405">
      <c r="C893" s="218" t="n"/>
      <c r="D893" s="218" t="n"/>
    </row>
    <row r="894" ht="13.2" customHeight="1" s="405">
      <c r="C894" s="218" t="n"/>
      <c r="D894" s="218" t="n"/>
    </row>
    <row r="895" ht="13.2" customHeight="1" s="405">
      <c r="C895" s="218" t="n"/>
      <c r="D895" s="218" t="n"/>
    </row>
    <row r="896" ht="13.2" customHeight="1" s="405">
      <c r="C896" s="218" t="n"/>
      <c r="D896" s="218" t="n"/>
    </row>
    <row r="897" ht="13.2" customHeight="1" s="405">
      <c r="C897" s="218" t="n"/>
      <c r="D897" s="218" t="n"/>
    </row>
    <row r="898" ht="13.2" customHeight="1" s="405">
      <c r="C898" s="218" t="n"/>
      <c r="D898" s="218" t="n"/>
    </row>
    <row r="899" ht="13.2" customHeight="1" s="405">
      <c r="C899" s="218" t="n"/>
      <c r="D899" s="218" t="n"/>
    </row>
    <row r="900" ht="13.2" customHeight="1" s="405">
      <c r="C900" s="218" t="n"/>
      <c r="D900" s="218" t="n"/>
    </row>
    <row r="901" ht="13.2" customHeight="1" s="405">
      <c r="C901" s="218" t="n"/>
      <c r="D901" s="218" t="n"/>
    </row>
    <row r="902" ht="13.2" customHeight="1" s="405">
      <c r="C902" s="218" t="n"/>
      <c r="D902" s="218" t="n"/>
    </row>
    <row r="903" ht="13.2" customHeight="1" s="405">
      <c r="C903" s="218" t="n"/>
      <c r="D903" s="218" t="n"/>
    </row>
    <row r="904" ht="13.2" customHeight="1" s="405">
      <c r="C904" s="218" t="n"/>
      <c r="D904" s="218" t="n"/>
    </row>
    <row r="905" ht="13.2" customHeight="1" s="405">
      <c r="C905" s="218" t="n"/>
      <c r="D905" s="218" t="n"/>
    </row>
    <row r="906" ht="13.2" customHeight="1" s="405">
      <c r="C906" s="218" t="n"/>
      <c r="D906" s="218" t="n"/>
    </row>
    <row r="907" ht="13.2" customHeight="1" s="405">
      <c r="C907" s="218" t="n"/>
      <c r="D907" s="218" t="n"/>
    </row>
    <row r="908" ht="13.2" customHeight="1" s="405">
      <c r="C908" s="218" t="n"/>
      <c r="D908" s="218" t="n"/>
    </row>
    <row r="909" ht="13.2" customHeight="1" s="405">
      <c r="C909" s="218" t="n"/>
      <c r="D909" s="218" t="n"/>
    </row>
    <row r="910" ht="13.2" customHeight="1" s="405">
      <c r="C910" s="218" t="n"/>
      <c r="D910" s="218" t="n"/>
    </row>
    <row r="911" ht="13.2" customHeight="1" s="405">
      <c r="C911" s="218" t="n"/>
      <c r="D911" s="218" t="n"/>
    </row>
    <row r="912" ht="13.2" customHeight="1" s="405">
      <c r="C912" s="218" t="n"/>
      <c r="D912" s="218" t="n"/>
    </row>
    <row r="913" ht="13.2" customHeight="1" s="405">
      <c r="C913" s="218" t="n"/>
      <c r="D913" s="218" t="n"/>
    </row>
    <row r="914" ht="13.2" customHeight="1" s="405">
      <c r="C914" s="218" t="n"/>
      <c r="D914" s="218" t="n"/>
    </row>
    <row r="915" ht="13.2" customHeight="1" s="405">
      <c r="C915" s="218" t="n"/>
      <c r="D915" s="218" t="n"/>
    </row>
    <row r="916" ht="13.2" customHeight="1" s="405">
      <c r="C916" s="218" t="n"/>
      <c r="D916" s="218" t="n"/>
    </row>
    <row r="917" ht="13.2" customHeight="1" s="405">
      <c r="C917" s="218" t="n"/>
      <c r="D917" s="218" t="n"/>
    </row>
    <row r="918" ht="13.2" customHeight="1" s="405">
      <c r="C918" s="218" t="n"/>
      <c r="D918" s="218" t="n"/>
    </row>
    <row r="919" ht="13.2" customHeight="1" s="405">
      <c r="C919" s="218" t="n"/>
      <c r="D919" s="218" t="n"/>
    </row>
    <row r="920" ht="13.2" customHeight="1" s="405">
      <c r="C920" s="218" t="n"/>
      <c r="D920" s="218" t="n"/>
    </row>
    <row r="921" ht="13.2" customHeight="1" s="405">
      <c r="C921" s="218" t="n"/>
      <c r="D921" s="218" t="n"/>
    </row>
    <row r="922" ht="13.2" customHeight="1" s="405">
      <c r="C922" s="218" t="n"/>
      <c r="D922" s="218" t="n"/>
    </row>
    <row r="923" ht="13.2" customHeight="1" s="405">
      <c r="C923" s="218" t="n"/>
      <c r="D923" s="218" t="n"/>
    </row>
    <row r="924" ht="13.2" customHeight="1" s="405">
      <c r="C924" s="218" t="n"/>
      <c r="D924" s="218" t="n"/>
    </row>
    <row r="925" ht="13.2" customHeight="1" s="405">
      <c r="C925" s="218" t="n"/>
      <c r="D925" s="218" t="n"/>
    </row>
    <row r="926" ht="13.2" customHeight="1" s="405">
      <c r="C926" s="218" t="n"/>
      <c r="D926" s="218" t="n"/>
    </row>
    <row r="927" ht="13.2" customHeight="1" s="405">
      <c r="C927" s="218" t="n"/>
      <c r="D927" s="218" t="n"/>
    </row>
    <row r="928" ht="13.2" customHeight="1" s="405">
      <c r="C928" s="218" t="n"/>
      <c r="D928" s="218" t="n"/>
    </row>
    <row r="929" ht="13.2" customHeight="1" s="405">
      <c r="C929" s="218" t="n"/>
      <c r="D929" s="218" t="n"/>
    </row>
    <row r="930" ht="13.2" customHeight="1" s="405">
      <c r="C930" s="218" t="n"/>
      <c r="D930" s="218" t="n"/>
    </row>
    <row r="931" ht="13.2" customHeight="1" s="405">
      <c r="C931" s="218" t="n"/>
      <c r="D931" s="218" t="n"/>
    </row>
    <row r="932" ht="13.2" customHeight="1" s="405">
      <c r="C932" s="218" t="n"/>
      <c r="D932" s="218" t="n"/>
    </row>
    <row r="933" ht="13.2" customHeight="1" s="405">
      <c r="C933" s="218" t="n"/>
      <c r="D933" s="218" t="n"/>
    </row>
    <row r="934" ht="13.2" customHeight="1" s="405">
      <c r="C934" s="218" t="n"/>
      <c r="D934" s="218" t="n"/>
    </row>
    <row r="935" ht="13.2" customHeight="1" s="405">
      <c r="C935" s="218" t="n"/>
      <c r="D935" s="218" t="n"/>
    </row>
    <row r="936" ht="13.2" customHeight="1" s="405">
      <c r="C936" s="218" t="n"/>
      <c r="D936" s="218" t="n"/>
    </row>
    <row r="937" ht="13.2" customHeight="1" s="405">
      <c r="C937" s="218" t="n"/>
      <c r="D937" s="218" t="n"/>
    </row>
    <row r="938" ht="13.2" customHeight="1" s="405">
      <c r="C938" s="218" t="n"/>
      <c r="D938" s="218" t="n"/>
    </row>
    <row r="939" ht="13.2" customHeight="1" s="405">
      <c r="C939" s="218" t="n"/>
      <c r="D939" s="218" t="n"/>
    </row>
    <row r="940" ht="13.2" customHeight="1" s="405">
      <c r="C940" s="218" t="n"/>
      <c r="D940" s="218" t="n"/>
    </row>
    <row r="941" ht="13.2" customHeight="1" s="405">
      <c r="C941" s="218" t="n"/>
      <c r="D941" s="218" t="n"/>
    </row>
    <row r="942" ht="13.2" customHeight="1" s="405">
      <c r="C942" s="218" t="n"/>
      <c r="D942" s="218" t="n"/>
    </row>
    <row r="943" ht="13.2" customHeight="1" s="405">
      <c r="C943" s="218" t="n"/>
      <c r="D943" s="218" t="n"/>
    </row>
    <row r="944" ht="13.2" customHeight="1" s="405">
      <c r="C944" s="218" t="n"/>
      <c r="D944" s="218" t="n"/>
    </row>
    <row r="945" ht="13.2" customHeight="1" s="405">
      <c r="C945" s="218" t="n"/>
      <c r="D945" s="218" t="n"/>
    </row>
    <row r="946" ht="13.2" customHeight="1" s="405">
      <c r="C946" s="218" t="n"/>
      <c r="D946" s="218" t="n"/>
    </row>
    <row r="947" ht="13.2" customHeight="1" s="405">
      <c r="C947" s="218" t="n"/>
      <c r="D947" s="218" t="n"/>
    </row>
    <row r="948" ht="13.2" customHeight="1" s="405">
      <c r="C948" s="218" t="n"/>
      <c r="D948" s="218" t="n"/>
    </row>
    <row r="949" ht="13.2" customHeight="1" s="405">
      <c r="C949" s="218" t="n"/>
      <c r="D949" s="218" t="n"/>
    </row>
    <row r="950" ht="13.2" customHeight="1" s="405">
      <c r="C950" s="218" t="n"/>
      <c r="D950" s="218" t="n"/>
    </row>
    <row r="951" ht="13.2" customHeight="1" s="405">
      <c r="C951" s="218" t="n"/>
      <c r="D951" s="218" t="n"/>
    </row>
    <row r="952" ht="13.2" customHeight="1" s="405">
      <c r="C952" s="218" t="n"/>
      <c r="D952" s="218" t="n"/>
    </row>
    <row r="953" ht="13.2" customHeight="1" s="405">
      <c r="C953" s="218" t="n"/>
      <c r="D953" s="218" t="n"/>
    </row>
    <row r="954" ht="13.2" customHeight="1" s="405">
      <c r="C954" s="218" t="n"/>
      <c r="D954" s="218" t="n"/>
    </row>
    <row r="955" ht="13.2" customHeight="1" s="405">
      <c r="C955" s="218" t="n"/>
      <c r="D955" s="218" t="n"/>
    </row>
    <row r="956" ht="13.2" customHeight="1" s="405">
      <c r="C956" s="218" t="n"/>
      <c r="D956" s="218" t="n"/>
    </row>
    <row r="957" ht="13.2" customHeight="1" s="405">
      <c r="C957" s="218" t="n"/>
      <c r="D957" s="218" t="n"/>
    </row>
    <row r="958" ht="13.2" customHeight="1" s="405">
      <c r="C958" s="218" t="n"/>
      <c r="D958" s="218" t="n"/>
    </row>
    <row r="959" ht="13.2" customHeight="1" s="405">
      <c r="C959" s="218" t="n"/>
      <c r="D959" s="218" t="n"/>
    </row>
    <row r="960" ht="13.2" customHeight="1" s="405">
      <c r="C960" s="218" t="n"/>
      <c r="D960" s="218" t="n"/>
    </row>
    <row r="961" ht="13.2" customHeight="1" s="405">
      <c r="C961" s="218" t="n"/>
      <c r="D961" s="218" t="n"/>
    </row>
    <row r="962" ht="13.2" customHeight="1" s="405">
      <c r="C962" s="218" t="n"/>
      <c r="D962" s="218" t="n"/>
    </row>
    <row r="963" ht="13.2" customHeight="1" s="405">
      <c r="C963" s="218" t="n"/>
      <c r="D963" s="218" t="n"/>
    </row>
    <row r="964" ht="13.2" customHeight="1" s="405">
      <c r="C964" s="218" t="n"/>
      <c r="D964" s="218" t="n"/>
    </row>
    <row r="965" ht="13.2" customHeight="1" s="405">
      <c r="C965" s="218" t="n"/>
      <c r="D965" s="218" t="n"/>
    </row>
    <row r="966" ht="13.2" customHeight="1" s="405">
      <c r="C966" s="218" t="n"/>
      <c r="D966" s="218" t="n"/>
    </row>
    <row r="967" ht="13.2" customHeight="1" s="405">
      <c r="C967" s="218" t="n"/>
      <c r="D967" s="218" t="n"/>
    </row>
    <row r="968" ht="13.2" customHeight="1" s="405">
      <c r="C968" s="218" t="n"/>
      <c r="D968" s="218" t="n"/>
    </row>
    <row r="969" ht="13.2" customHeight="1" s="405">
      <c r="C969" s="218" t="n"/>
      <c r="D969" s="218" t="n"/>
    </row>
    <row r="970" ht="13.2" customHeight="1" s="405">
      <c r="C970" s="218" t="n"/>
      <c r="D970" s="218" t="n"/>
    </row>
    <row r="971" ht="13.2" customHeight="1" s="405">
      <c r="C971" s="218" t="n"/>
      <c r="D971" s="218" t="n"/>
    </row>
    <row r="972" ht="13.2" customHeight="1" s="405">
      <c r="C972" s="218" t="n"/>
      <c r="D972" s="218" t="n"/>
    </row>
    <row r="973" ht="13.2" customHeight="1" s="405">
      <c r="C973" s="218" t="n"/>
      <c r="D973" s="218" t="n"/>
    </row>
    <row r="974" ht="13.2" customHeight="1" s="405">
      <c r="C974" s="218" t="n"/>
      <c r="D974" s="218" t="n"/>
    </row>
    <row r="975" ht="13.2" customHeight="1" s="405">
      <c r="C975" s="218" t="n"/>
      <c r="D975" s="218" t="n"/>
    </row>
    <row r="976" ht="13.2" customHeight="1" s="405">
      <c r="C976" s="218" t="n"/>
      <c r="D976" s="218" t="n"/>
    </row>
    <row r="977" ht="13.2" customHeight="1" s="405">
      <c r="C977" s="218" t="n"/>
      <c r="D977" s="218" t="n"/>
    </row>
    <row r="978" ht="13.2" customHeight="1" s="405">
      <c r="C978" s="218" t="n"/>
      <c r="D978" s="218" t="n"/>
    </row>
    <row r="979" ht="13.2" customHeight="1" s="405">
      <c r="C979" s="218" t="n"/>
      <c r="D979" s="218" t="n"/>
    </row>
    <row r="980" ht="13.2" customHeight="1" s="405">
      <c r="C980" s="218" t="n"/>
      <c r="D980" s="218" t="n"/>
    </row>
    <row r="981" ht="13.2" customHeight="1" s="405">
      <c r="C981" s="218" t="n"/>
      <c r="D981" s="218" t="n"/>
    </row>
    <row r="982" ht="13.2" customHeight="1" s="405">
      <c r="C982" s="218" t="n"/>
      <c r="D982" s="218" t="n"/>
    </row>
    <row r="983" ht="13.2" customHeight="1" s="405">
      <c r="C983" s="218" t="n"/>
      <c r="D983" s="218" t="n"/>
    </row>
    <row r="984" ht="13.2" customHeight="1" s="405">
      <c r="C984" s="218" t="n"/>
      <c r="D984" s="218" t="n"/>
    </row>
    <row r="985" ht="13.2" customHeight="1" s="405">
      <c r="C985" s="218" t="n"/>
      <c r="D985" s="218" t="n"/>
    </row>
    <row r="986" ht="13.2" customHeight="1" s="405">
      <c r="C986" s="218" t="n"/>
      <c r="D986" s="218" t="n"/>
    </row>
    <row r="987" ht="13.2" customHeight="1" s="405">
      <c r="C987" s="218" t="n"/>
      <c r="D987" s="218" t="n"/>
    </row>
    <row r="988" ht="13.2" customHeight="1" s="405">
      <c r="C988" s="218" t="n"/>
      <c r="D988" s="218" t="n"/>
    </row>
    <row r="989" ht="13.2" customHeight="1" s="405">
      <c r="C989" s="218" t="n"/>
      <c r="D989" s="218" t="n"/>
    </row>
    <row r="990" ht="13.2" customHeight="1" s="405">
      <c r="C990" s="218" t="n"/>
      <c r="D990" s="218" t="n"/>
    </row>
    <row r="991" ht="13.2" customHeight="1" s="405">
      <c r="C991" s="218" t="n"/>
      <c r="D991" s="218" t="n"/>
    </row>
    <row r="992" ht="13.2" customHeight="1" s="405">
      <c r="C992" s="218" t="n"/>
      <c r="D992" s="218" t="n"/>
    </row>
    <row r="993" ht="13.2" customHeight="1" s="405">
      <c r="C993" s="218" t="n"/>
      <c r="D993" s="218" t="n"/>
    </row>
    <row r="994" ht="13.2" customHeight="1" s="405">
      <c r="C994" s="218" t="n"/>
      <c r="D994" s="218" t="n"/>
    </row>
    <row r="995" ht="13.2" customHeight="1" s="405">
      <c r="C995" s="218" t="n"/>
      <c r="D995" s="218" t="n"/>
    </row>
    <row r="996" ht="13.2" customHeight="1" s="405">
      <c r="C996" s="218" t="n"/>
      <c r="D996" s="218" t="n"/>
    </row>
    <row r="997" ht="13.2" customHeight="1" s="405">
      <c r="C997" s="218" t="n"/>
      <c r="D997" s="218" t="n"/>
    </row>
    <row r="998" ht="13.2" customHeight="1" s="405">
      <c r="C998" s="218" t="n"/>
      <c r="D998" s="218" t="n"/>
    </row>
    <row r="999" ht="13.2" customHeight="1" s="405">
      <c r="C999" s="218" t="n"/>
      <c r="D999" s="218" t="n"/>
    </row>
    <row r="1000" ht="13.2" customHeight="1" s="405">
      <c r="C1000" s="218" t="n"/>
      <c r="D1000" s="218" t="n"/>
    </row>
    <row r="1001" ht="13.2" customHeight="1" s="405">
      <c r="C1001" s="218" t="n"/>
      <c r="D1001" s="218" t="n"/>
    </row>
  </sheetData>
  <mergeCells count="4">
    <mergeCell ref="A18:B18"/>
    <mergeCell ref="A20:B20"/>
    <mergeCell ref="A11:B11"/>
    <mergeCell ref="C1:H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J999"/>
  <sheetViews>
    <sheetView topLeftCell="A19" workbookViewId="0">
      <pane xSplit="2" topLeftCell="C1" activePane="topRight" state="frozen"/>
      <selection pane="topRight" activeCell="D2" sqref="D2"/>
    </sheetView>
  </sheetViews>
  <sheetFormatPr baseColWidth="8" defaultColWidth="12.6640625" defaultRowHeight="15.75" customHeight="1"/>
  <cols>
    <col width="4.33203125" customWidth="1" style="405" min="1" max="1"/>
  </cols>
  <sheetData>
    <row r="1">
      <c r="A1" s="222" t="n"/>
      <c r="B1" s="223" t="n"/>
      <c r="C1" s="224" t="n"/>
      <c r="D1" s="225" t="n"/>
      <c r="E1" s="226" t="n"/>
      <c r="F1" s="226" t="n"/>
      <c r="G1" s="226" t="n"/>
      <c r="H1" s="218" t="n"/>
    </row>
    <row r="2">
      <c r="A2" s="447" t="inlineStr">
        <is>
          <t>STT</t>
        </is>
      </c>
      <c r="B2" s="448" t="inlineStr">
        <is>
          <t>Ngày/tháng</t>
        </is>
      </c>
      <c r="C2" s="229" t="inlineStr">
        <is>
          <t xml:space="preserve">Ngân sách cấp 
</t>
        </is>
      </c>
      <c r="D2" s="233" t="inlineStr">
        <is>
          <t>Tổng đã tiêu</t>
        </is>
      </c>
      <c r="E2" s="229" t="inlineStr">
        <is>
          <t>Số đơn</t>
        </is>
      </c>
      <c r="F2" s="229" t="inlineStr">
        <is>
          <t>Doanh số</t>
        </is>
      </c>
      <c r="G2" s="229" t="inlineStr">
        <is>
          <t>Tỷ lệ CP</t>
        </is>
      </c>
      <c r="H2" s="218" t="n"/>
      <c r="J2" s="230" t="n"/>
    </row>
    <row r="3">
      <c r="A3" s="433" t="n"/>
      <c r="B3" s="433" t="n"/>
      <c r="C3" s="231">
        <f>+SUM(C4:C34)</f>
        <v/>
      </c>
      <c r="D3" s="232">
        <f>SUM(D4:D34)</f>
        <v/>
      </c>
      <c r="E3" s="233">
        <f>SUM(E4:E34)</f>
        <v/>
      </c>
      <c r="F3" s="232">
        <f>SUM(F4:F36)</f>
        <v/>
      </c>
      <c r="G3" s="234">
        <f>IFERROR(D3/F3,0)</f>
        <v/>
      </c>
      <c r="H3" s="235">
        <f>SUM(H4:H36)</f>
        <v/>
      </c>
      <c r="I3" s="235" t="n"/>
      <c r="J3" s="235" t="n"/>
    </row>
    <row r="4">
      <c r="A4" s="236" t="n">
        <v>1</v>
      </c>
      <c r="B4" s="237" t="n">
        <v>46204</v>
      </c>
      <c r="C4" s="239" t="n">
        <v>44000000</v>
      </c>
      <c r="D4" s="239">
        <f>'NH Anh CT'!D17</f>
        <v/>
      </c>
      <c r="E4" s="240" t="n">
        <v>7</v>
      </c>
      <c r="F4" s="241" t="n">
        <v>23975000</v>
      </c>
      <c r="G4" s="242">
        <f>IFERROR(D4/F4,0)</f>
        <v/>
      </c>
      <c r="H4" s="243" t="n">
        <v>3375000</v>
      </c>
      <c r="I4" s="244">
        <f>F4-H4</f>
        <v/>
      </c>
    </row>
    <row r="5">
      <c r="A5" s="245" t="n">
        <v>2</v>
      </c>
      <c r="B5" s="246" t="n">
        <v>46205</v>
      </c>
      <c r="C5" s="249" t="n"/>
      <c r="D5" s="249">
        <f>'NH Anh CT'!E17</f>
        <v/>
      </c>
      <c r="E5" s="250" t="n">
        <v>14</v>
      </c>
      <c r="F5" s="251" t="n">
        <v>45590000</v>
      </c>
      <c r="G5" s="252">
        <f>IFERROR(D5/F5,0)</f>
        <v/>
      </c>
      <c r="H5" s="243" t="n">
        <v>13050000</v>
      </c>
      <c r="I5" s="244">
        <f>F5-H5</f>
        <v/>
      </c>
    </row>
    <row r="6">
      <c r="A6" s="236" t="n">
        <v>3</v>
      </c>
      <c r="B6" s="237" t="n">
        <v>46206</v>
      </c>
      <c r="C6" s="239" t="n">
        <v>66000000</v>
      </c>
      <c r="D6" s="239">
        <f>'NH Anh CT'!F17</f>
        <v/>
      </c>
      <c r="E6" s="240" t="n">
        <v>20</v>
      </c>
      <c r="F6" s="241" t="n">
        <v>63165000</v>
      </c>
      <c r="G6" s="242">
        <f>IFERROR(D6/F6,0)</f>
        <v/>
      </c>
      <c r="H6" s="243" t="n">
        <v>24780000</v>
      </c>
      <c r="I6" s="244">
        <f>F6-H6</f>
        <v/>
      </c>
    </row>
    <row r="7">
      <c r="A7" s="245" t="n">
        <v>4</v>
      </c>
      <c r="B7" s="246" t="n">
        <v>46207</v>
      </c>
      <c r="C7" s="249" t="n"/>
      <c r="D7" s="249">
        <f>'NH Anh CT'!G17</f>
        <v/>
      </c>
      <c r="E7" s="250" t="n">
        <v>8</v>
      </c>
      <c r="F7" s="251" t="n">
        <v>26005000</v>
      </c>
      <c r="G7" s="252">
        <f>IFERROR(D7/F7,0)</f>
        <v/>
      </c>
      <c r="H7" s="243" t="n">
        <v>3375000</v>
      </c>
      <c r="I7" s="244">
        <f>F7-H7</f>
        <v/>
      </c>
    </row>
    <row r="8">
      <c r="A8" s="236" t="n">
        <v>5</v>
      </c>
      <c r="B8" s="237" t="n">
        <v>46208</v>
      </c>
      <c r="C8" s="239" t="n"/>
      <c r="D8" s="239">
        <f>'NH Anh CT'!H17</f>
        <v/>
      </c>
      <c r="E8" s="240" t="n">
        <v>13</v>
      </c>
      <c r="F8" s="241" t="n">
        <v>37860000</v>
      </c>
      <c r="G8" s="242">
        <f>IFERROR(D8/F8,0)</f>
        <v/>
      </c>
      <c r="H8" s="243" t="n">
        <v>8530000</v>
      </c>
      <c r="I8" s="244">
        <f>F8-H8</f>
        <v/>
      </c>
    </row>
    <row r="9">
      <c r="A9" s="245" t="n">
        <v>6</v>
      </c>
      <c r="B9" s="246" t="n">
        <v>46209</v>
      </c>
      <c r="C9" s="249" t="n">
        <v>88000000</v>
      </c>
      <c r="D9" s="249">
        <f>'NH Anh CT'!I17</f>
        <v/>
      </c>
      <c r="E9" s="250" t="n">
        <v>6</v>
      </c>
      <c r="F9" s="251" t="n">
        <v>20665000</v>
      </c>
      <c r="G9" s="252">
        <f>IFERROR(D9/F9,0)</f>
        <v/>
      </c>
      <c r="H9" s="243" t="n">
        <v>10640000</v>
      </c>
      <c r="I9" s="244">
        <f>F9-H9</f>
        <v/>
      </c>
    </row>
    <row r="10">
      <c r="A10" s="236" t="n">
        <v>7</v>
      </c>
      <c r="B10" s="237" t="n">
        <v>46210</v>
      </c>
      <c r="C10" s="239" t="n"/>
      <c r="D10" s="239">
        <f>'NH Anh CT'!J17</f>
        <v/>
      </c>
      <c r="E10" s="240" t="n">
        <v>20</v>
      </c>
      <c r="F10" s="241" t="n">
        <v>60085000</v>
      </c>
      <c r="G10" s="242">
        <f>IFERROR(D10/F10,0)</f>
        <v/>
      </c>
      <c r="H10" s="243" t="n">
        <v>12630000</v>
      </c>
      <c r="I10" s="244">
        <f>F10-H10</f>
        <v/>
      </c>
    </row>
    <row r="11">
      <c r="A11" s="245" t="n">
        <v>8</v>
      </c>
      <c r="B11" s="246" t="n">
        <v>46211</v>
      </c>
      <c r="C11" s="249" t="n"/>
      <c r="D11" s="249">
        <f>'NH Anh CT'!K17</f>
        <v/>
      </c>
      <c r="E11" s="250" t="n">
        <v>16</v>
      </c>
      <c r="F11" s="251" t="n">
        <v>49510000</v>
      </c>
      <c r="G11" s="252">
        <f>IFERROR(D11/F11,0)</f>
        <v/>
      </c>
      <c r="H11" s="243" t="n">
        <v>9445000</v>
      </c>
      <c r="I11" s="244">
        <f>F11-H11</f>
        <v/>
      </c>
    </row>
    <row r="12">
      <c r="A12" s="236" t="n">
        <v>9</v>
      </c>
      <c r="B12" s="237" t="n">
        <v>46212</v>
      </c>
      <c r="C12" s="239" t="n"/>
      <c r="D12" s="239">
        <f>'NH Anh CT'!L17</f>
        <v/>
      </c>
      <c r="E12" s="240" t="n">
        <v>8</v>
      </c>
      <c r="F12" s="241" t="n">
        <v>23270000</v>
      </c>
      <c r="G12" s="242">
        <f>IFERROR(D12/F12,0)</f>
        <v/>
      </c>
      <c r="H12" s="243" t="n">
        <v>5820000</v>
      </c>
      <c r="I12" s="244">
        <f>F12-H12</f>
        <v/>
      </c>
    </row>
    <row r="13">
      <c r="A13" s="245" t="n">
        <v>10</v>
      </c>
      <c r="B13" s="246" t="n">
        <v>46213</v>
      </c>
      <c r="C13" s="249" t="n"/>
      <c r="D13" s="249">
        <f>'NH Anh CT'!M17</f>
        <v/>
      </c>
      <c r="E13" s="250" t="n">
        <v>9</v>
      </c>
      <c r="F13" s="251" t="n">
        <v>27925000</v>
      </c>
      <c r="G13" s="252">
        <f>IFERROR(D13/F13,0)</f>
        <v/>
      </c>
      <c r="H13" s="218" t="n"/>
      <c r="I13" s="244">
        <f>F13-H13</f>
        <v/>
      </c>
    </row>
    <row r="14">
      <c r="A14" s="236" t="n">
        <v>11</v>
      </c>
      <c r="B14" s="237" t="n">
        <v>46214</v>
      </c>
      <c r="C14" s="239" t="n"/>
      <c r="D14" s="239">
        <f>'NH Anh CT'!N17</f>
        <v/>
      </c>
      <c r="E14" s="240" t="n">
        <v>19</v>
      </c>
      <c r="F14" s="241" t="n">
        <v>59780000</v>
      </c>
      <c r="G14" s="242">
        <f>IFERROR(D14/F14,0)</f>
        <v/>
      </c>
      <c r="H14" s="243" t="n">
        <v>12420000</v>
      </c>
      <c r="I14" s="244">
        <f>F14-H14</f>
        <v/>
      </c>
    </row>
    <row r="15">
      <c r="A15" s="245" t="n">
        <v>12</v>
      </c>
      <c r="B15" s="246" t="n">
        <v>46215</v>
      </c>
      <c r="C15" s="249" t="n"/>
      <c r="D15" s="249">
        <f>'NH Anh CT'!O17</f>
        <v/>
      </c>
      <c r="E15" s="250" t="n">
        <v>10</v>
      </c>
      <c r="F15" s="251" t="n">
        <v>31885000</v>
      </c>
      <c r="G15" s="252">
        <f>IFERROR(D15/F15,0)</f>
        <v/>
      </c>
      <c r="H15" s="243" t="n">
        <v>13410000</v>
      </c>
      <c r="I15" s="244">
        <f>F15-H15</f>
        <v/>
      </c>
    </row>
    <row r="16">
      <c r="A16" s="236" t="n">
        <v>13</v>
      </c>
      <c r="B16" s="237" t="n">
        <v>46216</v>
      </c>
      <c r="C16" s="239" t="n"/>
      <c r="D16" s="239">
        <f>'NH Anh CT'!P17</f>
        <v/>
      </c>
      <c r="E16" s="240" t="n">
        <v>8</v>
      </c>
      <c r="F16" s="241" t="n">
        <v>25210000</v>
      </c>
      <c r="G16" s="242">
        <f>IFERROR(D16/F16,0)</f>
        <v/>
      </c>
      <c r="H16" s="243" t="n">
        <v>6970000</v>
      </c>
      <c r="I16" s="244">
        <f>F16-H16</f>
        <v/>
      </c>
    </row>
    <row r="17">
      <c r="A17" s="245" t="n">
        <v>14</v>
      </c>
      <c r="B17" s="246" t="n">
        <v>46217</v>
      </c>
      <c r="C17" s="249" t="n"/>
      <c r="D17" s="249">
        <f>'NH Anh CT'!Q17</f>
        <v/>
      </c>
      <c r="E17" s="250" t="n">
        <v>16</v>
      </c>
      <c r="F17" s="251" t="n">
        <v>50490000</v>
      </c>
      <c r="G17" s="242">
        <f>IFERROR(D17/F17,0)</f>
        <v/>
      </c>
      <c r="H17" s="243" t="n">
        <v>3330000</v>
      </c>
      <c r="I17" s="244">
        <f>F17-H17</f>
        <v/>
      </c>
    </row>
    <row r="18">
      <c r="A18" s="236" t="n">
        <v>15</v>
      </c>
      <c r="B18" s="237" t="n">
        <v>46218</v>
      </c>
      <c r="C18" s="239" t="n"/>
      <c r="D18" s="239">
        <f>'NH Anh CT'!R17</f>
        <v/>
      </c>
      <c r="E18" s="240" t="n">
        <v>16</v>
      </c>
      <c r="F18" s="241" t="n">
        <v>51525000</v>
      </c>
      <c r="G18" s="242">
        <f>IFERROR(D18/F18,0)</f>
        <v/>
      </c>
      <c r="H18" s="243" t="n">
        <v>11860000</v>
      </c>
      <c r="I18" s="244">
        <f>F18-H18</f>
        <v/>
      </c>
    </row>
    <row r="19">
      <c r="A19" s="245" t="n">
        <v>16</v>
      </c>
      <c r="B19" s="246" t="n">
        <v>46219</v>
      </c>
      <c r="C19" s="249" t="n"/>
      <c r="D19" s="249">
        <f>'NH Anh CT'!S17</f>
        <v/>
      </c>
      <c r="E19" s="250" t="n">
        <v>8</v>
      </c>
      <c r="F19" s="251" t="n">
        <v>24970000</v>
      </c>
      <c r="G19" s="252">
        <f>IFERROR(D19/F19,0)</f>
        <v/>
      </c>
      <c r="H19" s="243" t="n"/>
      <c r="I19" s="244">
        <f>F19-H19</f>
        <v/>
      </c>
    </row>
    <row r="20">
      <c r="A20" s="236" t="n">
        <v>17</v>
      </c>
      <c r="B20" s="237" t="n">
        <v>46220</v>
      </c>
      <c r="C20" s="239" t="n"/>
      <c r="D20" s="269">
        <f>'NH Anh CT'!T17</f>
        <v/>
      </c>
      <c r="E20" s="240" t="n">
        <v>20</v>
      </c>
      <c r="F20" s="241" t="n">
        <v>65865000</v>
      </c>
      <c r="G20" s="242">
        <f>IFERROR(D20/F20,0)</f>
        <v/>
      </c>
      <c r="H20" s="243" t="n">
        <v>9775000</v>
      </c>
      <c r="I20" s="244">
        <f>F20-H20</f>
        <v/>
      </c>
    </row>
    <row r="21">
      <c r="A21" s="245" t="n">
        <v>18</v>
      </c>
      <c r="B21" s="246" t="n">
        <v>46221</v>
      </c>
      <c r="C21" s="249" t="n"/>
      <c r="D21" s="249">
        <f>'NH Anh CT'!U17</f>
        <v/>
      </c>
      <c r="E21" s="250" t="n">
        <v>12</v>
      </c>
      <c r="F21" s="251" t="n">
        <v>39025000</v>
      </c>
      <c r="G21" s="252">
        <f>IFERROR(D21/F21,0)</f>
        <v/>
      </c>
      <c r="H21" s="243" t="n">
        <v>15780000</v>
      </c>
      <c r="I21" s="244">
        <f>F21-H21</f>
        <v/>
      </c>
    </row>
    <row r="22">
      <c r="A22" s="236" t="n">
        <v>19</v>
      </c>
      <c r="B22" s="237" t="n">
        <v>46222</v>
      </c>
      <c r="C22" s="239" t="n"/>
      <c r="D22" s="239">
        <f>'NH Anh CT'!V17</f>
        <v/>
      </c>
      <c r="E22" s="240" t="n">
        <v>13</v>
      </c>
      <c r="F22" s="241" t="n">
        <v>42510000</v>
      </c>
      <c r="G22" s="242">
        <f>IFERROR(D22/F22,0)</f>
        <v/>
      </c>
      <c r="H22" s="243" t="n">
        <v>3375000</v>
      </c>
      <c r="I22" s="244">
        <f>F22-H22</f>
        <v/>
      </c>
    </row>
    <row r="23">
      <c r="A23" s="245" t="n">
        <v>20</v>
      </c>
      <c r="B23" s="246" t="n">
        <v>46223</v>
      </c>
      <c r="C23" s="249" t="n"/>
      <c r="D23" s="249">
        <f>'NH Anh CT'!W17</f>
        <v/>
      </c>
      <c r="E23" s="250" t="n">
        <v>15</v>
      </c>
      <c r="F23" s="251" t="n">
        <v>41975000</v>
      </c>
      <c r="G23" s="252">
        <f>IFERROR(D23/F23,0)</f>
        <v/>
      </c>
      <c r="H23" s="243" t="n">
        <v>13360000</v>
      </c>
      <c r="I23" s="244">
        <f>F23-H23</f>
        <v/>
      </c>
    </row>
    <row r="24">
      <c r="A24" s="236" t="n">
        <v>21</v>
      </c>
      <c r="B24" s="237" t="n">
        <v>46224</v>
      </c>
      <c r="C24" s="239" t="n"/>
      <c r="D24" s="239">
        <f>'NH Anh CT'!X17</f>
        <v/>
      </c>
      <c r="E24" s="240" t="n">
        <v>14</v>
      </c>
      <c r="F24" s="241" t="n">
        <v>44645000</v>
      </c>
      <c r="G24" s="242">
        <f>IFERROR(D24/F24,0)</f>
        <v/>
      </c>
      <c r="H24" s="243" t="n">
        <v>6730000</v>
      </c>
      <c r="I24" s="244">
        <f>F24-H24</f>
        <v/>
      </c>
    </row>
    <row r="25">
      <c r="A25" s="245" t="n">
        <v>22</v>
      </c>
      <c r="B25" s="246" t="n">
        <v>46225</v>
      </c>
      <c r="C25" s="249" t="n"/>
      <c r="D25" s="249">
        <f>'NH Anh CT'!Y17</f>
        <v/>
      </c>
      <c r="E25" s="250" t="n">
        <v>17</v>
      </c>
      <c r="F25" s="251" t="n">
        <v>50365000</v>
      </c>
      <c r="G25" s="252">
        <f>IFERROR(D25/F25,0)</f>
        <v/>
      </c>
      <c r="H25" s="243" t="n">
        <v>3330000</v>
      </c>
      <c r="I25" s="244">
        <f>F25-H25</f>
        <v/>
      </c>
    </row>
    <row r="26">
      <c r="A26" s="236" t="n">
        <v>23</v>
      </c>
      <c r="B26" s="237" t="n">
        <v>46226</v>
      </c>
      <c r="C26" s="239" t="n"/>
      <c r="D26" s="239">
        <f>'NH Anh CT'!Z17</f>
        <v/>
      </c>
      <c r="E26" s="240" t="n">
        <v>21</v>
      </c>
      <c r="F26" s="241" t="n">
        <v>68085000</v>
      </c>
      <c r="G26" s="242">
        <f>IFERROR(D26/F26,0)</f>
        <v/>
      </c>
      <c r="H26" s="243" t="n">
        <v>12950000</v>
      </c>
      <c r="I26" s="244">
        <f>F26-H26</f>
        <v/>
      </c>
    </row>
    <row r="27">
      <c r="A27" s="245" t="n">
        <v>24</v>
      </c>
      <c r="B27" s="246" t="n">
        <v>46227</v>
      </c>
      <c r="C27" s="249" t="n"/>
      <c r="D27" s="249">
        <f>'NH Anh CT'!AA17</f>
        <v/>
      </c>
      <c r="E27" s="250" t="n">
        <v>13</v>
      </c>
      <c r="F27" s="251" t="n">
        <v>43030000</v>
      </c>
      <c r="G27" s="252">
        <f>IFERROR(D27/F27,0)</f>
        <v/>
      </c>
      <c r="H27" s="218" t="n"/>
      <c r="I27" s="244">
        <f>F27-H27</f>
        <v/>
      </c>
    </row>
    <row r="28">
      <c r="A28" s="236" t="n">
        <v>25</v>
      </c>
      <c r="B28" s="237" t="n">
        <v>46228</v>
      </c>
      <c r="C28" s="239" t="n"/>
      <c r="D28" s="239">
        <f>'NH Anh CT'!AB17</f>
        <v/>
      </c>
      <c r="E28" s="240" t="n">
        <v>13</v>
      </c>
      <c r="F28" s="241" t="n">
        <v>44250000</v>
      </c>
      <c r="G28" s="242">
        <f>IFERROR(D28/F28,0)</f>
        <v/>
      </c>
      <c r="H28" s="243" t="n">
        <v>18765000</v>
      </c>
      <c r="I28" s="244">
        <f>F28-H28</f>
        <v/>
      </c>
    </row>
    <row r="29">
      <c r="A29" s="245" t="n">
        <v>26</v>
      </c>
      <c r="B29" s="246" t="n">
        <v>46229</v>
      </c>
      <c r="C29" s="249" t="n"/>
      <c r="D29" s="249">
        <f>'NH Anh CT'!AC17</f>
        <v/>
      </c>
      <c r="E29" s="250" t="n">
        <v>7</v>
      </c>
      <c r="F29" s="251" t="n">
        <v>22630000</v>
      </c>
      <c r="G29" s="252">
        <f>IFERROR(D29/F29,0)</f>
        <v/>
      </c>
      <c r="H29" s="243" t="n">
        <v>6955000</v>
      </c>
      <c r="I29" s="244">
        <f>F29-H29</f>
        <v/>
      </c>
    </row>
    <row r="30">
      <c r="A30" s="236" t="n">
        <v>27</v>
      </c>
      <c r="B30" s="237" t="n">
        <v>46230</v>
      </c>
      <c r="C30" s="239" t="n"/>
      <c r="D30" s="239">
        <f>'NH Anh CT'!AD17</f>
        <v/>
      </c>
      <c r="E30" s="240" t="n">
        <v>12</v>
      </c>
      <c r="F30" s="241" t="n">
        <v>39690000</v>
      </c>
      <c r="G30" s="242">
        <f>IFERROR(D30/F30,0)</f>
        <v/>
      </c>
      <c r="H30" s="243" t="n">
        <v>13580000</v>
      </c>
      <c r="I30" s="244">
        <f>F30-H30</f>
        <v/>
      </c>
    </row>
    <row r="31">
      <c r="A31" s="245" t="n">
        <v>28</v>
      </c>
      <c r="B31" s="246" t="n">
        <v>46231</v>
      </c>
      <c r="C31" s="249" t="n"/>
      <c r="D31" s="249">
        <f>'NH Anh CT'!AE17</f>
        <v/>
      </c>
      <c r="E31" s="250" t="n">
        <v>3</v>
      </c>
      <c r="F31" s="251" t="n">
        <v>9830000</v>
      </c>
      <c r="G31" s="252">
        <f>IFERROR(D31/F31,0)</f>
        <v/>
      </c>
      <c r="H31" s="243" t="n">
        <v>3545000</v>
      </c>
      <c r="I31" s="244">
        <f>F31-H31</f>
        <v/>
      </c>
    </row>
    <row r="32">
      <c r="A32" s="236" t="n">
        <v>29</v>
      </c>
      <c r="B32" s="237" t="n">
        <v>46232</v>
      </c>
      <c r="C32" s="239" t="n"/>
      <c r="D32" s="239">
        <f>'NH Anh CT'!AF17</f>
        <v/>
      </c>
      <c r="E32" s="240" t="n">
        <v>8</v>
      </c>
      <c r="F32" s="241" t="n">
        <v>25900000</v>
      </c>
      <c r="G32" s="242">
        <f>IFERROR(D32/F32,0)</f>
        <v/>
      </c>
      <c r="H32" s="218" t="n"/>
      <c r="I32" s="106">
        <f>F32-H32</f>
        <v/>
      </c>
    </row>
    <row r="33">
      <c r="A33" s="245" t="n">
        <v>30</v>
      </c>
      <c r="B33" s="246" t="n">
        <v>46233</v>
      </c>
      <c r="C33" s="249" t="n"/>
      <c r="D33" s="249">
        <f>'NH Anh CT'!AG17</f>
        <v/>
      </c>
      <c r="E33" s="250" t="n">
        <v>23</v>
      </c>
      <c r="F33" s="251" t="n">
        <v>72730000</v>
      </c>
      <c r="G33" s="252">
        <f>IFERROR(D33/F33,0)</f>
        <v/>
      </c>
      <c r="H33" s="243" t="n">
        <v>19015000</v>
      </c>
      <c r="I33" s="106">
        <f>F33-H33</f>
        <v/>
      </c>
    </row>
    <row r="34">
      <c r="A34" s="236" t="n">
        <v>31</v>
      </c>
      <c r="B34" s="237" t="n">
        <v>46234</v>
      </c>
      <c r="C34" s="239" t="n"/>
      <c r="D34" s="239">
        <f>'NH Anh CT'!AH17</f>
        <v/>
      </c>
      <c r="E34" s="240" t="n">
        <v>10</v>
      </c>
      <c r="F34" s="241" t="n">
        <v>32525000</v>
      </c>
      <c r="G34" s="242">
        <f>IFERROR(D34/F34,0)</f>
        <v/>
      </c>
      <c r="H34" s="243" t="n">
        <v>2910000</v>
      </c>
      <c r="I34" s="106">
        <f>F34-H34</f>
        <v/>
      </c>
    </row>
    <row r="35">
      <c r="A35" s="271" t="n"/>
      <c r="B35" s="272" t="n"/>
      <c r="C35" s="275" t="n"/>
      <c r="D35" s="274" t="n"/>
      <c r="E35" s="275" t="n"/>
      <c r="F35" s="276" t="n">
        <v>-140480979</v>
      </c>
      <c r="G35" s="277" t="n"/>
      <c r="H35" s="218" t="n"/>
    </row>
    <row r="36">
      <c r="A36" s="278" t="n"/>
      <c r="B36" s="279" t="n"/>
      <c r="C36" s="281" t="n"/>
      <c r="D36" s="281" t="n"/>
      <c r="E36" s="281" t="n"/>
      <c r="F36" s="281" t="n"/>
      <c r="G36" s="281" t="n"/>
      <c r="H36" s="218" t="n"/>
    </row>
    <row r="37">
      <c r="A37" s="278" t="n"/>
      <c r="B37" s="279" t="n"/>
      <c r="C37" s="281" t="n"/>
      <c r="D37" s="281" t="n"/>
      <c r="E37" s="281" t="n"/>
      <c r="F37" s="281" t="n"/>
      <c r="G37" s="281" t="n"/>
      <c r="H37" s="218" t="n"/>
    </row>
    <row r="38">
      <c r="A38" s="278" t="n"/>
      <c r="B38" s="279" t="n"/>
      <c r="C38" s="281" t="n"/>
      <c r="D38" s="281" t="n"/>
      <c r="E38" s="281" t="n"/>
      <c r="F38" s="281" t="n"/>
      <c r="G38" s="281" t="n"/>
      <c r="H38" s="218" t="n"/>
    </row>
    <row r="39">
      <c r="A39" s="278" t="n"/>
      <c r="B39" s="279" t="n"/>
      <c r="C39" s="281" t="n"/>
      <c r="D39" s="281" t="n"/>
      <c r="E39" s="281" t="n"/>
      <c r="F39" s="281" t="n"/>
      <c r="G39" s="281" t="n"/>
      <c r="H39" s="218" t="n"/>
    </row>
    <row r="40">
      <c r="A40" s="278" t="n"/>
      <c r="B40" s="279" t="n"/>
      <c r="C40" s="281" t="n"/>
      <c r="D40" s="281" t="n"/>
      <c r="E40" s="281" t="n"/>
      <c r="F40" s="281" t="n"/>
      <c r="G40" s="281" t="n"/>
      <c r="H40" s="218" t="n"/>
    </row>
    <row r="41">
      <c r="A41" s="278" t="n"/>
      <c r="B41" s="279" t="n"/>
      <c r="C41" s="281" t="n"/>
      <c r="D41" s="281" t="n"/>
      <c r="E41" s="281" t="n"/>
      <c r="F41" s="281" t="n"/>
      <c r="G41" s="281" t="n"/>
      <c r="H41" s="218" t="n"/>
    </row>
    <row r="42">
      <c r="A42" s="278" t="n"/>
      <c r="B42" s="279" t="n"/>
      <c r="C42" s="281" t="n"/>
      <c r="D42" s="281" t="n"/>
      <c r="E42" s="281" t="n"/>
      <c r="F42" s="281" t="n"/>
      <c r="G42" s="281" t="n"/>
      <c r="H42" s="218" t="n"/>
    </row>
    <row r="43">
      <c r="A43" s="278" t="n"/>
      <c r="B43" s="279" t="n"/>
      <c r="C43" s="281" t="n"/>
      <c r="D43" s="281" t="n"/>
      <c r="E43" s="281" t="n"/>
      <c r="F43" s="281" t="n"/>
      <c r="G43" s="281" t="n"/>
      <c r="H43" s="218" t="n"/>
    </row>
    <row r="44">
      <c r="A44" s="278" t="n"/>
      <c r="B44" s="279" t="n"/>
      <c r="C44" s="281" t="n"/>
      <c r="D44" s="281" t="n"/>
      <c r="E44" s="281" t="n"/>
      <c r="F44" s="281" t="n"/>
      <c r="G44" s="281" t="n"/>
      <c r="H44" s="218" t="n"/>
    </row>
    <row r="45">
      <c r="A45" s="278" t="n"/>
      <c r="B45" s="279" t="n"/>
      <c r="C45" s="281" t="n"/>
      <c r="D45" s="281" t="n"/>
      <c r="E45" s="281" t="n"/>
      <c r="F45" s="281" t="n"/>
      <c r="G45" s="281" t="n"/>
      <c r="H45" s="218" t="n"/>
    </row>
    <row r="46">
      <c r="A46" s="278" t="n"/>
      <c r="B46" s="279" t="n"/>
      <c r="C46" s="281" t="n"/>
      <c r="D46" s="281" t="n"/>
      <c r="E46" s="281" t="n"/>
      <c r="F46" s="281" t="n"/>
      <c r="G46" s="281" t="n"/>
      <c r="H46" s="218" t="n"/>
    </row>
    <row r="47">
      <c r="A47" s="278" t="n"/>
      <c r="B47" s="279" t="n"/>
      <c r="C47" s="281" t="n"/>
      <c r="D47" s="281" t="n"/>
      <c r="E47" s="281" t="n"/>
      <c r="F47" s="281" t="n"/>
      <c r="G47" s="281" t="n"/>
      <c r="H47" s="218" t="n"/>
    </row>
    <row r="48">
      <c r="A48" s="278" t="n"/>
      <c r="B48" s="279" t="n"/>
      <c r="C48" s="281" t="n"/>
      <c r="D48" s="281" t="n"/>
      <c r="E48" s="281" t="n"/>
      <c r="F48" s="281" t="n"/>
      <c r="G48" s="281" t="n"/>
      <c r="H48" s="218" t="n"/>
    </row>
    <row r="49">
      <c r="A49" s="278" t="n"/>
      <c r="B49" s="279" t="n"/>
      <c r="C49" s="281" t="n"/>
      <c r="D49" s="281" t="n"/>
      <c r="E49" s="281" t="n"/>
      <c r="F49" s="281" t="n"/>
      <c r="G49" s="281" t="n"/>
      <c r="H49" s="218" t="n"/>
    </row>
    <row r="50">
      <c r="A50" s="278" t="n"/>
      <c r="B50" s="279" t="n"/>
      <c r="C50" s="281" t="n"/>
      <c r="D50" s="281" t="n"/>
      <c r="E50" s="281" t="n"/>
      <c r="F50" s="281" t="n"/>
      <c r="G50" s="281" t="n"/>
      <c r="H50" s="218" t="n"/>
    </row>
    <row r="51">
      <c r="A51" s="278" t="n"/>
      <c r="B51" s="279" t="n"/>
      <c r="C51" s="281" t="n"/>
      <c r="D51" s="281" t="n"/>
      <c r="E51" s="281" t="n"/>
      <c r="F51" s="281" t="n"/>
      <c r="G51" s="281" t="n"/>
      <c r="H51" s="218" t="n"/>
    </row>
    <row r="52">
      <c r="A52" s="278" t="n"/>
      <c r="B52" s="279" t="n"/>
      <c r="C52" s="281" t="n"/>
      <c r="D52" s="281" t="n"/>
      <c r="E52" s="281" t="n"/>
      <c r="F52" s="281" t="n"/>
      <c r="G52" s="281" t="n"/>
      <c r="H52" s="218" t="n"/>
    </row>
    <row r="53">
      <c r="A53" s="278" t="n"/>
      <c r="B53" s="279" t="n"/>
      <c r="C53" s="281" t="n"/>
      <c r="D53" s="281" t="n"/>
      <c r="E53" s="281" t="n"/>
      <c r="F53" s="281" t="n"/>
      <c r="G53" s="281" t="n"/>
      <c r="H53" s="218" t="n"/>
    </row>
    <row r="54">
      <c r="A54" s="278" t="n"/>
      <c r="B54" s="279" t="n"/>
      <c r="C54" s="281" t="n"/>
      <c r="D54" s="281" t="n"/>
      <c r="E54" s="281" t="n"/>
      <c r="F54" s="281" t="n"/>
      <c r="G54" s="281" t="n"/>
      <c r="H54" s="218" t="n"/>
    </row>
    <row r="55">
      <c r="A55" s="278" t="n"/>
      <c r="B55" s="279" t="n"/>
      <c r="C55" s="281" t="n"/>
      <c r="D55" s="281" t="n"/>
      <c r="E55" s="281" t="n"/>
      <c r="F55" s="281" t="n"/>
      <c r="G55" s="281" t="n"/>
      <c r="H55" s="218" t="n"/>
    </row>
    <row r="56">
      <c r="A56" s="278" t="n"/>
      <c r="B56" s="279" t="n"/>
      <c r="C56" s="281" t="n"/>
      <c r="D56" s="281" t="n"/>
      <c r="E56" s="281" t="n"/>
      <c r="F56" s="281" t="n"/>
      <c r="G56" s="281" t="n"/>
      <c r="H56" s="218" t="n"/>
    </row>
    <row r="57">
      <c r="A57" s="278" t="n"/>
      <c r="B57" s="279" t="n"/>
      <c r="C57" s="281" t="n"/>
      <c r="D57" s="281" t="n"/>
      <c r="E57" s="281" t="n"/>
      <c r="F57" s="281" t="n"/>
      <c r="G57" s="281" t="n"/>
      <c r="H57" s="218" t="n"/>
    </row>
    <row r="58">
      <c r="A58" s="278" t="n"/>
      <c r="B58" s="279" t="n"/>
      <c r="C58" s="281" t="n"/>
      <c r="D58" s="281" t="n"/>
      <c r="E58" s="281" t="n"/>
      <c r="F58" s="281" t="n"/>
      <c r="G58" s="281" t="n"/>
      <c r="H58" s="218" t="n"/>
    </row>
    <row r="59">
      <c r="A59" s="278" t="n"/>
      <c r="B59" s="279" t="n"/>
      <c r="C59" s="281" t="n"/>
      <c r="D59" s="281" t="n"/>
      <c r="E59" s="281" t="n"/>
      <c r="F59" s="281" t="n"/>
      <c r="G59" s="281" t="n"/>
      <c r="H59" s="218" t="n"/>
    </row>
    <row r="60">
      <c r="A60" s="278" t="n"/>
      <c r="B60" s="279" t="n"/>
      <c r="C60" s="281" t="n"/>
      <c r="D60" s="281" t="n"/>
      <c r="E60" s="281" t="n"/>
      <c r="F60" s="281" t="n"/>
      <c r="G60" s="281" t="n"/>
      <c r="H60" s="218" t="n"/>
    </row>
    <row r="61">
      <c r="A61" s="278" t="n"/>
      <c r="B61" s="279" t="n"/>
      <c r="C61" s="281" t="n"/>
      <c r="D61" s="281" t="n"/>
      <c r="E61" s="281" t="n"/>
      <c r="F61" s="281" t="n"/>
      <c r="G61" s="281" t="n"/>
      <c r="H61" s="218" t="n"/>
    </row>
    <row r="62">
      <c r="A62" s="278" t="n"/>
      <c r="B62" s="279" t="n"/>
      <c r="C62" s="281" t="n"/>
      <c r="D62" s="281" t="n"/>
      <c r="E62" s="281" t="n"/>
      <c r="F62" s="281" t="n"/>
      <c r="G62" s="281" t="n"/>
      <c r="H62" s="218" t="n"/>
    </row>
    <row r="63">
      <c r="A63" s="278" t="n"/>
      <c r="B63" s="279" t="n"/>
      <c r="C63" s="281" t="n"/>
      <c r="D63" s="281" t="n"/>
      <c r="E63" s="281" t="n"/>
      <c r="F63" s="281" t="n"/>
      <c r="G63" s="281" t="n"/>
      <c r="H63" s="218" t="n"/>
    </row>
    <row r="64">
      <c r="A64" s="278" t="n"/>
      <c r="B64" s="279" t="n"/>
      <c r="C64" s="281" t="n"/>
      <c r="D64" s="281" t="n"/>
      <c r="E64" s="281" t="n"/>
      <c r="F64" s="281" t="n"/>
      <c r="G64" s="281" t="n"/>
      <c r="H64" s="218" t="n"/>
    </row>
    <row r="65">
      <c r="A65" s="278" t="n"/>
      <c r="B65" s="279" t="n"/>
      <c r="C65" s="281" t="n"/>
      <c r="D65" s="281" t="n"/>
      <c r="E65" s="281" t="n"/>
      <c r="F65" s="281" t="n"/>
      <c r="G65" s="281" t="n"/>
      <c r="H65" s="218" t="n"/>
    </row>
    <row r="66">
      <c r="A66" s="278" t="n"/>
      <c r="B66" s="279" t="n"/>
      <c r="C66" s="281" t="n"/>
      <c r="D66" s="281" t="n"/>
      <c r="E66" s="281" t="n"/>
      <c r="F66" s="281" t="n"/>
      <c r="G66" s="281" t="n"/>
      <c r="H66" s="218" t="n"/>
    </row>
    <row r="67">
      <c r="A67" s="278" t="n"/>
      <c r="B67" s="279" t="n"/>
      <c r="C67" s="281" t="n"/>
      <c r="D67" s="281" t="n"/>
      <c r="E67" s="281" t="n"/>
      <c r="F67" s="281" t="n"/>
      <c r="G67" s="281" t="n"/>
      <c r="H67" s="218" t="n"/>
    </row>
    <row r="68">
      <c r="A68" s="278" t="n"/>
      <c r="B68" s="279" t="n"/>
      <c r="C68" s="281" t="n"/>
      <c r="D68" s="281" t="n"/>
      <c r="E68" s="281" t="n"/>
      <c r="F68" s="281" t="n"/>
      <c r="G68" s="281" t="n"/>
      <c r="H68" s="218" t="n"/>
    </row>
    <row r="69">
      <c r="A69" s="278" t="n"/>
      <c r="B69" s="279" t="n"/>
      <c r="C69" s="281" t="n"/>
      <c r="D69" s="281" t="n"/>
      <c r="E69" s="281" t="n"/>
      <c r="F69" s="281" t="n"/>
      <c r="G69" s="281" t="n"/>
      <c r="H69" s="218" t="n"/>
    </row>
    <row r="70">
      <c r="A70" s="278" t="n"/>
      <c r="B70" s="279" t="n"/>
      <c r="C70" s="281" t="n"/>
      <c r="D70" s="281" t="n"/>
      <c r="E70" s="281" t="n"/>
      <c r="F70" s="281" t="n"/>
      <c r="G70" s="281" t="n"/>
      <c r="H70" s="218" t="n"/>
    </row>
    <row r="71">
      <c r="A71" s="278" t="n"/>
      <c r="B71" s="279" t="n"/>
      <c r="C71" s="281" t="n"/>
      <c r="D71" s="281" t="n"/>
      <c r="E71" s="281" t="n"/>
      <c r="F71" s="281" t="n"/>
      <c r="G71" s="281" t="n"/>
      <c r="H71" s="218" t="n"/>
    </row>
    <row r="72">
      <c r="A72" s="278" t="n"/>
      <c r="B72" s="279" t="n"/>
      <c r="C72" s="281" t="n"/>
      <c r="D72" s="281" t="n"/>
      <c r="E72" s="281" t="n"/>
      <c r="F72" s="281" t="n"/>
      <c r="G72" s="281" t="n"/>
      <c r="H72" s="218" t="n"/>
    </row>
    <row r="73">
      <c r="A73" s="278" t="n"/>
      <c r="B73" s="279" t="n"/>
      <c r="C73" s="281" t="n"/>
      <c r="D73" s="281" t="n"/>
      <c r="E73" s="281" t="n"/>
      <c r="F73" s="281" t="n"/>
      <c r="G73" s="281" t="n"/>
      <c r="H73" s="218" t="n"/>
    </row>
    <row r="74">
      <c r="A74" s="278" t="n"/>
      <c r="B74" s="279" t="n"/>
      <c r="C74" s="281" t="n"/>
      <c r="D74" s="281" t="n"/>
      <c r="E74" s="281" t="n"/>
      <c r="F74" s="281" t="n"/>
      <c r="G74" s="281" t="n"/>
      <c r="H74" s="218" t="n"/>
    </row>
    <row r="75">
      <c r="A75" s="278" t="n"/>
      <c r="B75" s="279" t="n"/>
      <c r="C75" s="281" t="n"/>
      <c r="D75" s="281" t="n"/>
      <c r="E75" s="281" t="n"/>
      <c r="F75" s="281" t="n"/>
      <c r="G75" s="281" t="n"/>
      <c r="H75" s="218" t="n"/>
    </row>
    <row r="76">
      <c r="A76" s="278" t="n"/>
      <c r="B76" s="279" t="n"/>
      <c r="C76" s="281" t="n"/>
      <c r="D76" s="281" t="n"/>
      <c r="E76" s="281" t="n"/>
      <c r="F76" s="281" t="n"/>
      <c r="G76" s="281" t="n"/>
      <c r="H76" s="218" t="n"/>
    </row>
    <row r="77">
      <c r="A77" s="278" t="n"/>
      <c r="B77" s="279" t="n"/>
      <c r="C77" s="281" t="n"/>
      <c r="D77" s="281" t="n"/>
      <c r="E77" s="281" t="n"/>
      <c r="F77" s="281" t="n"/>
      <c r="G77" s="281" t="n"/>
      <c r="H77" s="218" t="n"/>
    </row>
    <row r="78">
      <c r="A78" s="278" t="n"/>
      <c r="B78" s="279" t="n"/>
      <c r="C78" s="281" t="n"/>
      <c r="D78" s="281" t="n"/>
      <c r="E78" s="281" t="n"/>
      <c r="F78" s="281" t="n"/>
      <c r="G78" s="281" t="n"/>
      <c r="H78" s="218" t="n"/>
    </row>
    <row r="79">
      <c r="A79" s="278" t="n"/>
      <c r="B79" s="279" t="n"/>
      <c r="C79" s="281" t="n"/>
      <c r="D79" s="281" t="n"/>
      <c r="E79" s="281" t="n"/>
      <c r="F79" s="281" t="n"/>
      <c r="G79" s="281" t="n"/>
      <c r="H79" s="218" t="n"/>
    </row>
    <row r="80">
      <c r="A80" s="278" t="n"/>
      <c r="B80" s="279" t="n"/>
      <c r="C80" s="281" t="n"/>
      <c r="D80" s="281" t="n"/>
      <c r="E80" s="281" t="n"/>
      <c r="F80" s="281" t="n"/>
      <c r="G80" s="281" t="n"/>
      <c r="H80" s="218" t="n"/>
    </row>
    <row r="81">
      <c r="A81" s="278" t="n"/>
      <c r="B81" s="279" t="n"/>
      <c r="C81" s="281" t="n"/>
      <c r="D81" s="281" t="n"/>
      <c r="E81" s="281" t="n"/>
      <c r="F81" s="281" t="n"/>
      <c r="G81" s="281" t="n"/>
      <c r="H81" s="218" t="n"/>
    </row>
    <row r="82">
      <c r="A82" s="278" t="n"/>
      <c r="B82" s="279" t="n"/>
      <c r="C82" s="281" t="n"/>
      <c r="D82" s="281" t="n"/>
      <c r="E82" s="281" t="n"/>
      <c r="F82" s="281" t="n"/>
      <c r="G82" s="281" t="n"/>
      <c r="H82" s="218" t="n"/>
    </row>
    <row r="83">
      <c r="A83" s="278" t="n"/>
      <c r="B83" s="279" t="n"/>
      <c r="C83" s="281" t="n"/>
      <c r="D83" s="281" t="n"/>
      <c r="E83" s="281" t="n"/>
      <c r="F83" s="281" t="n"/>
      <c r="G83" s="281" t="n"/>
      <c r="H83" s="218" t="n"/>
    </row>
    <row r="84">
      <c r="A84" s="278" t="n"/>
      <c r="B84" s="279" t="n"/>
      <c r="C84" s="281" t="n"/>
      <c r="D84" s="281" t="n"/>
      <c r="E84" s="281" t="n"/>
      <c r="F84" s="281" t="n"/>
      <c r="G84" s="281" t="n"/>
      <c r="H84" s="218" t="n"/>
    </row>
    <row r="85">
      <c r="A85" s="278" t="n"/>
      <c r="B85" s="279" t="n"/>
      <c r="C85" s="281" t="n"/>
      <c r="D85" s="281" t="n"/>
      <c r="E85" s="281" t="n"/>
      <c r="F85" s="281" t="n"/>
      <c r="G85" s="281" t="n"/>
      <c r="H85" s="218" t="n"/>
    </row>
    <row r="86">
      <c r="A86" s="278" t="n"/>
      <c r="B86" s="279" t="n"/>
      <c r="C86" s="281" t="n"/>
      <c r="D86" s="281" t="n"/>
      <c r="E86" s="281" t="n"/>
      <c r="F86" s="281" t="n"/>
      <c r="G86" s="281" t="n"/>
      <c r="H86" s="218" t="n"/>
    </row>
    <row r="87">
      <c r="A87" s="278" t="n"/>
      <c r="B87" s="279" t="n"/>
      <c r="C87" s="281" t="n"/>
      <c r="D87" s="281" t="n"/>
      <c r="E87" s="281" t="n"/>
      <c r="F87" s="281" t="n"/>
      <c r="G87" s="281" t="n"/>
      <c r="H87" s="218" t="n"/>
    </row>
    <row r="88">
      <c r="A88" s="278" t="n"/>
      <c r="B88" s="279" t="n"/>
      <c r="C88" s="281" t="n"/>
      <c r="D88" s="281" t="n"/>
      <c r="E88" s="281" t="n"/>
      <c r="F88" s="281" t="n"/>
      <c r="G88" s="281" t="n"/>
      <c r="H88" s="218" t="n"/>
    </row>
    <row r="89">
      <c r="A89" s="278" t="n"/>
      <c r="B89" s="279" t="n"/>
      <c r="C89" s="281" t="n"/>
      <c r="D89" s="281" t="n"/>
      <c r="E89" s="281" t="n"/>
      <c r="F89" s="281" t="n"/>
      <c r="G89" s="281" t="n"/>
      <c r="H89" s="218" t="n"/>
    </row>
    <row r="90">
      <c r="A90" s="278" t="n"/>
      <c r="B90" s="279" t="n"/>
      <c r="C90" s="281" t="n"/>
      <c r="D90" s="281" t="n"/>
      <c r="E90" s="281" t="n"/>
      <c r="F90" s="281" t="n"/>
      <c r="G90" s="281" t="n"/>
      <c r="H90" s="218" t="n"/>
    </row>
    <row r="91">
      <c r="A91" s="278" t="n"/>
      <c r="B91" s="279" t="n"/>
      <c r="C91" s="281" t="n"/>
      <c r="D91" s="281" t="n"/>
      <c r="E91" s="281" t="n"/>
      <c r="F91" s="281" t="n"/>
      <c r="G91" s="281" t="n"/>
      <c r="H91" s="218" t="n"/>
    </row>
    <row r="92">
      <c r="A92" s="278" t="n"/>
      <c r="B92" s="279" t="n"/>
      <c r="C92" s="281" t="n"/>
      <c r="D92" s="281" t="n"/>
      <c r="E92" s="281" t="n"/>
      <c r="F92" s="281" t="n"/>
      <c r="G92" s="281" t="n"/>
      <c r="H92" s="218" t="n"/>
    </row>
    <row r="93">
      <c r="A93" s="278" t="n"/>
      <c r="B93" s="279" t="n"/>
      <c r="C93" s="281" t="n"/>
      <c r="D93" s="281" t="n"/>
      <c r="E93" s="281" t="n"/>
      <c r="F93" s="281" t="n"/>
      <c r="G93" s="281" t="n"/>
      <c r="H93" s="218" t="n"/>
    </row>
    <row r="94">
      <c r="A94" s="278" t="n"/>
      <c r="B94" s="279" t="n"/>
      <c r="C94" s="281" t="n"/>
      <c r="D94" s="281" t="n"/>
      <c r="E94" s="281" t="n"/>
      <c r="F94" s="281" t="n"/>
      <c r="G94" s="281" t="n"/>
      <c r="H94" s="218" t="n"/>
    </row>
    <row r="95">
      <c r="A95" s="278" t="n"/>
      <c r="B95" s="279" t="n"/>
      <c r="C95" s="281" t="n"/>
      <c r="D95" s="281" t="n"/>
      <c r="E95" s="281" t="n"/>
      <c r="F95" s="281" t="n"/>
      <c r="G95" s="281" t="n"/>
      <c r="H95" s="218" t="n"/>
    </row>
    <row r="96">
      <c r="A96" s="278" t="n"/>
      <c r="B96" s="279" t="n"/>
      <c r="C96" s="281" t="n"/>
      <c r="D96" s="281" t="n"/>
      <c r="E96" s="281" t="n"/>
      <c r="F96" s="281" t="n"/>
      <c r="G96" s="281" t="n"/>
      <c r="H96" s="218" t="n"/>
    </row>
    <row r="97">
      <c r="A97" s="278" t="n"/>
      <c r="B97" s="279" t="n"/>
      <c r="C97" s="281" t="n"/>
      <c r="D97" s="281" t="n"/>
      <c r="E97" s="281" t="n"/>
      <c r="F97" s="281" t="n"/>
      <c r="G97" s="281" t="n"/>
      <c r="H97" s="218" t="n"/>
    </row>
    <row r="98">
      <c r="A98" s="278" t="n"/>
      <c r="B98" s="279" t="n"/>
      <c r="C98" s="281" t="n"/>
      <c r="D98" s="281" t="n"/>
      <c r="E98" s="281" t="n"/>
      <c r="F98" s="281" t="n"/>
      <c r="G98" s="281" t="n"/>
      <c r="H98" s="218" t="n"/>
    </row>
    <row r="99">
      <c r="A99" s="278" t="n"/>
      <c r="B99" s="279" t="n"/>
      <c r="C99" s="281" t="n"/>
      <c r="D99" s="281" t="n"/>
      <c r="E99" s="281" t="n"/>
      <c r="F99" s="281" t="n"/>
      <c r="G99" s="281" t="n"/>
      <c r="H99" s="218" t="n"/>
    </row>
    <row r="100">
      <c r="A100" s="278" t="n"/>
      <c r="B100" s="279" t="n"/>
      <c r="C100" s="281" t="n"/>
      <c r="D100" s="281" t="n"/>
      <c r="E100" s="281" t="n"/>
      <c r="F100" s="281" t="n"/>
      <c r="G100" s="281" t="n"/>
      <c r="H100" s="218" t="n"/>
    </row>
    <row r="101">
      <c r="A101" s="278" t="n"/>
      <c r="B101" s="279" t="n"/>
      <c r="C101" s="281" t="n"/>
      <c r="D101" s="281" t="n"/>
      <c r="E101" s="281" t="n"/>
      <c r="F101" s="281" t="n"/>
      <c r="G101" s="281" t="n"/>
      <c r="H101" s="218" t="n"/>
    </row>
    <row r="102">
      <c r="A102" s="278" t="n"/>
      <c r="B102" s="279" t="n"/>
      <c r="C102" s="281" t="n"/>
      <c r="D102" s="281" t="n"/>
      <c r="E102" s="281" t="n"/>
      <c r="F102" s="281" t="n"/>
      <c r="G102" s="281" t="n"/>
      <c r="H102" s="218" t="n"/>
    </row>
    <row r="103">
      <c r="A103" s="278" t="n"/>
      <c r="B103" s="279" t="n"/>
      <c r="C103" s="281" t="n"/>
      <c r="D103" s="281" t="n"/>
      <c r="E103" s="281" t="n"/>
      <c r="F103" s="281" t="n"/>
      <c r="G103" s="281" t="n"/>
      <c r="H103" s="218" t="n"/>
    </row>
    <row r="104">
      <c r="A104" s="278" t="n"/>
      <c r="B104" s="279" t="n"/>
      <c r="C104" s="281" t="n"/>
      <c r="D104" s="281" t="n"/>
      <c r="E104" s="281" t="n"/>
      <c r="F104" s="281" t="n"/>
      <c r="G104" s="281" t="n"/>
      <c r="H104" s="218" t="n"/>
    </row>
    <row r="105">
      <c r="A105" s="278" t="n"/>
      <c r="B105" s="279" t="n"/>
      <c r="C105" s="281" t="n"/>
      <c r="D105" s="281" t="n"/>
      <c r="E105" s="281" t="n"/>
      <c r="F105" s="281" t="n"/>
      <c r="G105" s="281" t="n"/>
      <c r="H105" s="218" t="n"/>
    </row>
    <row r="106">
      <c r="A106" s="278" t="n"/>
      <c r="B106" s="279" t="n"/>
      <c r="C106" s="281" t="n"/>
      <c r="D106" s="281" t="n"/>
      <c r="E106" s="281" t="n"/>
      <c r="F106" s="281" t="n"/>
      <c r="G106" s="281" t="n"/>
      <c r="H106" s="218" t="n"/>
    </row>
    <row r="107">
      <c r="A107" s="278" t="n"/>
      <c r="B107" s="279" t="n"/>
      <c r="C107" s="281" t="n"/>
      <c r="D107" s="281" t="n"/>
      <c r="E107" s="281" t="n"/>
      <c r="F107" s="281" t="n"/>
      <c r="G107" s="281" t="n"/>
      <c r="H107" s="218" t="n"/>
    </row>
    <row r="108">
      <c r="A108" s="278" t="n"/>
      <c r="B108" s="279" t="n"/>
      <c r="C108" s="281" t="n"/>
      <c r="D108" s="281" t="n"/>
      <c r="E108" s="281" t="n"/>
      <c r="F108" s="281" t="n"/>
      <c r="G108" s="281" t="n"/>
      <c r="H108" s="218" t="n"/>
    </row>
    <row r="109">
      <c r="A109" s="278" t="n"/>
      <c r="B109" s="279" t="n"/>
      <c r="C109" s="281" t="n"/>
      <c r="D109" s="281" t="n"/>
      <c r="E109" s="281" t="n"/>
      <c r="F109" s="281" t="n"/>
      <c r="G109" s="281" t="n"/>
      <c r="H109" s="218" t="n"/>
    </row>
    <row r="110">
      <c r="A110" s="278" t="n"/>
      <c r="B110" s="279" t="n"/>
      <c r="C110" s="281" t="n"/>
      <c r="D110" s="281" t="n"/>
      <c r="E110" s="281" t="n"/>
      <c r="F110" s="281" t="n"/>
      <c r="G110" s="281" t="n"/>
      <c r="H110" s="218" t="n"/>
    </row>
    <row r="111">
      <c r="A111" s="278" t="n"/>
      <c r="B111" s="279" t="n"/>
      <c r="C111" s="281" t="n"/>
      <c r="D111" s="281" t="n"/>
      <c r="E111" s="281" t="n"/>
      <c r="F111" s="281" t="n"/>
      <c r="G111" s="281" t="n"/>
      <c r="H111" s="218" t="n"/>
    </row>
    <row r="112">
      <c r="A112" s="278" t="n"/>
      <c r="B112" s="279" t="n"/>
      <c r="C112" s="281" t="n"/>
      <c r="D112" s="281" t="n"/>
      <c r="E112" s="281" t="n"/>
      <c r="F112" s="281" t="n"/>
      <c r="G112" s="281" t="n"/>
      <c r="H112" s="218" t="n"/>
    </row>
    <row r="113">
      <c r="A113" s="278" t="n"/>
      <c r="B113" s="279" t="n"/>
      <c r="C113" s="281" t="n"/>
      <c r="D113" s="281" t="n"/>
      <c r="E113" s="281" t="n"/>
      <c r="F113" s="281" t="n"/>
      <c r="G113" s="281" t="n"/>
      <c r="H113" s="218" t="n"/>
    </row>
    <row r="114">
      <c r="A114" s="278" t="n"/>
      <c r="B114" s="279" t="n"/>
      <c r="C114" s="281" t="n"/>
      <c r="D114" s="281" t="n"/>
      <c r="E114" s="281" t="n"/>
      <c r="F114" s="281" t="n"/>
      <c r="G114" s="281" t="n"/>
      <c r="H114" s="218" t="n"/>
    </row>
    <row r="115">
      <c r="A115" s="278" t="n"/>
      <c r="B115" s="279" t="n"/>
      <c r="C115" s="281" t="n"/>
      <c r="D115" s="281" t="n"/>
      <c r="E115" s="281" t="n"/>
      <c r="F115" s="281" t="n"/>
      <c r="G115" s="281" t="n"/>
      <c r="H115" s="218" t="n"/>
    </row>
    <row r="116">
      <c r="A116" s="278" t="n"/>
      <c r="B116" s="279" t="n"/>
      <c r="C116" s="281" t="n"/>
      <c r="D116" s="281" t="n"/>
      <c r="E116" s="281" t="n"/>
      <c r="F116" s="281" t="n"/>
      <c r="G116" s="281" t="n"/>
      <c r="H116" s="218" t="n"/>
    </row>
    <row r="117">
      <c r="A117" s="278" t="n"/>
      <c r="B117" s="279" t="n"/>
      <c r="C117" s="281" t="n"/>
      <c r="D117" s="281" t="n"/>
      <c r="E117" s="281" t="n"/>
      <c r="F117" s="281" t="n"/>
      <c r="G117" s="281" t="n"/>
      <c r="H117" s="218" t="n"/>
    </row>
    <row r="118">
      <c r="A118" s="278" t="n"/>
      <c r="B118" s="279" t="n"/>
      <c r="C118" s="281" t="n"/>
      <c r="D118" s="281" t="n"/>
      <c r="E118" s="281" t="n"/>
      <c r="F118" s="281" t="n"/>
      <c r="G118" s="281" t="n"/>
      <c r="H118" s="218" t="n"/>
    </row>
    <row r="119">
      <c r="A119" s="278" t="n"/>
      <c r="B119" s="279" t="n"/>
      <c r="C119" s="281" t="n"/>
      <c r="D119" s="281" t="n"/>
      <c r="E119" s="281" t="n"/>
      <c r="F119" s="281" t="n"/>
      <c r="G119" s="281" t="n"/>
      <c r="H119" s="218" t="n"/>
    </row>
    <row r="120">
      <c r="A120" s="278" t="n"/>
      <c r="B120" s="279" t="n"/>
      <c r="C120" s="281" t="n"/>
      <c r="D120" s="281" t="n"/>
      <c r="E120" s="281" t="n"/>
      <c r="F120" s="281" t="n"/>
      <c r="G120" s="281" t="n"/>
      <c r="H120" s="218" t="n"/>
    </row>
    <row r="121">
      <c r="A121" s="278" t="n"/>
      <c r="B121" s="279" t="n"/>
      <c r="C121" s="281" t="n"/>
      <c r="D121" s="281" t="n"/>
      <c r="E121" s="281" t="n"/>
      <c r="F121" s="281" t="n"/>
      <c r="G121" s="281" t="n"/>
      <c r="H121" s="218" t="n"/>
    </row>
    <row r="122">
      <c r="A122" s="278" t="n"/>
      <c r="B122" s="279" t="n"/>
      <c r="C122" s="281" t="n"/>
      <c r="D122" s="281" t="n"/>
      <c r="E122" s="281" t="n"/>
      <c r="F122" s="281" t="n"/>
      <c r="G122" s="281" t="n"/>
      <c r="H122" s="218" t="n"/>
    </row>
    <row r="123">
      <c r="A123" s="278" t="n"/>
      <c r="B123" s="279" t="n"/>
      <c r="C123" s="281" t="n"/>
      <c r="D123" s="281" t="n"/>
      <c r="E123" s="281" t="n"/>
      <c r="F123" s="281" t="n"/>
      <c r="G123" s="281" t="n"/>
      <c r="H123" s="218" t="n"/>
    </row>
    <row r="124">
      <c r="A124" s="278" t="n"/>
      <c r="B124" s="279" t="n"/>
      <c r="C124" s="281" t="n"/>
      <c r="D124" s="281" t="n"/>
      <c r="E124" s="281" t="n"/>
      <c r="F124" s="281" t="n"/>
      <c r="G124" s="281" t="n"/>
      <c r="H124" s="218" t="n"/>
    </row>
    <row r="125">
      <c r="A125" s="278" t="n"/>
      <c r="B125" s="279" t="n"/>
      <c r="C125" s="281" t="n"/>
      <c r="D125" s="281" t="n"/>
      <c r="E125" s="281" t="n"/>
      <c r="F125" s="281" t="n"/>
      <c r="G125" s="281" t="n"/>
      <c r="H125" s="218" t="n"/>
    </row>
    <row r="126">
      <c r="A126" s="278" t="n"/>
      <c r="B126" s="279" t="n"/>
      <c r="C126" s="281" t="n"/>
      <c r="D126" s="281" t="n"/>
      <c r="E126" s="281" t="n"/>
      <c r="F126" s="281" t="n"/>
      <c r="G126" s="281" t="n"/>
      <c r="H126" s="218" t="n"/>
    </row>
    <row r="127">
      <c r="A127" s="278" t="n"/>
      <c r="B127" s="279" t="n"/>
      <c r="C127" s="281" t="n"/>
      <c r="D127" s="281" t="n"/>
      <c r="E127" s="281" t="n"/>
      <c r="F127" s="281" t="n"/>
      <c r="G127" s="281" t="n"/>
      <c r="H127" s="218" t="n"/>
    </row>
    <row r="128">
      <c r="A128" s="278" t="n"/>
      <c r="B128" s="279" t="n"/>
      <c r="C128" s="281" t="n"/>
      <c r="D128" s="281" t="n"/>
      <c r="E128" s="281" t="n"/>
      <c r="F128" s="281" t="n"/>
      <c r="G128" s="281" t="n"/>
      <c r="H128" s="218" t="n"/>
    </row>
    <row r="129">
      <c r="A129" s="278" t="n"/>
      <c r="B129" s="279" t="n"/>
      <c r="C129" s="281" t="n"/>
      <c r="D129" s="281" t="n"/>
      <c r="E129" s="281" t="n"/>
      <c r="F129" s="281" t="n"/>
      <c r="G129" s="281" t="n"/>
      <c r="H129" s="218" t="n"/>
    </row>
    <row r="130">
      <c r="A130" s="278" t="n"/>
      <c r="B130" s="279" t="n"/>
      <c r="C130" s="281" t="n"/>
      <c r="D130" s="281" t="n"/>
      <c r="E130" s="281" t="n"/>
      <c r="F130" s="281" t="n"/>
      <c r="G130" s="281" t="n"/>
      <c r="H130" s="218" t="n"/>
    </row>
    <row r="131">
      <c r="A131" s="278" t="n"/>
      <c r="B131" s="279" t="n"/>
      <c r="C131" s="281" t="n"/>
      <c r="D131" s="281" t="n"/>
      <c r="E131" s="281" t="n"/>
      <c r="F131" s="281" t="n"/>
      <c r="G131" s="281" t="n"/>
      <c r="H131" s="218" t="n"/>
    </row>
    <row r="132">
      <c r="A132" s="278" t="n"/>
      <c r="B132" s="279" t="n"/>
      <c r="C132" s="281" t="n"/>
      <c r="D132" s="281" t="n"/>
      <c r="E132" s="281" t="n"/>
      <c r="F132" s="281" t="n"/>
      <c r="G132" s="281" t="n"/>
      <c r="H132" s="218" t="n"/>
    </row>
    <row r="133">
      <c r="A133" s="278" t="n"/>
      <c r="B133" s="279" t="n"/>
      <c r="C133" s="281" t="n"/>
      <c r="D133" s="281" t="n"/>
      <c r="E133" s="281" t="n"/>
      <c r="F133" s="281" t="n"/>
      <c r="G133" s="281" t="n"/>
      <c r="H133" s="218" t="n"/>
    </row>
    <row r="134">
      <c r="A134" s="278" t="n"/>
      <c r="B134" s="279" t="n"/>
      <c r="C134" s="281" t="n"/>
      <c r="D134" s="281" t="n"/>
      <c r="E134" s="281" t="n"/>
      <c r="F134" s="281" t="n"/>
      <c r="G134" s="281" t="n"/>
      <c r="H134" s="218" t="n"/>
    </row>
    <row r="135">
      <c r="A135" s="278" t="n"/>
      <c r="B135" s="279" t="n"/>
      <c r="C135" s="281" t="n"/>
      <c r="D135" s="281" t="n"/>
      <c r="E135" s="281" t="n"/>
      <c r="F135" s="281" t="n"/>
      <c r="G135" s="281" t="n"/>
      <c r="H135" s="218" t="n"/>
    </row>
    <row r="136">
      <c r="A136" s="278" t="n"/>
      <c r="B136" s="279" t="n"/>
      <c r="C136" s="281" t="n"/>
      <c r="D136" s="281" t="n"/>
      <c r="E136" s="281" t="n"/>
      <c r="F136" s="281" t="n"/>
      <c r="G136" s="281" t="n"/>
      <c r="H136" s="218" t="n"/>
    </row>
    <row r="137">
      <c r="A137" s="278" t="n"/>
      <c r="B137" s="279" t="n"/>
      <c r="C137" s="281" t="n"/>
      <c r="D137" s="281" t="n"/>
      <c r="E137" s="281" t="n"/>
      <c r="F137" s="281" t="n"/>
      <c r="G137" s="281" t="n"/>
      <c r="H137" s="218" t="n"/>
    </row>
    <row r="138">
      <c r="A138" s="278" t="n"/>
      <c r="B138" s="279" t="n"/>
      <c r="C138" s="281" t="n"/>
      <c r="D138" s="281" t="n"/>
      <c r="E138" s="281" t="n"/>
      <c r="F138" s="281" t="n"/>
      <c r="G138" s="281" t="n"/>
      <c r="H138" s="218" t="n"/>
    </row>
    <row r="139">
      <c r="A139" s="278" t="n"/>
      <c r="B139" s="279" t="n"/>
      <c r="C139" s="281" t="n"/>
      <c r="D139" s="281" t="n"/>
      <c r="E139" s="281" t="n"/>
      <c r="F139" s="281" t="n"/>
      <c r="G139" s="281" t="n"/>
      <c r="H139" s="218" t="n"/>
    </row>
    <row r="140">
      <c r="A140" s="278" t="n"/>
      <c r="B140" s="279" t="n"/>
      <c r="C140" s="281" t="n"/>
      <c r="D140" s="281" t="n"/>
      <c r="E140" s="281" t="n"/>
      <c r="F140" s="281" t="n"/>
      <c r="G140" s="281" t="n"/>
      <c r="H140" s="218" t="n"/>
    </row>
    <row r="141">
      <c r="A141" s="278" t="n"/>
      <c r="B141" s="279" t="n"/>
      <c r="C141" s="281" t="n"/>
      <c r="D141" s="281" t="n"/>
      <c r="E141" s="281" t="n"/>
      <c r="F141" s="281" t="n"/>
      <c r="G141" s="281" t="n"/>
      <c r="H141" s="218" t="n"/>
    </row>
    <row r="142">
      <c r="A142" s="278" t="n"/>
      <c r="B142" s="279" t="n"/>
      <c r="C142" s="281" t="n"/>
      <c r="D142" s="281" t="n"/>
      <c r="E142" s="281" t="n"/>
      <c r="F142" s="281" t="n"/>
      <c r="G142" s="281" t="n"/>
      <c r="H142" s="218" t="n"/>
    </row>
    <row r="143">
      <c r="A143" s="278" t="n"/>
      <c r="B143" s="279" t="n"/>
      <c r="C143" s="281" t="n"/>
      <c r="D143" s="281" t="n"/>
      <c r="E143" s="281" t="n"/>
      <c r="F143" s="281" t="n"/>
      <c r="G143" s="281" t="n"/>
      <c r="H143" s="218" t="n"/>
    </row>
    <row r="144">
      <c r="A144" s="278" t="n"/>
      <c r="B144" s="279" t="n"/>
      <c r="C144" s="281" t="n"/>
      <c r="D144" s="281" t="n"/>
      <c r="E144" s="281" t="n"/>
      <c r="F144" s="281" t="n"/>
      <c r="G144" s="281" t="n"/>
      <c r="H144" s="218" t="n"/>
    </row>
    <row r="145">
      <c r="A145" s="278" t="n"/>
      <c r="B145" s="279" t="n"/>
      <c r="C145" s="281" t="n"/>
      <c r="D145" s="281" t="n"/>
      <c r="E145" s="281" t="n"/>
      <c r="F145" s="281" t="n"/>
      <c r="G145" s="281" t="n"/>
      <c r="H145" s="218" t="n"/>
    </row>
    <row r="146">
      <c r="A146" s="278" t="n"/>
      <c r="B146" s="279" t="n"/>
      <c r="C146" s="281" t="n"/>
      <c r="D146" s="281" t="n"/>
      <c r="E146" s="281" t="n"/>
      <c r="F146" s="281" t="n"/>
      <c r="G146" s="281" t="n"/>
      <c r="H146" s="218" t="n"/>
    </row>
    <row r="147">
      <c r="A147" s="278" t="n"/>
      <c r="B147" s="279" t="n"/>
      <c r="C147" s="281" t="n"/>
      <c r="D147" s="281" t="n"/>
      <c r="E147" s="281" t="n"/>
      <c r="F147" s="281" t="n"/>
      <c r="G147" s="281" t="n"/>
      <c r="H147" s="218" t="n"/>
    </row>
    <row r="148">
      <c r="A148" s="278" t="n"/>
      <c r="B148" s="279" t="n"/>
      <c r="C148" s="281" t="n"/>
      <c r="D148" s="281" t="n"/>
      <c r="E148" s="281" t="n"/>
      <c r="F148" s="281" t="n"/>
      <c r="G148" s="281" t="n"/>
      <c r="H148" s="218" t="n"/>
    </row>
    <row r="149">
      <c r="A149" s="278" t="n"/>
      <c r="B149" s="279" t="n"/>
      <c r="C149" s="281" t="n"/>
      <c r="D149" s="281" t="n"/>
      <c r="E149" s="281" t="n"/>
      <c r="F149" s="281" t="n"/>
      <c r="G149" s="281" t="n"/>
      <c r="H149" s="218" t="n"/>
    </row>
    <row r="150">
      <c r="A150" s="278" t="n"/>
      <c r="B150" s="279" t="n"/>
      <c r="C150" s="281" t="n"/>
      <c r="D150" s="281" t="n"/>
      <c r="E150" s="281" t="n"/>
      <c r="F150" s="281" t="n"/>
      <c r="G150" s="281" t="n"/>
      <c r="H150" s="218" t="n"/>
    </row>
    <row r="151">
      <c r="A151" s="278" t="n"/>
      <c r="B151" s="279" t="n"/>
      <c r="C151" s="281" t="n"/>
      <c r="D151" s="281" t="n"/>
      <c r="E151" s="281" t="n"/>
      <c r="F151" s="281" t="n"/>
      <c r="G151" s="281" t="n"/>
      <c r="H151" s="218" t="n"/>
    </row>
    <row r="152">
      <c r="A152" s="278" t="n"/>
      <c r="B152" s="279" t="n"/>
      <c r="C152" s="281" t="n"/>
      <c r="D152" s="281" t="n"/>
      <c r="E152" s="281" t="n"/>
      <c r="F152" s="281" t="n"/>
      <c r="G152" s="281" t="n"/>
      <c r="H152" s="218" t="n"/>
    </row>
    <row r="153">
      <c r="A153" s="278" t="n"/>
      <c r="B153" s="279" t="n"/>
      <c r="C153" s="281" t="n"/>
      <c r="D153" s="281" t="n"/>
      <c r="E153" s="281" t="n"/>
      <c r="F153" s="281" t="n"/>
      <c r="G153" s="281" t="n"/>
      <c r="H153" s="218" t="n"/>
    </row>
    <row r="154">
      <c r="A154" s="278" t="n"/>
      <c r="B154" s="279" t="n"/>
      <c r="C154" s="281" t="n"/>
      <c r="D154" s="281" t="n"/>
      <c r="E154" s="281" t="n"/>
      <c r="F154" s="281" t="n"/>
      <c r="G154" s="281" t="n"/>
      <c r="H154" s="218" t="n"/>
    </row>
    <row r="155">
      <c r="A155" s="278" t="n"/>
      <c r="B155" s="279" t="n"/>
      <c r="C155" s="281" t="n"/>
      <c r="D155" s="281" t="n"/>
      <c r="E155" s="281" t="n"/>
      <c r="F155" s="281" t="n"/>
      <c r="G155" s="281" t="n"/>
      <c r="H155" s="218" t="n"/>
    </row>
    <row r="156">
      <c r="A156" s="278" t="n"/>
      <c r="B156" s="279" t="n"/>
      <c r="C156" s="281" t="n"/>
      <c r="D156" s="281" t="n"/>
      <c r="E156" s="281" t="n"/>
      <c r="F156" s="281" t="n"/>
      <c r="G156" s="281" t="n"/>
      <c r="H156" s="218" t="n"/>
    </row>
    <row r="157">
      <c r="A157" s="278" t="n"/>
      <c r="B157" s="279" t="n"/>
      <c r="C157" s="281" t="n"/>
      <c r="D157" s="281" t="n"/>
      <c r="E157" s="281" t="n"/>
      <c r="F157" s="281" t="n"/>
      <c r="G157" s="281" t="n"/>
      <c r="H157" s="218" t="n"/>
    </row>
    <row r="158">
      <c r="A158" s="278" t="n"/>
      <c r="B158" s="279" t="n"/>
      <c r="C158" s="281" t="n"/>
      <c r="D158" s="281" t="n"/>
      <c r="E158" s="281" t="n"/>
      <c r="F158" s="281" t="n"/>
      <c r="G158" s="281" t="n"/>
      <c r="H158" s="218" t="n"/>
    </row>
    <row r="159">
      <c r="A159" s="278" t="n"/>
      <c r="B159" s="279" t="n"/>
      <c r="C159" s="281" t="n"/>
      <c r="D159" s="281" t="n"/>
      <c r="E159" s="281" t="n"/>
      <c r="F159" s="281" t="n"/>
      <c r="G159" s="281" t="n"/>
      <c r="H159" s="218" t="n"/>
    </row>
    <row r="160">
      <c r="A160" s="278" t="n"/>
      <c r="B160" s="279" t="n"/>
      <c r="C160" s="281" t="n"/>
      <c r="D160" s="281" t="n"/>
      <c r="E160" s="281" t="n"/>
      <c r="F160" s="281" t="n"/>
      <c r="G160" s="281" t="n"/>
      <c r="H160" s="218" t="n"/>
    </row>
    <row r="161">
      <c r="A161" s="278" t="n"/>
      <c r="B161" s="279" t="n"/>
      <c r="C161" s="281" t="n"/>
      <c r="D161" s="281" t="n"/>
      <c r="E161" s="281" t="n"/>
      <c r="F161" s="281" t="n"/>
      <c r="G161" s="281" t="n"/>
      <c r="H161" s="218" t="n"/>
    </row>
    <row r="162">
      <c r="A162" s="278" t="n"/>
      <c r="B162" s="279" t="n"/>
      <c r="C162" s="281" t="n"/>
      <c r="D162" s="281" t="n"/>
      <c r="E162" s="281" t="n"/>
      <c r="F162" s="281" t="n"/>
      <c r="G162" s="281" t="n"/>
      <c r="H162" s="218" t="n"/>
    </row>
    <row r="163">
      <c r="A163" s="278" t="n"/>
      <c r="B163" s="279" t="n"/>
      <c r="C163" s="281" t="n"/>
      <c r="D163" s="281" t="n"/>
      <c r="E163" s="281" t="n"/>
      <c r="F163" s="281" t="n"/>
      <c r="G163" s="281" t="n"/>
      <c r="H163" s="218" t="n"/>
    </row>
    <row r="164">
      <c r="A164" s="278" t="n"/>
      <c r="B164" s="279" t="n"/>
      <c r="C164" s="281" t="n"/>
      <c r="D164" s="281" t="n"/>
      <c r="E164" s="281" t="n"/>
      <c r="F164" s="281" t="n"/>
      <c r="G164" s="281" t="n"/>
      <c r="H164" s="218" t="n"/>
    </row>
    <row r="165">
      <c r="A165" s="278" t="n"/>
      <c r="B165" s="279" t="n"/>
      <c r="C165" s="281" t="n"/>
      <c r="D165" s="281" t="n"/>
      <c r="E165" s="281" t="n"/>
      <c r="F165" s="281" t="n"/>
      <c r="G165" s="281" t="n"/>
      <c r="H165" s="218" t="n"/>
    </row>
    <row r="166">
      <c r="A166" s="278" t="n"/>
      <c r="B166" s="279" t="n"/>
      <c r="C166" s="281" t="n"/>
      <c r="D166" s="281" t="n"/>
      <c r="E166" s="281" t="n"/>
      <c r="F166" s="281" t="n"/>
      <c r="G166" s="281" t="n"/>
      <c r="H166" s="218" t="n"/>
    </row>
    <row r="167">
      <c r="A167" s="278" t="n"/>
      <c r="B167" s="279" t="n"/>
      <c r="C167" s="281" t="n"/>
      <c r="D167" s="281" t="n"/>
      <c r="E167" s="281" t="n"/>
      <c r="F167" s="281" t="n"/>
      <c r="G167" s="281" t="n"/>
      <c r="H167" s="218" t="n"/>
    </row>
    <row r="168">
      <c r="A168" s="278" t="n"/>
      <c r="B168" s="279" t="n"/>
      <c r="C168" s="281" t="n"/>
      <c r="D168" s="281" t="n"/>
      <c r="E168" s="281" t="n"/>
      <c r="F168" s="281" t="n"/>
      <c r="G168" s="281" t="n"/>
      <c r="H168" s="218" t="n"/>
    </row>
    <row r="169">
      <c r="A169" s="278" t="n"/>
      <c r="B169" s="279" t="n"/>
      <c r="C169" s="281" t="n"/>
      <c r="D169" s="281" t="n"/>
      <c r="E169" s="281" t="n"/>
      <c r="F169" s="281" t="n"/>
      <c r="G169" s="281" t="n"/>
      <c r="H169" s="218" t="n"/>
    </row>
    <row r="170">
      <c r="A170" s="278" t="n"/>
      <c r="B170" s="279" t="n"/>
      <c r="C170" s="281" t="n"/>
      <c r="D170" s="281" t="n"/>
      <c r="E170" s="281" t="n"/>
      <c r="F170" s="281" t="n"/>
      <c r="G170" s="281" t="n"/>
      <c r="H170" s="218" t="n"/>
    </row>
    <row r="171">
      <c r="A171" s="278" t="n"/>
      <c r="B171" s="279" t="n"/>
      <c r="C171" s="281" t="n"/>
      <c r="D171" s="281" t="n"/>
      <c r="E171" s="281" t="n"/>
      <c r="F171" s="281" t="n"/>
      <c r="G171" s="281" t="n"/>
      <c r="H171" s="218" t="n"/>
    </row>
    <row r="172">
      <c r="A172" s="278" t="n"/>
      <c r="B172" s="279" t="n"/>
      <c r="C172" s="281" t="n"/>
      <c r="D172" s="281" t="n"/>
      <c r="E172" s="281" t="n"/>
      <c r="F172" s="281" t="n"/>
      <c r="G172" s="281" t="n"/>
      <c r="H172" s="218" t="n"/>
    </row>
    <row r="173">
      <c r="A173" s="278" t="n"/>
      <c r="B173" s="279" t="n"/>
      <c r="C173" s="281" t="n"/>
      <c r="D173" s="281" t="n"/>
      <c r="E173" s="281" t="n"/>
      <c r="F173" s="281" t="n"/>
      <c r="G173" s="281" t="n"/>
      <c r="H173" s="218" t="n"/>
    </row>
    <row r="174">
      <c r="A174" s="278" t="n"/>
      <c r="B174" s="279" t="n"/>
      <c r="C174" s="281" t="n"/>
      <c r="D174" s="281" t="n"/>
      <c r="E174" s="281" t="n"/>
      <c r="F174" s="281" t="n"/>
      <c r="G174" s="281" t="n"/>
      <c r="H174" s="218" t="n"/>
    </row>
    <row r="175">
      <c r="A175" s="278" t="n"/>
      <c r="B175" s="279" t="n"/>
      <c r="C175" s="281" t="n"/>
      <c r="D175" s="281" t="n"/>
      <c r="E175" s="281" t="n"/>
      <c r="F175" s="281" t="n"/>
      <c r="G175" s="281" t="n"/>
      <c r="H175" s="218" t="n"/>
    </row>
    <row r="176">
      <c r="A176" s="278" t="n"/>
      <c r="B176" s="279" t="n"/>
      <c r="C176" s="281" t="n"/>
      <c r="D176" s="281" t="n"/>
      <c r="E176" s="281" t="n"/>
      <c r="F176" s="281" t="n"/>
      <c r="G176" s="281" t="n"/>
      <c r="H176" s="218" t="n"/>
    </row>
    <row r="177">
      <c r="A177" s="278" t="n"/>
      <c r="B177" s="279" t="n"/>
      <c r="C177" s="281" t="n"/>
      <c r="D177" s="281" t="n"/>
      <c r="E177" s="281" t="n"/>
      <c r="F177" s="281" t="n"/>
      <c r="G177" s="281" t="n"/>
      <c r="H177" s="218" t="n"/>
    </row>
    <row r="178">
      <c r="A178" s="278" t="n"/>
      <c r="B178" s="279" t="n"/>
      <c r="C178" s="281" t="n"/>
      <c r="D178" s="281" t="n"/>
      <c r="E178" s="281" t="n"/>
      <c r="F178" s="281" t="n"/>
      <c r="G178" s="281" t="n"/>
      <c r="H178" s="218" t="n"/>
    </row>
    <row r="179">
      <c r="A179" s="278" t="n"/>
      <c r="B179" s="279" t="n"/>
      <c r="C179" s="281" t="n"/>
      <c r="D179" s="281" t="n"/>
      <c r="E179" s="281" t="n"/>
      <c r="F179" s="281" t="n"/>
      <c r="G179" s="281" t="n"/>
      <c r="H179" s="218" t="n"/>
    </row>
    <row r="180">
      <c r="A180" s="278" t="n"/>
      <c r="B180" s="279" t="n"/>
      <c r="C180" s="281" t="n"/>
      <c r="D180" s="281" t="n"/>
      <c r="E180" s="281" t="n"/>
      <c r="F180" s="281" t="n"/>
      <c r="G180" s="281" t="n"/>
      <c r="H180" s="218" t="n"/>
    </row>
    <row r="181">
      <c r="A181" s="278" t="n"/>
      <c r="B181" s="279" t="n"/>
      <c r="C181" s="281" t="n"/>
      <c r="D181" s="281" t="n"/>
      <c r="E181" s="281" t="n"/>
      <c r="F181" s="281" t="n"/>
      <c r="G181" s="281" t="n"/>
      <c r="H181" s="218" t="n"/>
    </row>
    <row r="182">
      <c r="A182" s="278" t="n"/>
      <c r="B182" s="279" t="n"/>
      <c r="C182" s="281" t="n"/>
      <c r="D182" s="281" t="n"/>
      <c r="E182" s="281" t="n"/>
      <c r="F182" s="281" t="n"/>
      <c r="G182" s="281" t="n"/>
      <c r="H182" s="218" t="n"/>
    </row>
    <row r="183">
      <c r="A183" s="278" t="n"/>
      <c r="B183" s="279" t="n"/>
      <c r="C183" s="281" t="n"/>
      <c r="D183" s="281" t="n"/>
      <c r="E183" s="281" t="n"/>
      <c r="F183" s="281" t="n"/>
      <c r="G183" s="281" t="n"/>
      <c r="H183" s="218" t="n"/>
    </row>
    <row r="184">
      <c r="A184" s="278" t="n"/>
      <c r="B184" s="279" t="n"/>
      <c r="C184" s="281" t="n"/>
      <c r="D184" s="281" t="n"/>
      <c r="E184" s="281" t="n"/>
      <c r="F184" s="281" t="n"/>
      <c r="G184" s="281" t="n"/>
      <c r="H184" s="218" t="n"/>
    </row>
    <row r="185">
      <c r="A185" s="278" t="n"/>
      <c r="B185" s="279" t="n"/>
      <c r="C185" s="281" t="n"/>
      <c r="D185" s="281" t="n"/>
      <c r="E185" s="281" t="n"/>
      <c r="F185" s="281" t="n"/>
      <c r="G185" s="281" t="n"/>
      <c r="H185" s="218" t="n"/>
    </row>
    <row r="186">
      <c r="A186" s="278" t="n"/>
      <c r="B186" s="279" t="n"/>
      <c r="C186" s="281" t="n"/>
      <c r="D186" s="281" t="n"/>
      <c r="E186" s="281" t="n"/>
      <c r="F186" s="281" t="n"/>
      <c r="G186" s="281" t="n"/>
      <c r="H186" s="218" t="n"/>
    </row>
    <row r="187">
      <c r="A187" s="278" t="n"/>
      <c r="B187" s="279" t="n"/>
      <c r="C187" s="281" t="n"/>
      <c r="D187" s="281" t="n"/>
      <c r="E187" s="281" t="n"/>
      <c r="F187" s="281" t="n"/>
      <c r="G187" s="281" t="n"/>
      <c r="H187" s="218" t="n"/>
    </row>
    <row r="188">
      <c r="A188" s="278" t="n"/>
      <c r="B188" s="279" t="n"/>
      <c r="C188" s="281" t="n"/>
      <c r="D188" s="281" t="n"/>
      <c r="E188" s="281" t="n"/>
      <c r="F188" s="281" t="n"/>
      <c r="G188" s="281" t="n"/>
      <c r="H188" s="218" t="n"/>
    </row>
    <row r="189">
      <c r="A189" s="278" t="n"/>
      <c r="B189" s="279" t="n"/>
      <c r="C189" s="281" t="n"/>
      <c r="D189" s="281" t="n"/>
      <c r="E189" s="281" t="n"/>
      <c r="F189" s="281" t="n"/>
      <c r="G189" s="281" t="n"/>
      <c r="H189" s="218" t="n"/>
    </row>
    <row r="190">
      <c r="A190" s="278" t="n"/>
      <c r="B190" s="279" t="n"/>
      <c r="C190" s="281" t="n"/>
      <c r="D190" s="281" t="n"/>
      <c r="E190" s="281" t="n"/>
      <c r="F190" s="281" t="n"/>
      <c r="G190" s="281" t="n"/>
      <c r="H190" s="218" t="n"/>
    </row>
    <row r="191">
      <c r="A191" s="278" t="n"/>
      <c r="B191" s="279" t="n"/>
      <c r="C191" s="281" t="n"/>
      <c r="D191" s="281" t="n"/>
      <c r="E191" s="281" t="n"/>
      <c r="F191" s="281" t="n"/>
      <c r="G191" s="281" t="n"/>
      <c r="H191" s="218" t="n"/>
    </row>
    <row r="192">
      <c r="A192" s="278" t="n"/>
      <c r="B192" s="279" t="n"/>
      <c r="C192" s="281" t="n"/>
      <c r="D192" s="281" t="n"/>
      <c r="E192" s="281" t="n"/>
      <c r="F192" s="281" t="n"/>
      <c r="G192" s="281" t="n"/>
      <c r="H192" s="218" t="n"/>
    </row>
    <row r="193">
      <c r="A193" s="278" t="n"/>
      <c r="B193" s="279" t="n"/>
      <c r="C193" s="281" t="n"/>
      <c r="D193" s="281" t="n"/>
      <c r="E193" s="281" t="n"/>
      <c r="F193" s="281" t="n"/>
      <c r="G193" s="281" t="n"/>
      <c r="H193" s="218" t="n"/>
    </row>
    <row r="194">
      <c r="A194" s="278" t="n"/>
      <c r="B194" s="279" t="n"/>
      <c r="C194" s="281" t="n"/>
      <c r="D194" s="281" t="n"/>
      <c r="E194" s="281" t="n"/>
      <c r="F194" s="281" t="n"/>
      <c r="G194" s="281" t="n"/>
      <c r="H194" s="218" t="n"/>
    </row>
    <row r="195">
      <c r="A195" s="278" t="n"/>
      <c r="B195" s="279" t="n"/>
      <c r="C195" s="281" t="n"/>
      <c r="D195" s="281" t="n"/>
      <c r="E195" s="281" t="n"/>
      <c r="F195" s="281" t="n"/>
      <c r="G195" s="281" t="n"/>
      <c r="H195" s="218" t="n"/>
    </row>
    <row r="196">
      <c r="A196" s="278" t="n"/>
      <c r="B196" s="279" t="n"/>
      <c r="C196" s="281" t="n"/>
      <c r="D196" s="281" t="n"/>
      <c r="E196" s="281" t="n"/>
      <c r="F196" s="281" t="n"/>
      <c r="G196" s="281" t="n"/>
      <c r="H196" s="218" t="n"/>
    </row>
    <row r="197">
      <c r="A197" s="278" t="n"/>
      <c r="B197" s="279" t="n"/>
      <c r="C197" s="281" t="n"/>
      <c r="D197" s="281" t="n"/>
      <c r="E197" s="281" t="n"/>
      <c r="F197" s="281" t="n"/>
      <c r="G197" s="281" t="n"/>
      <c r="H197" s="218" t="n"/>
    </row>
    <row r="198">
      <c r="A198" s="278" t="n"/>
      <c r="B198" s="279" t="n"/>
      <c r="C198" s="281" t="n"/>
      <c r="D198" s="281" t="n"/>
      <c r="E198" s="281" t="n"/>
      <c r="F198" s="281" t="n"/>
      <c r="G198" s="281" t="n"/>
      <c r="H198" s="218" t="n"/>
    </row>
    <row r="199">
      <c r="A199" s="278" t="n"/>
      <c r="B199" s="279" t="n"/>
      <c r="C199" s="281" t="n"/>
      <c r="D199" s="281" t="n"/>
      <c r="E199" s="281" t="n"/>
      <c r="F199" s="281" t="n"/>
      <c r="G199" s="281" t="n"/>
      <c r="H199" s="218" t="n"/>
    </row>
    <row r="200">
      <c r="A200" s="278" t="n"/>
      <c r="B200" s="279" t="n"/>
      <c r="C200" s="281" t="n"/>
      <c r="D200" s="281" t="n"/>
      <c r="E200" s="281" t="n"/>
      <c r="F200" s="281" t="n"/>
      <c r="G200" s="281" t="n"/>
      <c r="H200" s="218" t="n"/>
    </row>
    <row r="201">
      <c r="A201" s="278" t="n"/>
      <c r="B201" s="279" t="n"/>
      <c r="C201" s="281" t="n"/>
      <c r="D201" s="281" t="n"/>
      <c r="E201" s="281" t="n"/>
      <c r="F201" s="281" t="n"/>
      <c r="G201" s="281" t="n"/>
      <c r="H201" s="218" t="n"/>
    </row>
    <row r="202">
      <c r="A202" s="278" t="n"/>
      <c r="B202" s="279" t="n"/>
      <c r="C202" s="281" t="n"/>
      <c r="D202" s="281" t="n"/>
      <c r="E202" s="281" t="n"/>
      <c r="F202" s="281" t="n"/>
      <c r="G202" s="281" t="n"/>
      <c r="H202" s="218" t="n"/>
    </row>
    <row r="203">
      <c r="A203" s="278" t="n"/>
      <c r="B203" s="279" t="n"/>
      <c r="C203" s="281" t="n"/>
      <c r="D203" s="281" t="n"/>
      <c r="E203" s="281" t="n"/>
      <c r="F203" s="281" t="n"/>
      <c r="G203" s="281" t="n"/>
      <c r="H203" s="218" t="n"/>
    </row>
    <row r="204">
      <c r="A204" s="278" t="n"/>
      <c r="B204" s="279" t="n"/>
      <c r="C204" s="281" t="n"/>
      <c r="D204" s="281" t="n"/>
      <c r="E204" s="281" t="n"/>
      <c r="F204" s="281" t="n"/>
      <c r="G204" s="281" t="n"/>
      <c r="H204" s="218" t="n"/>
    </row>
    <row r="205">
      <c r="A205" s="278" t="n"/>
      <c r="B205" s="279" t="n"/>
      <c r="C205" s="281" t="n"/>
      <c r="D205" s="281" t="n"/>
      <c r="E205" s="281" t="n"/>
      <c r="F205" s="281" t="n"/>
      <c r="G205" s="281" t="n"/>
      <c r="H205" s="218" t="n"/>
    </row>
    <row r="206">
      <c r="A206" s="278" t="n"/>
      <c r="B206" s="279" t="n"/>
      <c r="C206" s="281" t="n"/>
      <c r="D206" s="281" t="n"/>
      <c r="E206" s="281" t="n"/>
      <c r="F206" s="281" t="n"/>
      <c r="G206" s="281" t="n"/>
      <c r="H206" s="218" t="n"/>
    </row>
    <row r="207">
      <c r="A207" s="278" t="n"/>
      <c r="B207" s="279" t="n"/>
      <c r="C207" s="281" t="n"/>
      <c r="D207" s="281" t="n"/>
      <c r="E207" s="281" t="n"/>
      <c r="F207" s="281" t="n"/>
      <c r="G207" s="281" t="n"/>
      <c r="H207" s="218" t="n"/>
    </row>
    <row r="208">
      <c r="A208" s="278" t="n"/>
      <c r="B208" s="279" t="n"/>
      <c r="C208" s="281" t="n"/>
      <c r="D208" s="281" t="n"/>
      <c r="E208" s="281" t="n"/>
      <c r="F208" s="281" t="n"/>
      <c r="G208" s="281" t="n"/>
      <c r="H208" s="218" t="n"/>
    </row>
    <row r="209">
      <c r="A209" s="278" t="n"/>
      <c r="B209" s="279" t="n"/>
      <c r="C209" s="281" t="n"/>
      <c r="D209" s="281" t="n"/>
      <c r="E209" s="281" t="n"/>
      <c r="F209" s="281" t="n"/>
      <c r="G209" s="281" t="n"/>
      <c r="H209" s="218" t="n"/>
    </row>
    <row r="210">
      <c r="A210" s="278" t="n"/>
      <c r="B210" s="279" t="n"/>
      <c r="C210" s="281" t="n"/>
      <c r="D210" s="281" t="n"/>
      <c r="E210" s="281" t="n"/>
      <c r="F210" s="281" t="n"/>
      <c r="G210" s="281" t="n"/>
      <c r="H210" s="218" t="n"/>
    </row>
    <row r="211">
      <c r="A211" s="278" t="n"/>
      <c r="B211" s="279" t="n"/>
      <c r="C211" s="281" t="n"/>
      <c r="D211" s="281" t="n"/>
      <c r="E211" s="281" t="n"/>
      <c r="F211" s="281" t="n"/>
      <c r="G211" s="281" t="n"/>
      <c r="H211" s="218" t="n"/>
    </row>
    <row r="212">
      <c r="A212" s="278" t="n"/>
      <c r="B212" s="279" t="n"/>
      <c r="C212" s="281" t="n"/>
      <c r="D212" s="281" t="n"/>
      <c r="E212" s="281" t="n"/>
      <c r="F212" s="281" t="n"/>
      <c r="G212" s="281" t="n"/>
      <c r="H212" s="218" t="n"/>
    </row>
    <row r="213">
      <c r="A213" s="278" t="n"/>
      <c r="B213" s="279" t="n"/>
      <c r="C213" s="281" t="n"/>
      <c r="D213" s="281" t="n"/>
      <c r="E213" s="281" t="n"/>
      <c r="F213" s="281" t="n"/>
      <c r="G213" s="281" t="n"/>
      <c r="H213" s="218" t="n"/>
    </row>
    <row r="214">
      <c r="A214" s="278" t="n"/>
      <c r="B214" s="279" t="n"/>
      <c r="C214" s="281" t="n"/>
      <c r="D214" s="281" t="n"/>
      <c r="E214" s="281" t="n"/>
      <c r="F214" s="281" t="n"/>
      <c r="G214" s="281" t="n"/>
      <c r="H214" s="218" t="n"/>
    </row>
    <row r="215">
      <c r="A215" s="278" t="n"/>
      <c r="B215" s="279" t="n"/>
      <c r="C215" s="281" t="n"/>
      <c r="D215" s="281" t="n"/>
      <c r="E215" s="281" t="n"/>
      <c r="F215" s="281" t="n"/>
      <c r="G215" s="281" t="n"/>
      <c r="H215" s="218" t="n"/>
    </row>
    <row r="216">
      <c r="A216" s="278" t="n"/>
      <c r="B216" s="279" t="n"/>
      <c r="C216" s="281" t="n"/>
      <c r="D216" s="281" t="n"/>
      <c r="E216" s="281" t="n"/>
      <c r="F216" s="281" t="n"/>
      <c r="G216" s="281" t="n"/>
      <c r="H216" s="218" t="n"/>
    </row>
    <row r="217">
      <c r="A217" s="278" t="n"/>
      <c r="B217" s="279" t="n"/>
      <c r="C217" s="281" t="n"/>
      <c r="D217" s="281" t="n"/>
      <c r="E217" s="281" t="n"/>
      <c r="F217" s="281" t="n"/>
      <c r="G217" s="281" t="n"/>
      <c r="H217" s="218" t="n"/>
    </row>
    <row r="218">
      <c r="A218" s="278" t="n"/>
      <c r="B218" s="279" t="n"/>
      <c r="C218" s="281" t="n"/>
      <c r="D218" s="281" t="n"/>
      <c r="E218" s="281" t="n"/>
      <c r="F218" s="281" t="n"/>
      <c r="G218" s="281" t="n"/>
      <c r="H218" s="218" t="n"/>
    </row>
    <row r="219">
      <c r="A219" s="278" t="n"/>
      <c r="B219" s="279" t="n"/>
      <c r="C219" s="281" t="n"/>
      <c r="D219" s="281" t="n"/>
      <c r="E219" s="281" t="n"/>
      <c r="F219" s="281" t="n"/>
      <c r="G219" s="281" t="n"/>
      <c r="H219" s="218" t="n"/>
    </row>
    <row r="220">
      <c r="A220" s="278" t="n"/>
      <c r="B220" s="279" t="n"/>
      <c r="C220" s="281" t="n"/>
      <c r="D220" s="281" t="n"/>
      <c r="E220" s="281" t="n"/>
      <c r="F220" s="281" t="n"/>
      <c r="G220" s="281" t="n"/>
      <c r="H220" s="218" t="n"/>
    </row>
    <row r="221">
      <c r="A221" s="278" t="n"/>
      <c r="B221" s="279" t="n"/>
      <c r="C221" s="281" t="n"/>
      <c r="D221" s="281" t="n"/>
      <c r="E221" s="281" t="n"/>
      <c r="F221" s="281" t="n"/>
      <c r="G221" s="281" t="n"/>
      <c r="H221" s="218" t="n"/>
    </row>
    <row r="222">
      <c r="A222" s="278" t="n"/>
      <c r="B222" s="279" t="n"/>
      <c r="C222" s="281" t="n"/>
      <c r="D222" s="281" t="n"/>
      <c r="E222" s="281" t="n"/>
      <c r="F222" s="281" t="n"/>
      <c r="G222" s="281" t="n"/>
      <c r="H222" s="218" t="n"/>
    </row>
    <row r="223">
      <c r="A223" s="278" t="n"/>
      <c r="B223" s="279" t="n"/>
      <c r="C223" s="281" t="n"/>
      <c r="D223" s="281" t="n"/>
      <c r="E223" s="281" t="n"/>
      <c r="F223" s="281" t="n"/>
      <c r="G223" s="281" t="n"/>
      <c r="H223" s="218" t="n"/>
    </row>
    <row r="224">
      <c r="A224" s="278" t="n"/>
      <c r="B224" s="279" t="n"/>
      <c r="C224" s="281" t="n"/>
      <c r="D224" s="281" t="n"/>
      <c r="E224" s="281" t="n"/>
      <c r="F224" s="281" t="n"/>
      <c r="G224" s="281" t="n"/>
      <c r="H224" s="218" t="n"/>
    </row>
    <row r="225">
      <c r="A225" s="278" t="n"/>
      <c r="B225" s="279" t="n"/>
      <c r="C225" s="281" t="n"/>
      <c r="D225" s="281" t="n"/>
      <c r="E225" s="281" t="n"/>
      <c r="F225" s="281" t="n"/>
      <c r="G225" s="281" t="n"/>
      <c r="H225" s="218" t="n"/>
    </row>
    <row r="226">
      <c r="A226" s="278" t="n"/>
      <c r="B226" s="279" t="n"/>
      <c r="C226" s="281" t="n"/>
      <c r="D226" s="281" t="n"/>
      <c r="E226" s="281" t="n"/>
      <c r="F226" s="281" t="n"/>
      <c r="G226" s="281" t="n"/>
      <c r="H226" s="218" t="n"/>
    </row>
    <row r="227">
      <c r="A227" s="278" t="n"/>
      <c r="B227" s="279" t="n"/>
      <c r="C227" s="281" t="n"/>
      <c r="D227" s="281" t="n"/>
      <c r="E227" s="281" t="n"/>
      <c r="F227" s="281" t="n"/>
      <c r="G227" s="281" t="n"/>
      <c r="H227" s="218" t="n"/>
    </row>
    <row r="228">
      <c r="A228" s="278" t="n"/>
      <c r="B228" s="279" t="n"/>
      <c r="C228" s="281" t="n"/>
      <c r="D228" s="281" t="n"/>
      <c r="E228" s="281" t="n"/>
      <c r="F228" s="281" t="n"/>
      <c r="G228" s="281" t="n"/>
      <c r="H228" s="218" t="n"/>
    </row>
    <row r="229">
      <c r="A229" s="278" t="n"/>
      <c r="B229" s="279" t="n"/>
      <c r="C229" s="281" t="n"/>
      <c r="D229" s="281" t="n"/>
      <c r="E229" s="281" t="n"/>
      <c r="F229" s="281" t="n"/>
      <c r="G229" s="281" t="n"/>
      <c r="H229" s="218" t="n"/>
    </row>
    <row r="230">
      <c r="A230" s="278" t="n"/>
      <c r="B230" s="279" t="n"/>
      <c r="C230" s="281" t="n"/>
      <c r="D230" s="281" t="n"/>
      <c r="E230" s="281" t="n"/>
      <c r="F230" s="281" t="n"/>
      <c r="G230" s="281" t="n"/>
      <c r="H230" s="218" t="n"/>
    </row>
    <row r="231">
      <c r="A231" s="278" t="n"/>
      <c r="B231" s="279" t="n"/>
      <c r="C231" s="281" t="n"/>
      <c r="D231" s="281" t="n"/>
      <c r="E231" s="281" t="n"/>
      <c r="F231" s="281" t="n"/>
      <c r="G231" s="281" t="n"/>
      <c r="H231" s="218" t="n"/>
    </row>
    <row r="232">
      <c r="A232" s="278" t="n"/>
      <c r="B232" s="279" t="n"/>
      <c r="C232" s="281" t="n"/>
      <c r="D232" s="281" t="n"/>
      <c r="E232" s="281" t="n"/>
      <c r="F232" s="281" t="n"/>
      <c r="G232" s="281" t="n"/>
      <c r="H232" s="218" t="n"/>
    </row>
    <row r="233">
      <c r="A233" s="278" t="n"/>
      <c r="B233" s="279" t="n"/>
      <c r="C233" s="281" t="n"/>
      <c r="D233" s="281" t="n"/>
      <c r="E233" s="281" t="n"/>
      <c r="F233" s="281" t="n"/>
      <c r="G233" s="281" t="n"/>
      <c r="H233" s="218" t="n"/>
    </row>
    <row r="234">
      <c r="A234" s="278" t="n"/>
      <c r="B234" s="279" t="n"/>
      <c r="C234" s="281" t="n"/>
      <c r="D234" s="281" t="n"/>
      <c r="E234" s="281" t="n"/>
      <c r="F234" s="281" t="n"/>
      <c r="G234" s="281" t="n"/>
      <c r="H234" s="218" t="n"/>
    </row>
    <row r="235">
      <c r="A235" s="278" t="n"/>
      <c r="B235" s="279" t="n"/>
      <c r="C235" s="281" t="n"/>
      <c r="D235" s="281" t="n"/>
      <c r="E235" s="281" t="n"/>
      <c r="F235" s="281" t="n"/>
      <c r="G235" s="281" t="n"/>
      <c r="H235" s="218" t="n"/>
    </row>
    <row r="236">
      <c r="A236" s="278" t="n"/>
      <c r="B236" s="279" t="n"/>
      <c r="C236" s="281" t="n"/>
      <c r="D236" s="281" t="n"/>
      <c r="E236" s="281" t="n"/>
      <c r="F236" s="281" t="n"/>
      <c r="G236" s="281" t="n"/>
      <c r="H236" s="218" t="n"/>
    </row>
    <row r="237">
      <c r="A237" s="278" t="n"/>
      <c r="B237" s="279" t="n"/>
      <c r="C237" s="281" t="n"/>
      <c r="D237" s="281" t="n"/>
      <c r="E237" s="281" t="n"/>
      <c r="F237" s="281" t="n"/>
      <c r="G237" s="281" t="n"/>
      <c r="H237" s="218" t="n"/>
    </row>
    <row r="238">
      <c r="A238" s="278" t="n"/>
      <c r="B238" s="279" t="n"/>
      <c r="C238" s="281" t="n"/>
      <c r="D238" s="281" t="n"/>
      <c r="E238" s="281" t="n"/>
      <c r="F238" s="281" t="n"/>
      <c r="G238" s="281" t="n"/>
      <c r="H238" s="218" t="n"/>
    </row>
    <row r="239">
      <c r="A239" s="278" t="n"/>
      <c r="B239" s="279" t="n"/>
      <c r="C239" s="281" t="n"/>
      <c r="D239" s="281" t="n"/>
      <c r="E239" s="281" t="n"/>
      <c r="F239" s="281" t="n"/>
      <c r="G239" s="281" t="n"/>
      <c r="H239" s="218" t="n"/>
    </row>
    <row r="240">
      <c r="A240" s="278" t="n"/>
      <c r="B240" s="279" t="n"/>
      <c r="C240" s="281" t="n"/>
      <c r="D240" s="281" t="n"/>
      <c r="E240" s="281" t="n"/>
      <c r="F240" s="281" t="n"/>
      <c r="G240" s="281" t="n"/>
      <c r="H240" s="218" t="n"/>
    </row>
    <row r="241">
      <c r="A241" s="278" t="n"/>
      <c r="B241" s="279" t="n"/>
      <c r="C241" s="281" t="n"/>
      <c r="D241" s="281" t="n"/>
      <c r="E241" s="281" t="n"/>
      <c r="F241" s="281" t="n"/>
      <c r="G241" s="281" t="n"/>
      <c r="H241" s="218" t="n"/>
    </row>
    <row r="242">
      <c r="A242" s="278" t="n"/>
      <c r="B242" s="279" t="n"/>
      <c r="C242" s="281" t="n"/>
      <c r="D242" s="281" t="n"/>
      <c r="E242" s="281" t="n"/>
      <c r="F242" s="281" t="n"/>
      <c r="G242" s="281" t="n"/>
      <c r="H242" s="218" t="n"/>
    </row>
    <row r="243">
      <c r="A243" s="278" t="n"/>
      <c r="B243" s="279" t="n"/>
      <c r="C243" s="281" t="n"/>
      <c r="D243" s="281" t="n"/>
      <c r="E243" s="281" t="n"/>
      <c r="F243" s="281" t="n"/>
      <c r="G243" s="281" t="n"/>
      <c r="H243" s="218" t="n"/>
    </row>
    <row r="244">
      <c r="A244" s="278" t="n"/>
      <c r="B244" s="279" t="n"/>
      <c r="C244" s="281" t="n"/>
      <c r="D244" s="281" t="n"/>
      <c r="E244" s="281" t="n"/>
      <c r="F244" s="281" t="n"/>
      <c r="G244" s="281" t="n"/>
      <c r="H244" s="218" t="n"/>
    </row>
    <row r="245">
      <c r="A245" s="278" t="n"/>
      <c r="B245" s="279" t="n"/>
      <c r="C245" s="281" t="n"/>
      <c r="D245" s="281" t="n"/>
      <c r="E245" s="281" t="n"/>
      <c r="F245" s="281" t="n"/>
      <c r="G245" s="281" t="n"/>
      <c r="H245" s="218" t="n"/>
    </row>
    <row r="246">
      <c r="A246" s="278" t="n"/>
      <c r="B246" s="279" t="n"/>
      <c r="C246" s="281" t="n"/>
      <c r="D246" s="281" t="n"/>
      <c r="E246" s="281" t="n"/>
      <c r="F246" s="281" t="n"/>
      <c r="G246" s="281" t="n"/>
      <c r="H246" s="218" t="n"/>
    </row>
    <row r="247">
      <c r="A247" s="278" t="n"/>
      <c r="B247" s="279" t="n"/>
      <c r="C247" s="281" t="n"/>
      <c r="D247" s="281" t="n"/>
      <c r="E247" s="281" t="n"/>
      <c r="F247" s="281" t="n"/>
      <c r="G247" s="281" t="n"/>
      <c r="H247" s="218" t="n"/>
    </row>
    <row r="248">
      <c r="A248" s="278" t="n"/>
      <c r="B248" s="279" t="n"/>
      <c r="C248" s="281" t="n"/>
      <c r="D248" s="281" t="n"/>
      <c r="E248" s="281" t="n"/>
      <c r="F248" s="281" t="n"/>
      <c r="G248" s="281" t="n"/>
      <c r="H248" s="218" t="n"/>
    </row>
    <row r="249">
      <c r="A249" s="278" t="n"/>
      <c r="B249" s="279" t="n"/>
      <c r="C249" s="281" t="n"/>
      <c r="D249" s="281" t="n"/>
      <c r="E249" s="281" t="n"/>
      <c r="F249" s="281" t="n"/>
      <c r="G249" s="281" t="n"/>
      <c r="H249" s="218" t="n"/>
    </row>
    <row r="250">
      <c r="A250" s="278" t="n"/>
      <c r="B250" s="279" t="n"/>
      <c r="C250" s="281" t="n"/>
      <c r="D250" s="281" t="n"/>
      <c r="E250" s="281" t="n"/>
      <c r="F250" s="281" t="n"/>
      <c r="G250" s="281" t="n"/>
      <c r="H250" s="218" t="n"/>
    </row>
    <row r="251">
      <c r="A251" s="278" t="n"/>
      <c r="B251" s="279" t="n"/>
      <c r="C251" s="281" t="n"/>
      <c r="D251" s="281" t="n"/>
      <c r="E251" s="281" t="n"/>
      <c r="F251" s="281" t="n"/>
      <c r="G251" s="281" t="n"/>
      <c r="H251" s="218" t="n"/>
    </row>
    <row r="252">
      <c r="A252" s="278" t="n"/>
      <c r="B252" s="279" t="n"/>
      <c r="C252" s="281" t="n"/>
      <c r="D252" s="281" t="n"/>
      <c r="E252" s="281" t="n"/>
      <c r="F252" s="281" t="n"/>
      <c r="G252" s="281" t="n"/>
      <c r="H252" s="218" t="n"/>
    </row>
    <row r="253">
      <c r="A253" s="278" t="n"/>
      <c r="B253" s="279" t="n"/>
      <c r="C253" s="281" t="n"/>
      <c r="D253" s="281" t="n"/>
      <c r="E253" s="281" t="n"/>
      <c r="F253" s="281" t="n"/>
      <c r="G253" s="281" t="n"/>
      <c r="H253" s="218" t="n"/>
    </row>
    <row r="254">
      <c r="A254" s="278" t="n"/>
      <c r="B254" s="279" t="n"/>
      <c r="C254" s="281" t="n"/>
      <c r="D254" s="281" t="n"/>
      <c r="E254" s="281" t="n"/>
      <c r="F254" s="281" t="n"/>
      <c r="G254" s="281" t="n"/>
      <c r="H254" s="218" t="n"/>
    </row>
    <row r="255">
      <c r="A255" s="278" t="n"/>
      <c r="B255" s="279" t="n"/>
      <c r="C255" s="281" t="n"/>
      <c r="D255" s="281" t="n"/>
      <c r="E255" s="281" t="n"/>
      <c r="F255" s="281" t="n"/>
      <c r="G255" s="281" t="n"/>
      <c r="H255" s="218" t="n"/>
    </row>
    <row r="256">
      <c r="A256" s="278" t="n"/>
      <c r="B256" s="279" t="n"/>
      <c r="C256" s="281" t="n"/>
      <c r="D256" s="281" t="n"/>
      <c r="E256" s="281" t="n"/>
      <c r="F256" s="281" t="n"/>
      <c r="G256" s="281" t="n"/>
      <c r="H256" s="218" t="n"/>
    </row>
    <row r="257">
      <c r="A257" s="278" t="n"/>
      <c r="B257" s="279" t="n"/>
      <c r="C257" s="281" t="n"/>
      <c r="D257" s="281" t="n"/>
      <c r="E257" s="281" t="n"/>
      <c r="F257" s="281" t="n"/>
      <c r="G257" s="281" t="n"/>
      <c r="H257" s="218" t="n"/>
    </row>
    <row r="258">
      <c r="A258" s="278" t="n"/>
      <c r="B258" s="279" t="n"/>
      <c r="C258" s="281" t="n"/>
      <c r="D258" s="281" t="n"/>
      <c r="E258" s="281" t="n"/>
      <c r="F258" s="281" t="n"/>
      <c r="G258" s="281" t="n"/>
      <c r="H258" s="218" t="n"/>
    </row>
    <row r="259">
      <c r="A259" s="278" t="n"/>
      <c r="B259" s="279" t="n"/>
      <c r="C259" s="281" t="n"/>
      <c r="D259" s="281" t="n"/>
      <c r="E259" s="281" t="n"/>
      <c r="F259" s="281" t="n"/>
      <c r="G259" s="281" t="n"/>
      <c r="H259" s="218" t="n"/>
    </row>
    <row r="260">
      <c r="A260" s="278" t="n"/>
      <c r="B260" s="279" t="n"/>
      <c r="C260" s="281" t="n"/>
      <c r="D260" s="281" t="n"/>
      <c r="E260" s="281" t="n"/>
      <c r="F260" s="281" t="n"/>
      <c r="G260" s="281" t="n"/>
      <c r="H260" s="218" t="n"/>
    </row>
    <row r="261">
      <c r="A261" s="278" t="n"/>
      <c r="B261" s="279" t="n"/>
      <c r="C261" s="281" t="n"/>
      <c r="D261" s="281" t="n"/>
      <c r="E261" s="281" t="n"/>
      <c r="F261" s="281" t="n"/>
      <c r="G261" s="281" t="n"/>
      <c r="H261" s="218" t="n"/>
    </row>
    <row r="262">
      <c r="A262" s="278" t="n"/>
      <c r="B262" s="279" t="n"/>
      <c r="C262" s="281" t="n"/>
      <c r="D262" s="281" t="n"/>
      <c r="E262" s="281" t="n"/>
      <c r="F262" s="281" t="n"/>
      <c r="G262" s="281" t="n"/>
      <c r="H262" s="218" t="n"/>
    </row>
    <row r="263">
      <c r="A263" s="278" t="n"/>
      <c r="B263" s="279" t="n"/>
      <c r="C263" s="281" t="n"/>
      <c r="D263" s="281" t="n"/>
      <c r="E263" s="281" t="n"/>
      <c r="F263" s="281" t="n"/>
      <c r="G263" s="281" t="n"/>
      <c r="H263" s="218" t="n"/>
    </row>
    <row r="264">
      <c r="A264" s="278" t="n"/>
      <c r="B264" s="279" t="n"/>
      <c r="C264" s="281" t="n"/>
      <c r="D264" s="281" t="n"/>
      <c r="E264" s="281" t="n"/>
      <c r="F264" s="281" t="n"/>
      <c r="G264" s="281" t="n"/>
      <c r="H264" s="218" t="n"/>
    </row>
    <row r="265">
      <c r="A265" s="278" t="n"/>
      <c r="B265" s="279" t="n"/>
      <c r="C265" s="281" t="n"/>
      <c r="D265" s="281" t="n"/>
      <c r="E265" s="281" t="n"/>
      <c r="F265" s="281" t="n"/>
      <c r="G265" s="281" t="n"/>
      <c r="H265" s="218" t="n"/>
    </row>
    <row r="266">
      <c r="A266" s="278" t="n"/>
      <c r="B266" s="279" t="n"/>
      <c r="C266" s="281" t="n"/>
      <c r="D266" s="281" t="n"/>
      <c r="E266" s="281" t="n"/>
      <c r="F266" s="281" t="n"/>
      <c r="G266" s="281" t="n"/>
      <c r="H266" s="218" t="n"/>
    </row>
    <row r="267">
      <c r="A267" s="278" t="n"/>
      <c r="B267" s="279" t="n"/>
      <c r="C267" s="281" t="n"/>
      <c r="D267" s="281" t="n"/>
      <c r="E267" s="281" t="n"/>
      <c r="F267" s="281" t="n"/>
      <c r="G267" s="281" t="n"/>
      <c r="H267" s="218" t="n"/>
    </row>
    <row r="268">
      <c r="A268" s="278" t="n"/>
      <c r="B268" s="279" t="n"/>
      <c r="C268" s="281" t="n"/>
      <c r="D268" s="281" t="n"/>
      <c r="E268" s="281" t="n"/>
      <c r="F268" s="281" t="n"/>
      <c r="G268" s="281" t="n"/>
      <c r="H268" s="218" t="n"/>
    </row>
    <row r="269">
      <c r="A269" s="278" t="n"/>
      <c r="B269" s="279" t="n"/>
      <c r="C269" s="281" t="n"/>
      <c r="D269" s="281" t="n"/>
      <c r="E269" s="281" t="n"/>
      <c r="F269" s="281" t="n"/>
      <c r="G269" s="281" t="n"/>
      <c r="H269" s="218" t="n"/>
    </row>
    <row r="270">
      <c r="A270" s="278" t="n"/>
      <c r="B270" s="279" t="n"/>
      <c r="C270" s="281" t="n"/>
      <c r="D270" s="281" t="n"/>
      <c r="E270" s="281" t="n"/>
      <c r="F270" s="281" t="n"/>
      <c r="G270" s="281" t="n"/>
      <c r="H270" s="218" t="n"/>
    </row>
    <row r="271">
      <c r="A271" s="278" t="n"/>
      <c r="B271" s="279" t="n"/>
      <c r="C271" s="281" t="n"/>
      <c r="D271" s="281" t="n"/>
      <c r="E271" s="281" t="n"/>
      <c r="F271" s="281" t="n"/>
      <c r="G271" s="281" t="n"/>
      <c r="H271" s="218" t="n"/>
    </row>
    <row r="272">
      <c r="A272" s="278" t="n"/>
      <c r="B272" s="279" t="n"/>
      <c r="C272" s="281" t="n"/>
      <c r="D272" s="281" t="n"/>
      <c r="E272" s="281" t="n"/>
      <c r="F272" s="281" t="n"/>
      <c r="G272" s="281" t="n"/>
      <c r="H272" s="218" t="n"/>
    </row>
    <row r="273">
      <c r="A273" s="278" t="n"/>
      <c r="B273" s="279" t="n"/>
      <c r="C273" s="281" t="n"/>
      <c r="D273" s="281" t="n"/>
      <c r="E273" s="281" t="n"/>
      <c r="F273" s="281" t="n"/>
      <c r="G273" s="281" t="n"/>
      <c r="H273" s="218" t="n"/>
    </row>
    <row r="274">
      <c r="A274" s="278" t="n"/>
      <c r="B274" s="279" t="n"/>
      <c r="C274" s="281" t="n"/>
      <c r="D274" s="281" t="n"/>
      <c r="E274" s="281" t="n"/>
      <c r="F274" s="281" t="n"/>
      <c r="G274" s="281" t="n"/>
      <c r="H274" s="218" t="n"/>
    </row>
    <row r="275">
      <c r="A275" s="278" t="n"/>
      <c r="B275" s="279" t="n"/>
      <c r="C275" s="281" t="n"/>
      <c r="D275" s="281" t="n"/>
      <c r="E275" s="281" t="n"/>
      <c r="F275" s="281" t="n"/>
      <c r="G275" s="281" t="n"/>
      <c r="H275" s="218" t="n"/>
    </row>
    <row r="276">
      <c r="A276" s="278" t="n"/>
      <c r="B276" s="279" t="n"/>
      <c r="C276" s="281" t="n"/>
      <c r="D276" s="281" t="n"/>
      <c r="E276" s="281" t="n"/>
      <c r="F276" s="281" t="n"/>
      <c r="G276" s="281" t="n"/>
      <c r="H276" s="218" t="n"/>
    </row>
    <row r="277">
      <c r="A277" s="278" t="n"/>
      <c r="B277" s="279" t="n"/>
      <c r="C277" s="281" t="n"/>
      <c r="D277" s="281" t="n"/>
      <c r="E277" s="281" t="n"/>
      <c r="F277" s="281" t="n"/>
      <c r="G277" s="281" t="n"/>
      <c r="H277" s="218" t="n"/>
    </row>
    <row r="278">
      <c r="A278" s="278" t="n"/>
      <c r="B278" s="279" t="n"/>
      <c r="C278" s="281" t="n"/>
      <c r="D278" s="281" t="n"/>
      <c r="E278" s="281" t="n"/>
      <c r="F278" s="281" t="n"/>
      <c r="G278" s="281" t="n"/>
      <c r="H278" s="218" t="n"/>
    </row>
    <row r="279">
      <c r="A279" s="278" t="n"/>
      <c r="B279" s="279" t="n"/>
      <c r="C279" s="281" t="n"/>
      <c r="D279" s="281" t="n"/>
      <c r="E279" s="281" t="n"/>
      <c r="F279" s="281" t="n"/>
      <c r="G279" s="281" t="n"/>
      <c r="H279" s="218" t="n"/>
    </row>
    <row r="280">
      <c r="A280" s="278" t="n"/>
      <c r="B280" s="279" t="n"/>
      <c r="C280" s="281" t="n"/>
      <c r="D280" s="281" t="n"/>
      <c r="E280" s="281" t="n"/>
      <c r="F280" s="281" t="n"/>
      <c r="G280" s="281" t="n"/>
      <c r="H280" s="218" t="n"/>
    </row>
    <row r="281">
      <c r="A281" s="278" t="n"/>
      <c r="B281" s="279" t="n"/>
      <c r="C281" s="281" t="n"/>
      <c r="D281" s="281" t="n"/>
      <c r="E281" s="281" t="n"/>
      <c r="F281" s="281" t="n"/>
      <c r="G281" s="281" t="n"/>
      <c r="H281" s="218" t="n"/>
    </row>
    <row r="282">
      <c r="A282" s="278" t="n"/>
      <c r="B282" s="279" t="n"/>
      <c r="C282" s="281" t="n"/>
      <c r="D282" s="281" t="n"/>
      <c r="E282" s="281" t="n"/>
      <c r="F282" s="281" t="n"/>
      <c r="G282" s="281" t="n"/>
      <c r="H282" s="218" t="n"/>
    </row>
    <row r="283">
      <c r="A283" s="278" t="n"/>
      <c r="B283" s="279" t="n"/>
      <c r="C283" s="281" t="n"/>
      <c r="D283" s="281" t="n"/>
      <c r="E283" s="281" t="n"/>
      <c r="F283" s="281" t="n"/>
      <c r="G283" s="281" t="n"/>
      <c r="H283" s="218" t="n"/>
    </row>
    <row r="284">
      <c r="A284" s="278" t="n"/>
      <c r="B284" s="279" t="n"/>
      <c r="C284" s="281" t="n"/>
      <c r="D284" s="281" t="n"/>
      <c r="E284" s="281" t="n"/>
      <c r="F284" s="281" t="n"/>
      <c r="G284" s="281" t="n"/>
      <c r="H284" s="218" t="n"/>
    </row>
    <row r="285">
      <c r="A285" s="278" t="n"/>
      <c r="B285" s="279" t="n"/>
      <c r="C285" s="281" t="n"/>
      <c r="D285" s="281" t="n"/>
      <c r="E285" s="281" t="n"/>
      <c r="F285" s="281" t="n"/>
      <c r="G285" s="281" t="n"/>
      <c r="H285" s="218" t="n"/>
    </row>
    <row r="286">
      <c r="A286" s="278" t="n"/>
      <c r="B286" s="279" t="n"/>
      <c r="C286" s="281" t="n"/>
      <c r="D286" s="281" t="n"/>
      <c r="E286" s="281" t="n"/>
      <c r="F286" s="281" t="n"/>
      <c r="G286" s="281" t="n"/>
      <c r="H286" s="218" t="n"/>
    </row>
    <row r="287">
      <c r="A287" s="278" t="n"/>
      <c r="B287" s="279" t="n"/>
      <c r="C287" s="281" t="n"/>
      <c r="D287" s="281" t="n"/>
      <c r="E287" s="281" t="n"/>
      <c r="F287" s="281" t="n"/>
      <c r="G287" s="281" t="n"/>
      <c r="H287" s="218" t="n"/>
    </row>
    <row r="288">
      <c r="A288" s="278" t="n"/>
      <c r="B288" s="279" t="n"/>
      <c r="C288" s="281" t="n"/>
      <c r="D288" s="281" t="n"/>
      <c r="E288" s="281" t="n"/>
      <c r="F288" s="281" t="n"/>
      <c r="G288" s="281" t="n"/>
      <c r="H288" s="218" t="n"/>
    </row>
    <row r="289">
      <c r="A289" s="278" t="n"/>
      <c r="B289" s="279" t="n"/>
      <c r="C289" s="281" t="n"/>
      <c r="D289" s="281" t="n"/>
      <c r="E289" s="281" t="n"/>
      <c r="F289" s="281" t="n"/>
      <c r="G289" s="281" t="n"/>
      <c r="H289" s="218" t="n"/>
    </row>
    <row r="290">
      <c r="A290" s="278" t="n"/>
      <c r="B290" s="279" t="n"/>
      <c r="C290" s="281" t="n"/>
      <c r="D290" s="281" t="n"/>
      <c r="E290" s="281" t="n"/>
      <c r="F290" s="281" t="n"/>
      <c r="G290" s="281" t="n"/>
      <c r="H290" s="218" t="n"/>
    </row>
    <row r="291">
      <c r="A291" s="278" t="n"/>
      <c r="B291" s="279" t="n"/>
      <c r="C291" s="281" t="n"/>
      <c r="D291" s="281" t="n"/>
      <c r="E291" s="281" t="n"/>
      <c r="F291" s="281" t="n"/>
      <c r="G291" s="281" t="n"/>
      <c r="H291" s="218" t="n"/>
    </row>
    <row r="292">
      <c r="A292" s="278" t="n"/>
      <c r="B292" s="279" t="n"/>
      <c r="C292" s="281" t="n"/>
      <c r="D292" s="281" t="n"/>
      <c r="E292" s="281" t="n"/>
      <c r="F292" s="281" t="n"/>
      <c r="G292" s="281" t="n"/>
      <c r="H292" s="218" t="n"/>
    </row>
    <row r="293">
      <c r="A293" s="278" t="n"/>
      <c r="B293" s="279" t="n"/>
      <c r="C293" s="281" t="n"/>
      <c r="D293" s="281" t="n"/>
      <c r="E293" s="281" t="n"/>
      <c r="F293" s="281" t="n"/>
      <c r="G293" s="281" t="n"/>
      <c r="H293" s="218" t="n"/>
    </row>
    <row r="294">
      <c r="A294" s="278" t="n"/>
      <c r="B294" s="279" t="n"/>
      <c r="C294" s="281" t="n"/>
      <c r="D294" s="281" t="n"/>
      <c r="E294" s="281" t="n"/>
      <c r="F294" s="281" t="n"/>
      <c r="G294" s="281" t="n"/>
      <c r="H294" s="218" t="n"/>
    </row>
    <row r="295">
      <c r="A295" s="278" t="n"/>
      <c r="B295" s="279" t="n"/>
      <c r="C295" s="281" t="n"/>
      <c r="D295" s="281" t="n"/>
      <c r="E295" s="281" t="n"/>
      <c r="F295" s="281" t="n"/>
      <c r="G295" s="281" t="n"/>
      <c r="H295" s="218" t="n"/>
    </row>
    <row r="296">
      <c r="A296" s="278" t="n"/>
      <c r="B296" s="279" t="n"/>
      <c r="C296" s="281" t="n"/>
      <c r="D296" s="281" t="n"/>
      <c r="E296" s="281" t="n"/>
      <c r="F296" s="281" t="n"/>
      <c r="G296" s="281" t="n"/>
      <c r="H296" s="218" t="n"/>
    </row>
    <row r="297">
      <c r="A297" s="278" t="n"/>
      <c r="B297" s="279" t="n"/>
      <c r="C297" s="281" t="n"/>
      <c r="D297" s="281" t="n"/>
      <c r="E297" s="281" t="n"/>
      <c r="F297" s="281" t="n"/>
      <c r="G297" s="281" t="n"/>
      <c r="H297" s="218" t="n"/>
    </row>
    <row r="298">
      <c r="A298" s="278" t="n"/>
      <c r="B298" s="279" t="n"/>
      <c r="C298" s="281" t="n"/>
      <c r="D298" s="281" t="n"/>
      <c r="E298" s="281" t="n"/>
      <c r="F298" s="281" t="n"/>
      <c r="G298" s="281" t="n"/>
      <c r="H298" s="218" t="n"/>
    </row>
    <row r="299">
      <c r="A299" s="278" t="n"/>
      <c r="B299" s="279" t="n"/>
      <c r="C299" s="281" t="n"/>
      <c r="D299" s="281" t="n"/>
      <c r="E299" s="281" t="n"/>
      <c r="F299" s="281" t="n"/>
      <c r="G299" s="281" t="n"/>
      <c r="H299" s="218" t="n"/>
    </row>
    <row r="300">
      <c r="A300" s="278" t="n"/>
      <c r="B300" s="279" t="n"/>
      <c r="C300" s="281" t="n"/>
      <c r="D300" s="281" t="n"/>
      <c r="E300" s="281" t="n"/>
      <c r="F300" s="281" t="n"/>
      <c r="G300" s="281" t="n"/>
      <c r="H300" s="218" t="n"/>
    </row>
    <row r="301">
      <c r="A301" s="278" t="n"/>
      <c r="B301" s="279" t="n"/>
      <c r="C301" s="281" t="n"/>
      <c r="D301" s="281" t="n"/>
      <c r="E301" s="281" t="n"/>
      <c r="F301" s="281" t="n"/>
      <c r="G301" s="281" t="n"/>
      <c r="H301" s="218" t="n"/>
    </row>
    <row r="302">
      <c r="A302" s="278" t="n"/>
      <c r="B302" s="279" t="n"/>
      <c r="C302" s="281" t="n"/>
      <c r="D302" s="281" t="n"/>
      <c r="E302" s="281" t="n"/>
      <c r="F302" s="281" t="n"/>
      <c r="G302" s="281" t="n"/>
      <c r="H302" s="218" t="n"/>
    </row>
    <row r="303">
      <c r="A303" s="278" t="n"/>
      <c r="B303" s="279" t="n"/>
      <c r="C303" s="281" t="n"/>
      <c r="D303" s="281" t="n"/>
      <c r="E303" s="281" t="n"/>
      <c r="F303" s="281" t="n"/>
      <c r="G303" s="281" t="n"/>
      <c r="H303" s="218" t="n"/>
    </row>
    <row r="304">
      <c r="A304" s="278" t="n"/>
      <c r="B304" s="279" t="n"/>
      <c r="C304" s="281" t="n"/>
      <c r="D304" s="281" t="n"/>
      <c r="E304" s="281" t="n"/>
      <c r="F304" s="281" t="n"/>
      <c r="G304" s="281" t="n"/>
      <c r="H304" s="218" t="n"/>
    </row>
    <row r="305">
      <c r="A305" s="278" t="n"/>
      <c r="B305" s="279" t="n"/>
      <c r="C305" s="281" t="n"/>
      <c r="D305" s="281" t="n"/>
      <c r="E305" s="281" t="n"/>
      <c r="F305" s="281" t="n"/>
      <c r="G305" s="281" t="n"/>
      <c r="H305" s="218" t="n"/>
    </row>
    <row r="306">
      <c r="A306" s="278" t="n"/>
      <c r="B306" s="279" t="n"/>
      <c r="C306" s="281" t="n"/>
      <c r="D306" s="281" t="n"/>
      <c r="E306" s="281" t="n"/>
      <c r="F306" s="281" t="n"/>
      <c r="G306" s="281" t="n"/>
      <c r="H306" s="218" t="n"/>
    </row>
    <row r="307">
      <c r="A307" s="278" t="n"/>
      <c r="B307" s="279" t="n"/>
      <c r="C307" s="281" t="n"/>
      <c r="D307" s="281" t="n"/>
      <c r="E307" s="281" t="n"/>
      <c r="F307" s="281" t="n"/>
      <c r="G307" s="281" t="n"/>
      <c r="H307" s="218" t="n"/>
    </row>
    <row r="308">
      <c r="A308" s="278" t="n"/>
      <c r="B308" s="279" t="n"/>
      <c r="C308" s="281" t="n"/>
      <c r="D308" s="281" t="n"/>
      <c r="E308" s="281" t="n"/>
      <c r="F308" s="281" t="n"/>
      <c r="G308" s="281" t="n"/>
      <c r="H308" s="218" t="n"/>
    </row>
    <row r="309">
      <c r="A309" s="278" t="n"/>
      <c r="B309" s="279" t="n"/>
      <c r="C309" s="281" t="n"/>
      <c r="D309" s="281" t="n"/>
      <c r="E309" s="281" t="n"/>
      <c r="F309" s="281" t="n"/>
      <c r="G309" s="281" t="n"/>
      <c r="H309" s="218" t="n"/>
    </row>
    <row r="310">
      <c r="A310" s="278" t="n"/>
      <c r="B310" s="279" t="n"/>
      <c r="C310" s="281" t="n"/>
      <c r="D310" s="281" t="n"/>
      <c r="E310" s="281" t="n"/>
      <c r="F310" s="281" t="n"/>
      <c r="G310" s="281" t="n"/>
      <c r="H310" s="218" t="n"/>
    </row>
    <row r="311">
      <c r="A311" s="278" t="n"/>
      <c r="B311" s="279" t="n"/>
      <c r="C311" s="281" t="n"/>
      <c r="D311" s="281" t="n"/>
      <c r="E311" s="281" t="n"/>
      <c r="F311" s="281" t="n"/>
      <c r="G311" s="281" t="n"/>
      <c r="H311" s="218" t="n"/>
    </row>
    <row r="312">
      <c r="A312" s="278" t="n"/>
      <c r="B312" s="279" t="n"/>
      <c r="C312" s="281" t="n"/>
      <c r="D312" s="281" t="n"/>
      <c r="E312" s="281" t="n"/>
      <c r="F312" s="281" t="n"/>
      <c r="G312" s="281" t="n"/>
      <c r="H312" s="218" t="n"/>
    </row>
    <row r="313">
      <c r="A313" s="278" t="n"/>
      <c r="B313" s="279" t="n"/>
      <c r="C313" s="281" t="n"/>
      <c r="D313" s="281" t="n"/>
      <c r="E313" s="281" t="n"/>
      <c r="F313" s="281" t="n"/>
      <c r="G313" s="281" t="n"/>
      <c r="H313" s="218" t="n"/>
    </row>
    <row r="314">
      <c r="A314" s="278" t="n"/>
      <c r="B314" s="279" t="n"/>
      <c r="C314" s="281" t="n"/>
      <c r="D314" s="281" t="n"/>
      <c r="E314" s="281" t="n"/>
      <c r="F314" s="281" t="n"/>
      <c r="G314" s="281" t="n"/>
      <c r="H314" s="218" t="n"/>
    </row>
    <row r="315">
      <c r="A315" s="278" t="n"/>
      <c r="B315" s="279" t="n"/>
      <c r="C315" s="281" t="n"/>
      <c r="D315" s="281" t="n"/>
      <c r="E315" s="281" t="n"/>
      <c r="F315" s="281" t="n"/>
      <c r="G315" s="281" t="n"/>
      <c r="H315" s="218" t="n"/>
    </row>
    <row r="316">
      <c r="A316" s="278" t="n"/>
      <c r="B316" s="279" t="n"/>
      <c r="C316" s="281" t="n"/>
      <c r="D316" s="281" t="n"/>
      <c r="E316" s="281" t="n"/>
      <c r="F316" s="281" t="n"/>
      <c r="G316" s="281" t="n"/>
      <c r="H316" s="218" t="n"/>
    </row>
    <row r="317">
      <c r="A317" s="278" t="n"/>
      <c r="B317" s="279" t="n"/>
      <c r="C317" s="281" t="n"/>
      <c r="D317" s="281" t="n"/>
      <c r="E317" s="281" t="n"/>
      <c r="F317" s="281" t="n"/>
      <c r="G317" s="281" t="n"/>
      <c r="H317" s="218" t="n"/>
    </row>
    <row r="318">
      <c r="A318" s="278" t="n"/>
      <c r="B318" s="279" t="n"/>
      <c r="C318" s="281" t="n"/>
      <c r="D318" s="281" t="n"/>
      <c r="E318" s="281" t="n"/>
      <c r="F318" s="281" t="n"/>
      <c r="G318" s="281" t="n"/>
      <c r="H318" s="218" t="n"/>
    </row>
    <row r="319">
      <c r="A319" s="278" t="n"/>
      <c r="B319" s="279" t="n"/>
      <c r="C319" s="281" t="n"/>
      <c r="D319" s="281" t="n"/>
      <c r="E319" s="281" t="n"/>
      <c r="F319" s="281" t="n"/>
      <c r="G319" s="281" t="n"/>
      <c r="H319" s="218" t="n"/>
    </row>
    <row r="320">
      <c r="A320" s="278" t="n"/>
      <c r="B320" s="279" t="n"/>
      <c r="C320" s="281" t="n"/>
      <c r="D320" s="281" t="n"/>
      <c r="E320" s="281" t="n"/>
      <c r="F320" s="281" t="n"/>
      <c r="G320" s="281" t="n"/>
      <c r="H320" s="218" t="n"/>
    </row>
    <row r="321">
      <c r="A321" s="278" t="n"/>
      <c r="B321" s="279" t="n"/>
      <c r="C321" s="281" t="n"/>
      <c r="D321" s="281" t="n"/>
      <c r="E321" s="281" t="n"/>
      <c r="F321" s="281" t="n"/>
      <c r="G321" s="281" t="n"/>
      <c r="H321" s="218" t="n"/>
    </row>
    <row r="322">
      <c r="A322" s="278" t="n"/>
      <c r="B322" s="279" t="n"/>
      <c r="C322" s="281" t="n"/>
      <c r="D322" s="281" t="n"/>
      <c r="E322" s="281" t="n"/>
      <c r="F322" s="281" t="n"/>
      <c r="G322" s="281" t="n"/>
      <c r="H322" s="218" t="n"/>
    </row>
    <row r="323">
      <c r="A323" s="278" t="n"/>
      <c r="B323" s="279" t="n"/>
      <c r="C323" s="281" t="n"/>
      <c r="D323" s="281" t="n"/>
      <c r="E323" s="281" t="n"/>
      <c r="F323" s="281" t="n"/>
      <c r="G323" s="281" t="n"/>
      <c r="H323" s="218" t="n"/>
    </row>
    <row r="324">
      <c r="A324" s="278" t="n"/>
      <c r="B324" s="279" t="n"/>
      <c r="C324" s="281" t="n"/>
      <c r="D324" s="281" t="n"/>
      <c r="E324" s="281" t="n"/>
      <c r="F324" s="281" t="n"/>
      <c r="G324" s="281" t="n"/>
      <c r="H324" s="218" t="n"/>
    </row>
    <row r="325">
      <c r="A325" s="278" t="n"/>
      <c r="B325" s="279" t="n"/>
      <c r="C325" s="281" t="n"/>
      <c r="D325" s="281" t="n"/>
      <c r="E325" s="281" t="n"/>
      <c r="F325" s="281" t="n"/>
      <c r="G325" s="281" t="n"/>
      <c r="H325" s="218" t="n"/>
    </row>
    <row r="326">
      <c r="A326" s="278" t="n"/>
      <c r="B326" s="279" t="n"/>
      <c r="C326" s="281" t="n"/>
      <c r="D326" s="281" t="n"/>
      <c r="E326" s="281" t="n"/>
      <c r="F326" s="281" t="n"/>
      <c r="G326" s="281" t="n"/>
      <c r="H326" s="218" t="n"/>
    </row>
    <row r="327">
      <c r="A327" s="278" t="n"/>
      <c r="B327" s="279" t="n"/>
      <c r="C327" s="281" t="n"/>
      <c r="D327" s="281" t="n"/>
      <c r="E327" s="281" t="n"/>
      <c r="F327" s="281" t="n"/>
      <c r="G327" s="281" t="n"/>
      <c r="H327" s="218" t="n"/>
    </row>
    <row r="328">
      <c r="A328" s="278" t="n"/>
      <c r="B328" s="279" t="n"/>
      <c r="C328" s="281" t="n"/>
      <c r="D328" s="281" t="n"/>
      <c r="E328" s="281" t="n"/>
      <c r="F328" s="281" t="n"/>
      <c r="G328" s="281" t="n"/>
      <c r="H328" s="218" t="n"/>
    </row>
    <row r="329">
      <c r="A329" s="278" t="n"/>
      <c r="B329" s="279" t="n"/>
      <c r="C329" s="281" t="n"/>
      <c r="D329" s="281" t="n"/>
      <c r="E329" s="281" t="n"/>
      <c r="F329" s="281" t="n"/>
      <c r="G329" s="281" t="n"/>
      <c r="H329" s="218" t="n"/>
    </row>
    <row r="330">
      <c r="A330" s="278" t="n"/>
      <c r="B330" s="279" t="n"/>
      <c r="C330" s="281" t="n"/>
      <c r="D330" s="281" t="n"/>
      <c r="E330" s="281" t="n"/>
      <c r="F330" s="281" t="n"/>
      <c r="G330" s="281" t="n"/>
      <c r="H330" s="218" t="n"/>
    </row>
    <row r="331">
      <c r="A331" s="278" t="n"/>
      <c r="B331" s="279" t="n"/>
      <c r="C331" s="281" t="n"/>
      <c r="D331" s="281" t="n"/>
      <c r="E331" s="281" t="n"/>
      <c r="F331" s="281" t="n"/>
      <c r="G331" s="281" t="n"/>
      <c r="H331" s="218" t="n"/>
    </row>
    <row r="332">
      <c r="A332" s="278" t="n"/>
      <c r="B332" s="279" t="n"/>
      <c r="C332" s="281" t="n"/>
      <c r="D332" s="281" t="n"/>
      <c r="E332" s="281" t="n"/>
      <c r="F332" s="281" t="n"/>
      <c r="G332" s="281" t="n"/>
      <c r="H332" s="218" t="n"/>
    </row>
    <row r="333">
      <c r="A333" s="278" t="n"/>
      <c r="B333" s="279" t="n"/>
      <c r="C333" s="281" t="n"/>
      <c r="D333" s="281" t="n"/>
      <c r="E333" s="281" t="n"/>
      <c r="F333" s="281" t="n"/>
      <c r="G333" s="281" t="n"/>
      <c r="H333" s="218" t="n"/>
    </row>
    <row r="334">
      <c r="A334" s="278" t="n"/>
      <c r="B334" s="279" t="n"/>
      <c r="C334" s="281" t="n"/>
      <c r="D334" s="281" t="n"/>
      <c r="E334" s="281" t="n"/>
      <c r="F334" s="281" t="n"/>
      <c r="G334" s="281" t="n"/>
      <c r="H334" s="218" t="n"/>
    </row>
    <row r="335">
      <c r="A335" s="278" t="n"/>
      <c r="B335" s="279" t="n"/>
      <c r="C335" s="281" t="n"/>
      <c r="D335" s="281" t="n"/>
      <c r="E335" s="281" t="n"/>
      <c r="F335" s="281" t="n"/>
      <c r="G335" s="281" t="n"/>
      <c r="H335" s="218" t="n"/>
    </row>
    <row r="336">
      <c r="A336" s="278" t="n"/>
      <c r="B336" s="279" t="n"/>
      <c r="C336" s="281" t="n"/>
      <c r="D336" s="281" t="n"/>
      <c r="E336" s="281" t="n"/>
      <c r="F336" s="281" t="n"/>
      <c r="G336" s="281" t="n"/>
      <c r="H336" s="218" t="n"/>
    </row>
    <row r="337">
      <c r="A337" s="278" t="n"/>
      <c r="B337" s="279" t="n"/>
      <c r="C337" s="281" t="n"/>
      <c r="D337" s="281" t="n"/>
      <c r="E337" s="281" t="n"/>
      <c r="F337" s="281" t="n"/>
      <c r="G337" s="281" t="n"/>
      <c r="H337" s="218" t="n"/>
    </row>
    <row r="338">
      <c r="A338" s="278" t="n"/>
      <c r="B338" s="279" t="n"/>
      <c r="C338" s="281" t="n"/>
      <c r="D338" s="281" t="n"/>
      <c r="E338" s="281" t="n"/>
      <c r="F338" s="281" t="n"/>
      <c r="G338" s="281" t="n"/>
      <c r="H338" s="218" t="n"/>
    </row>
    <row r="339">
      <c r="A339" s="278" t="n"/>
      <c r="B339" s="279" t="n"/>
      <c r="C339" s="281" t="n"/>
      <c r="D339" s="281" t="n"/>
      <c r="E339" s="281" t="n"/>
      <c r="F339" s="281" t="n"/>
      <c r="G339" s="281" t="n"/>
      <c r="H339" s="218" t="n"/>
    </row>
    <row r="340">
      <c r="A340" s="278" t="n"/>
      <c r="B340" s="279" t="n"/>
      <c r="C340" s="281" t="n"/>
      <c r="D340" s="281" t="n"/>
      <c r="E340" s="281" t="n"/>
      <c r="F340" s="281" t="n"/>
      <c r="G340" s="281" t="n"/>
      <c r="H340" s="218" t="n"/>
    </row>
    <row r="341">
      <c r="A341" s="278" t="n"/>
      <c r="B341" s="279" t="n"/>
      <c r="C341" s="281" t="n"/>
      <c r="D341" s="281" t="n"/>
      <c r="E341" s="281" t="n"/>
      <c r="F341" s="281" t="n"/>
      <c r="G341" s="281" t="n"/>
      <c r="H341" s="218" t="n"/>
    </row>
    <row r="342">
      <c r="A342" s="278" t="n"/>
      <c r="B342" s="279" t="n"/>
      <c r="C342" s="281" t="n"/>
      <c r="D342" s="281" t="n"/>
      <c r="E342" s="281" t="n"/>
      <c r="F342" s="281" t="n"/>
      <c r="G342" s="281" t="n"/>
      <c r="H342" s="218" t="n"/>
    </row>
    <row r="343">
      <c r="A343" s="278" t="n"/>
      <c r="B343" s="279" t="n"/>
      <c r="C343" s="281" t="n"/>
      <c r="D343" s="281" t="n"/>
      <c r="E343" s="281" t="n"/>
      <c r="F343" s="281" t="n"/>
      <c r="G343" s="281" t="n"/>
      <c r="H343" s="218" t="n"/>
    </row>
    <row r="344">
      <c r="A344" s="278" t="n"/>
      <c r="B344" s="279" t="n"/>
      <c r="C344" s="281" t="n"/>
      <c r="D344" s="281" t="n"/>
      <c r="E344" s="281" t="n"/>
      <c r="F344" s="281" t="n"/>
      <c r="G344" s="281" t="n"/>
      <c r="H344" s="218" t="n"/>
    </row>
    <row r="345">
      <c r="A345" s="278" t="n"/>
      <c r="B345" s="279" t="n"/>
      <c r="C345" s="281" t="n"/>
      <c r="D345" s="281" t="n"/>
      <c r="E345" s="281" t="n"/>
      <c r="F345" s="281" t="n"/>
      <c r="G345" s="281" t="n"/>
      <c r="H345" s="218" t="n"/>
    </row>
    <row r="346">
      <c r="A346" s="278" t="n"/>
      <c r="B346" s="279" t="n"/>
      <c r="C346" s="281" t="n"/>
      <c r="D346" s="281" t="n"/>
      <c r="E346" s="281" t="n"/>
      <c r="F346" s="281" t="n"/>
      <c r="G346" s="281" t="n"/>
      <c r="H346" s="218" t="n"/>
    </row>
    <row r="347">
      <c r="A347" s="278" t="n"/>
      <c r="B347" s="279" t="n"/>
      <c r="C347" s="281" t="n"/>
      <c r="D347" s="281" t="n"/>
      <c r="E347" s="281" t="n"/>
      <c r="F347" s="281" t="n"/>
      <c r="G347" s="281" t="n"/>
      <c r="H347" s="218" t="n"/>
    </row>
    <row r="348">
      <c r="A348" s="278" t="n"/>
      <c r="B348" s="279" t="n"/>
      <c r="C348" s="281" t="n"/>
      <c r="D348" s="281" t="n"/>
      <c r="E348" s="281" t="n"/>
      <c r="F348" s="281" t="n"/>
      <c r="G348" s="281" t="n"/>
      <c r="H348" s="218" t="n"/>
    </row>
    <row r="349">
      <c r="A349" s="278" t="n"/>
      <c r="B349" s="279" t="n"/>
      <c r="C349" s="281" t="n"/>
      <c r="D349" s="281" t="n"/>
      <c r="E349" s="281" t="n"/>
      <c r="F349" s="281" t="n"/>
      <c r="G349" s="281" t="n"/>
      <c r="H349" s="218" t="n"/>
    </row>
    <row r="350">
      <c r="A350" s="278" t="n"/>
      <c r="B350" s="279" t="n"/>
      <c r="C350" s="281" t="n"/>
      <c r="D350" s="281" t="n"/>
      <c r="E350" s="281" t="n"/>
      <c r="F350" s="281" t="n"/>
      <c r="G350" s="281" t="n"/>
      <c r="H350" s="218" t="n"/>
    </row>
    <row r="351">
      <c r="A351" s="278" t="n"/>
      <c r="B351" s="279" t="n"/>
      <c r="C351" s="281" t="n"/>
      <c r="D351" s="281" t="n"/>
      <c r="E351" s="281" t="n"/>
      <c r="F351" s="281" t="n"/>
      <c r="G351" s="281" t="n"/>
      <c r="H351" s="218" t="n"/>
    </row>
    <row r="352">
      <c r="A352" s="278" t="n"/>
      <c r="B352" s="279" t="n"/>
      <c r="C352" s="281" t="n"/>
      <c r="D352" s="281" t="n"/>
      <c r="E352" s="281" t="n"/>
      <c r="F352" s="281" t="n"/>
      <c r="G352" s="281" t="n"/>
      <c r="H352" s="218" t="n"/>
    </row>
    <row r="353">
      <c r="A353" s="278" t="n"/>
      <c r="B353" s="279" t="n"/>
      <c r="C353" s="281" t="n"/>
      <c r="D353" s="281" t="n"/>
      <c r="E353" s="281" t="n"/>
      <c r="F353" s="281" t="n"/>
      <c r="G353" s="281" t="n"/>
      <c r="H353" s="218" t="n"/>
    </row>
    <row r="354">
      <c r="A354" s="278" t="n"/>
      <c r="B354" s="279" t="n"/>
      <c r="C354" s="281" t="n"/>
      <c r="D354" s="281" t="n"/>
      <c r="E354" s="281" t="n"/>
      <c r="F354" s="281" t="n"/>
      <c r="G354" s="281" t="n"/>
      <c r="H354" s="218" t="n"/>
    </row>
    <row r="355">
      <c r="A355" s="278" t="n"/>
      <c r="B355" s="279" t="n"/>
      <c r="C355" s="281" t="n"/>
      <c r="D355" s="281" t="n"/>
      <c r="E355" s="281" t="n"/>
      <c r="F355" s="281" t="n"/>
      <c r="G355" s="281" t="n"/>
      <c r="H355" s="218" t="n"/>
    </row>
    <row r="356">
      <c r="A356" s="278" t="n"/>
      <c r="B356" s="279" t="n"/>
      <c r="C356" s="281" t="n"/>
      <c r="D356" s="281" t="n"/>
      <c r="E356" s="281" t="n"/>
      <c r="F356" s="281" t="n"/>
      <c r="G356" s="281" t="n"/>
      <c r="H356" s="218" t="n"/>
    </row>
    <row r="357">
      <c r="A357" s="278" t="n"/>
      <c r="B357" s="279" t="n"/>
      <c r="C357" s="281" t="n"/>
      <c r="D357" s="281" t="n"/>
      <c r="E357" s="281" t="n"/>
      <c r="F357" s="281" t="n"/>
      <c r="G357" s="281" t="n"/>
      <c r="H357" s="218" t="n"/>
    </row>
    <row r="358">
      <c r="A358" s="278" t="n"/>
      <c r="B358" s="279" t="n"/>
      <c r="C358" s="281" t="n"/>
      <c r="D358" s="281" t="n"/>
      <c r="E358" s="281" t="n"/>
      <c r="F358" s="281" t="n"/>
      <c r="G358" s="281" t="n"/>
      <c r="H358" s="218" t="n"/>
    </row>
    <row r="359">
      <c r="A359" s="278" t="n"/>
      <c r="B359" s="279" t="n"/>
      <c r="C359" s="281" t="n"/>
      <c r="D359" s="281" t="n"/>
      <c r="E359" s="281" t="n"/>
      <c r="F359" s="281" t="n"/>
      <c r="G359" s="281" t="n"/>
      <c r="H359" s="218" t="n"/>
    </row>
    <row r="360">
      <c r="A360" s="278" t="n"/>
      <c r="B360" s="279" t="n"/>
      <c r="C360" s="281" t="n"/>
      <c r="D360" s="281" t="n"/>
      <c r="E360" s="281" t="n"/>
      <c r="F360" s="281" t="n"/>
      <c r="G360" s="281" t="n"/>
      <c r="H360" s="218" t="n"/>
    </row>
    <row r="361">
      <c r="A361" s="278" t="n"/>
      <c r="B361" s="279" t="n"/>
      <c r="C361" s="281" t="n"/>
      <c r="D361" s="281" t="n"/>
      <c r="E361" s="281" t="n"/>
      <c r="F361" s="281" t="n"/>
      <c r="G361" s="281" t="n"/>
      <c r="H361" s="218" t="n"/>
    </row>
    <row r="362">
      <c r="A362" s="278" t="n"/>
      <c r="B362" s="279" t="n"/>
      <c r="C362" s="281" t="n"/>
      <c r="D362" s="281" t="n"/>
      <c r="E362" s="281" t="n"/>
      <c r="F362" s="281" t="n"/>
      <c r="G362" s="281" t="n"/>
      <c r="H362" s="218" t="n"/>
    </row>
    <row r="363">
      <c r="A363" s="278" t="n"/>
      <c r="B363" s="279" t="n"/>
      <c r="C363" s="281" t="n"/>
      <c r="D363" s="281" t="n"/>
      <c r="E363" s="281" t="n"/>
      <c r="F363" s="281" t="n"/>
      <c r="G363" s="281" t="n"/>
      <c r="H363" s="218" t="n"/>
    </row>
    <row r="364">
      <c r="A364" s="278" t="n"/>
      <c r="B364" s="279" t="n"/>
      <c r="C364" s="281" t="n"/>
      <c r="D364" s="281" t="n"/>
      <c r="E364" s="281" t="n"/>
      <c r="F364" s="281" t="n"/>
      <c r="G364" s="281" t="n"/>
      <c r="H364" s="218" t="n"/>
    </row>
    <row r="365">
      <c r="A365" s="278" t="n"/>
      <c r="B365" s="279" t="n"/>
      <c r="C365" s="281" t="n"/>
      <c r="D365" s="281" t="n"/>
      <c r="E365" s="281" t="n"/>
      <c r="F365" s="281" t="n"/>
      <c r="G365" s="281" t="n"/>
      <c r="H365" s="218" t="n"/>
    </row>
    <row r="366">
      <c r="A366" s="278" t="n"/>
      <c r="B366" s="279" t="n"/>
      <c r="C366" s="281" t="n"/>
      <c r="D366" s="281" t="n"/>
      <c r="E366" s="281" t="n"/>
      <c r="F366" s="281" t="n"/>
      <c r="G366" s="281" t="n"/>
      <c r="H366" s="218" t="n"/>
    </row>
    <row r="367">
      <c r="A367" s="278" t="n"/>
      <c r="B367" s="279" t="n"/>
      <c r="C367" s="281" t="n"/>
      <c r="D367" s="281" t="n"/>
      <c r="E367" s="281" t="n"/>
      <c r="F367" s="281" t="n"/>
      <c r="G367" s="281" t="n"/>
      <c r="H367" s="218" t="n"/>
    </row>
    <row r="368">
      <c r="A368" s="278" t="n"/>
      <c r="B368" s="279" t="n"/>
      <c r="C368" s="281" t="n"/>
      <c r="D368" s="281" t="n"/>
      <c r="E368" s="281" t="n"/>
      <c r="F368" s="281" t="n"/>
      <c r="G368" s="281" t="n"/>
      <c r="H368" s="218" t="n"/>
    </row>
    <row r="369">
      <c r="A369" s="278" t="n"/>
      <c r="B369" s="279" t="n"/>
      <c r="C369" s="281" t="n"/>
      <c r="D369" s="281" t="n"/>
      <c r="E369" s="281" t="n"/>
      <c r="F369" s="281" t="n"/>
      <c r="G369" s="281" t="n"/>
      <c r="H369" s="218" t="n"/>
    </row>
    <row r="370">
      <c r="A370" s="278" t="n"/>
      <c r="B370" s="279" t="n"/>
      <c r="C370" s="281" t="n"/>
      <c r="D370" s="281" t="n"/>
      <c r="E370" s="281" t="n"/>
      <c r="F370" s="281" t="n"/>
      <c r="G370" s="281" t="n"/>
      <c r="H370" s="218" t="n"/>
    </row>
    <row r="371">
      <c r="A371" s="278" t="n"/>
      <c r="B371" s="279" t="n"/>
      <c r="C371" s="281" t="n"/>
      <c r="D371" s="281" t="n"/>
      <c r="E371" s="281" t="n"/>
      <c r="F371" s="281" t="n"/>
      <c r="G371" s="281" t="n"/>
      <c r="H371" s="218" t="n"/>
    </row>
    <row r="372">
      <c r="A372" s="278" t="n"/>
      <c r="B372" s="279" t="n"/>
      <c r="C372" s="281" t="n"/>
      <c r="D372" s="281" t="n"/>
      <c r="E372" s="281" t="n"/>
      <c r="F372" s="281" t="n"/>
      <c r="G372" s="281" t="n"/>
      <c r="H372" s="218" t="n"/>
    </row>
    <row r="373">
      <c r="A373" s="278" t="n"/>
      <c r="B373" s="279" t="n"/>
      <c r="C373" s="281" t="n"/>
      <c r="D373" s="281" t="n"/>
      <c r="E373" s="281" t="n"/>
      <c r="F373" s="281" t="n"/>
      <c r="G373" s="281" t="n"/>
      <c r="H373" s="218" t="n"/>
    </row>
    <row r="374">
      <c r="A374" s="278" t="n"/>
      <c r="B374" s="279" t="n"/>
      <c r="C374" s="281" t="n"/>
      <c r="D374" s="281" t="n"/>
      <c r="E374" s="281" t="n"/>
      <c r="F374" s="281" t="n"/>
      <c r="G374" s="281" t="n"/>
      <c r="H374" s="218" t="n"/>
    </row>
    <row r="375">
      <c r="A375" s="278" t="n"/>
      <c r="B375" s="279" t="n"/>
      <c r="C375" s="281" t="n"/>
      <c r="D375" s="281" t="n"/>
      <c r="E375" s="281" t="n"/>
      <c r="F375" s="281" t="n"/>
      <c r="G375" s="281" t="n"/>
      <c r="H375" s="218" t="n"/>
    </row>
    <row r="376">
      <c r="A376" s="278" t="n"/>
      <c r="B376" s="279" t="n"/>
      <c r="C376" s="281" t="n"/>
      <c r="D376" s="281" t="n"/>
      <c r="E376" s="281" t="n"/>
      <c r="F376" s="281" t="n"/>
      <c r="G376" s="281" t="n"/>
      <c r="H376" s="218" t="n"/>
    </row>
    <row r="377">
      <c r="A377" s="278" t="n"/>
      <c r="B377" s="279" t="n"/>
      <c r="C377" s="281" t="n"/>
      <c r="D377" s="281" t="n"/>
      <c r="E377" s="281" t="n"/>
      <c r="F377" s="281" t="n"/>
      <c r="G377" s="281" t="n"/>
      <c r="H377" s="218" t="n"/>
    </row>
    <row r="378">
      <c r="A378" s="278" t="n"/>
      <c r="B378" s="279" t="n"/>
      <c r="C378" s="281" t="n"/>
      <c r="D378" s="281" t="n"/>
      <c r="E378" s="281" t="n"/>
      <c r="F378" s="281" t="n"/>
      <c r="G378" s="281" t="n"/>
      <c r="H378" s="218" t="n"/>
    </row>
    <row r="379">
      <c r="A379" s="278" t="n"/>
      <c r="B379" s="279" t="n"/>
      <c r="C379" s="281" t="n"/>
      <c r="D379" s="281" t="n"/>
      <c r="E379" s="281" t="n"/>
      <c r="F379" s="281" t="n"/>
      <c r="G379" s="281" t="n"/>
      <c r="H379" s="218" t="n"/>
    </row>
    <row r="380">
      <c r="A380" s="278" t="n"/>
      <c r="B380" s="279" t="n"/>
      <c r="C380" s="281" t="n"/>
      <c r="D380" s="281" t="n"/>
      <c r="E380" s="281" t="n"/>
      <c r="F380" s="281" t="n"/>
      <c r="G380" s="281" t="n"/>
      <c r="H380" s="218" t="n"/>
    </row>
    <row r="381">
      <c r="A381" s="278" t="n"/>
      <c r="B381" s="279" t="n"/>
      <c r="C381" s="281" t="n"/>
      <c r="D381" s="281" t="n"/>
      <c r="E381" s="281" t="n"/>
      <c r="F381" s="281" t="n"/>
      <c r="G381" s="281" t="n"/>
      <c r="H381" s="218" t="n"/>
    </row>
    <row r="382">
      <c r="A382" s="278" t="n"/>
      <c r="B382" s="279" t="n"/>
      <c r="C382" s="281" t="n"/>
      <c r="D382" s="281" t="n"/>
      <c r="E382" s="281" t="n"/>
      <c r="F382" s="281" t="n"/>
      <c r="G382" s="281" t="n"/>
      <c r="H382" s="218" t="n"/>
    </row>
    <row r="383">
      <c r="A383" s="278" t="n"/>
      <c r="B383" s="279" t="n"/>
      <c r="C383" s="281" t="n"/>
      <c r="D383" s="281" t="n"/>
      <c r="E383" s="281" t="n"/>
      <c r="F383" s="281" t="n"/>
      <c r="G383" s="281" t="n"/>
      <c r="H383" s="218" t="n"/>
    </row>
    <row r="384">
      <c r="A384" s="278" t="n"/>
      <c r="B384" s="279" t="n"/>
      <c r="C384" s="281" t="n"/>
      <c r="D384" s="281" t="n"/>
      <c r="E384" s="281" t="n"/>
      <c r="F384" s="281" t="n"/>
      <c r="G384" s="281" t="n"/>
      <c r="H384" s="218" t="n"/>
    </row>
    <row r="385">
      <c r="A385" s="278" t="n"/>
      <c r="B385" s="279" t="n"/>
      <c r="C385" s="281" t="n"/>
      <c r="D385" s="281" t="n"/>
      <c r="E385" s="281" t="n"/>
      <c r="F385" s="281" t="n"/>
      <c r="G385" s="281" t="n"/>
      <c r="H385" s="218" t="n"/>
    </row>
    <row r="386">
      <c r="A386" s="278" t="n"/>
      <c r="B386" s="279" t="n"/>
      <c r="C386" s="281" t="n"/>
      <c r="D386" s="281" t="n"/>
      <c r="E386" s="281" t="n"/>
      <c r="F386" s="281" t="n"/>
      <c r="G386" s="281" t="n"/>
      <c r="H386" s="218" t="n"/>
    </row>
    <row r="387">
      <c r="A387" s="278" t="n"/>
      <c r="B387" s="279" t="n"/>
      <c r="C387" s="281" t="n"/>
      <c r="D387" s="281" t="n"/>
      <c r="E387" s="281" t="n"/>
      <c r="F387" s="281" t="n"/>
      <c r="G387" s="281" t="n"/>
      <c r="H387" s="218" t="n"/>
    </row>
    <row r="388">
      <c r="A388" s="278" t="n"/>
      <c r="B388" s="279" t="n"/>
      <c r="C388" s="281" t="n"/>
      <c r="D388" s="281" t="n"/>
      <c r="E388" s="281" t="n"/>
      <c r="F388" s="281" t="n"/>
      <c r="G388" s="281" t="n"/>
      <c r="H388" s="218" t="n"/>
    </row>
    <row r="389">
      <c r="A389" s="278" t="n"/>
      <c r="B389" s="279" t="n"/>
      <c r="C389" s="281" t="n"/>
      <c r="D389" s="281" t="n"/>
      <c r="E389" s="281" t="n"/>
      <c r="F389" s="281" t="n"/>
      <c r="G389" s="281" t="n"/>
      <c r="H389" s="218" t="n"/>
    </row>
    <row r="390">
      <c r="A390" s="278" t="n"/>
      <c r="B390" s="279" t="n"/>
      <c r="C390" s="281" t="n"/>
      <c r="D390" s="281" t="n"/>
      <c r="E390" s="281" t="n"/>
      <c r="F390" s="281" t="n"/>
      <c r="G390" s="281" t="n"/>
      <c r="H390" s="218" t="n"/>
    </row>
    <row r="391">
      <c r="A391" s="278" t="n"/>
      <c r="B391" s="279" t="n"/>
      <c r="C391" s="281" t="n"/>
      <c r="D391" s="281" t="n"/>
      <c r="E391" s="281" t="n"/>
      <c r="F391" s="281" t="n"/>
      <c r="G391" s="281" t="n"/>
      <c r="H391" s="218" t="n"/>
    </row>
    <row r="392">
      <c r="A392" s="278" t="n"/>
      <c r="B392" s="279" t="n"/>
      <c r="C392" s="281" t="n"/>
      <c r="D392" s="281" t="n"/>
      <c r="E392" s="281" t="n"/>
      <c r="F392" s="281" t="n"/>
      <c r="G392" s="281" t="n"/>
      <c r="H392" s="218" t="n"/>
    </row>
    <row r="393">
      <c r="A393" s="278" t="n"/>
      <c r="B393" s="279" t="n"/>
      <c r="C393" s="281" t="n"/>
      <c r="D393" s="281" t="n"/>
      <c r="E393" s="281" t="n"/>
      <c r="F393" s="281" t="n"/>
      <c r="G393" s="281" t="n"/>
      <c r="H393" s="218" t="n"/>
    </row>
    <row r="394">
      <c r="A394" s="278" t="n"/>
      <c r="B394" s="279" t="n"/>
      <c r="C394" s="281" t="n"/>
      <c r="D394" s="281" t="n"/>
      <c r="E394" s="281" t="n"/>
      <c r="F394" s="281" t="n"/>
      <c r="G394" s="281" t="n"/>
      <c r="H394" s="218" t="n"/>
    </row>
    <row r="395">
      <c r="A395" s="278" t="n"/>
      <c r="B395" s="279" t="n"/>
      <c r="C395" s="281" t="n"/>
      <c r="D395" s="281" t="n"/>
      <c r="E395" s="281" t="n"/>
      <c r="F395" s="281" t="n"/>
      <c r="G395" s="281" t="n"/>
      <c r="H395" s="218" t="n"/>
    </row>
    <row r="396">
      <c r="A396" s="278" t="n"/>
      <c r="B396" s="279" t="n"/>
      <c r="C396" s="281" t="n"/>
      <c r="D396" s="281" t="n"/>
      <c r="E396" s="281" t="n"/>
      <c r="F396" s="281" t="n"/>
      <c r="G396" s="281" t="n"/>
      <c r="H396" s="218" t="n"/>
    </row>
    <row r="397">
      <c r="A397" s="278" t="n"/>
      <c r="B397" s="279" t="n"/>
      <c r="C397" s="281" t="n"/>
      <c r="D397" s="281" t="n"/>
      <c r="E397" s="281" t="n"/>
      <c r="F397" s="281" t="n"/>
      <c r="G397" s="281" t="n"/>
      <c r="H397" s="218" t="n"/>
    </row>
    <row r="398">
      <c r="A398" s="278" t="n"/>
      <c r="B398" s="279" t="n"/>
      <c r="C398" s="281" t="n"/>
      <c r="D398" s="281" t="n"/>
      <c r="E398" s="281" t="n"/>
      <c r="F398" s="281" t="n"/>
      <c r="G398" s="281" t="n"/>
      <c r="H398" s="218" t="n"/>
    </row>
    <row r="399">
      <c r="A399" s="278" t="n"/>
      <c r="B399" s="279" t="n"/>
      <c r="C399" s="281" t="n"/>
      <c r="D399" s="281" t="n"/>
      <c r="E399" s="281" t="n"/>
      <c r="F399" s="281" t="n"/>
      <c r="G399" s="281" t="n"/>
      <c r="H399" s="218" t="n"/>
    </row>
    <row r="400">
      <c r="A400" s="278" t="n"/>
      <c r="B400" s="279" t="n"/>
      <c r="C400" s="281" t="n"/>
      <c r="D400" s="281" t="n"/>
      <c r="E400" s="281" t="n"/>
      <c r="F400" s="281" t="n"/>
      <c r="G400" s="281" t="n"/>
      <c r="H400" s="218" t="n"/>
    </row>
    <row r="401">
      <c r="A401" s="278" t="n"/>
      <c r="B401" s="279" t="n"/>
      <c r="C401" s="281" t="n"/>
      <c r="D401" s="281" t="n"/>
      <c r="E401" s="281" t="n"/>
      <c r="F401" s="281" t="n"/>
      <c r="G401" s="281" t="n"/>
      <c r="H401" s="218" t="n"/>
    </row>
    <row r="402">
      <c r="A402" s="278" t="n"/>
      <c r="B402" s="279" t="n"/>
      <c r="C402" s="281" t="n"/>
      <c r="D402" s="281" t="n"/>
      <c r="E402" s="281" t="n"/>
      <c r="F402" s="281" t="n"/>
      <c r="G402" s="281" t="n"/>
      <c r="H402" s="218" t="n"/>
    </row>
    <row r="403">
      <c r="A403" s="278" t="n"/>
      <c r="B403" s="279" t="n"/>
      <c r="C403" s="281" t="n"/>
      <c r="D403" s="281" t="n"/>
      <c r="E403" s="281" t="n"/>
      <c r="F403" s="281" t="n"/>
      <c r="G403" s="281" t="n"/>
      <c r="H403" s="218" t="n"/>
    </row>
    <row r="404">
      <c r="A404" s="278" t="n"/>
      <c r="B404" s="279" t="n"/>
      <c r="C404" s="281" t="n"/>
      <c r="D404" s="281" t="n"/>
      <c r="E404" s="281" t="n"/>
      <c r="F404" s="281" t="n"/>
      <c r="G404" s="281" t="n"/>
      <c r="H404" s="218" t="n"/>
    </row>
    <row r="405">
      <c r="A405" s="278" t="n"/>
      <c r="B405" s="279" t="n"/>
      <c r="C405" s="281" t="n"/>
      <c r="D405" s="281" t="n"/>
      <c r="E405" s="281" t="n"/>
      <c r="F405" s="281" t="n"/>
      <c r="G405" s="281" t="n"/>
      <c r="H405" s="218" t="n"/>
    </row>
    <row r="406">
      <c r="A406" s="278" t="n"/>
      <c r="B406" s="279" t="n"/>
      <c r="C406" s="281" t="n"/>
      <c r="D406" s="281" t="n"/>
      <c r="E406" s="281" t="n"/>
      <c r="F406" s="281" t="n"/>
      <c r="G406" s="281" t="n"/>
      <c r="H406" s="218" t="n"/>
    </row>
    <row r="407">
      <c r="A407" s="278" t="n"/>
      <c r="B407" s="279" t="n"/>
      <c r="C407" s="281" t="n"/>
      <c r="D407" s="281" t="n"/>
      <c r="E407" s="281" t="n"/>
      <c r="F407" s="281" t="n"/>
      <c r="G407" s="281" t="n"/>
      <c r="H407" s="218" t="n"/>
    </row>
    <row r="408">
      <c r="A408" s="278" t="n"/>
      <c r="B408" s="279" t="n"/>
      <c r="C408" s="281" t="n"/>
      <c r="D408" s="281" t="n"/>
      <c r="E408" s="281" t="n"/>
      <c r="F408" s="281" t="n"/>
      <c r="G408" s="281" t="n"/>
      <c r="H408" s="218" t="n"/>
    </row>
    <row r="409">
      <c r="A409" s="278" t="n"/>
      <c r="B409" s="279" t="n"/>
      <c r="C409" s="281" t="n"/>
      <c r="D409" s="281" t="n"/>
      <c r="E409" s="281" t="n"/>
      <c r="F409" s="281" t="n"/>
      <c r="G409" s="281" t="n"/>
      <c r="H409" s="218" t="n"/>
    </row>
    <row r="410">
      <c r="A410" s="278" t="n"/>
      <c r="B410" s="279" t="n"/>
      <c r="C410" s="281" t="n"/>
      <c r="D410" s="281" t="n"/>
      <c r="E410" s="281" t="n"/>
      <c r="F410" s="281" t="n"/>
      <c r="G410" s="281" t="n"/>
      <c r="H410" s="218" t="n"/>
    </row>
    <row r="411">
      <c r="A411" s="278" t="n"/>
      <c r="B411" s="279" t="n"/>
      <c r="C411" s="281" t="n"/>
      <c r="D411" s="281" t="n"/>
      <c r="E411" s="281" t="n"/>
      <c r="F411" s="281" t="n"/>
      <c r="G411" s="281" t="n"/>
      <c r="H411" s="218" t="n"/>
    </row>
    <row r="412">
      <c r="A412" s="278" t="n"/>
      <c r="B412" s="279" t="n"/>
      <c r="C412" s="281" t="n"/>
      <c r="D412" s="281" t="n"/>
      <c r="E412" s="281" t="n"/>
      <c r="F412" s="281" t="n"/>
      <c r="G412" s="281" t="n"/>
      <c r="H412" s="218" t="n"/>
    </row>
    <row r="413">
      <c r="A413" s="278" t="n"/>
      <c r="B413" s="279" t="n"/>
      <c r="C413" s="281" t="n"/>
      <c r="D413" s="281" t="n"/>
      <c r="E413" s="281" t="n"/>
      <c r="F413" s="281" t="n"/>
      <c r="G413" s="281" t="n"/>
      <c r="H413" s="218" t="n"/>
    </row>
    <row r="414">
      <c r="A414" s="278" t="n"/>
      <c r="B414" s="279" t="n"/>
      <c r="C414" s="281" t="n"/>
      <c r="D414" s="281" t="n"/>
      <c r="E414" s="281" t="n"/>
      <c r="F414" s="281" t="n"/>
      <c r="G414" s="281" t="n"/>
      <c r="H414" s="218" t="n"/>
    </row>
    <row r="415">
      <c r="A415" s="278" t="n"/>
      <c r="B415" s="279" t="n"/>
      <c r="C415" s="281" t="n"/>
      <c r="D415" s="281" t="n"/>
      <c r="E415" s="281" t="n"/>
      <c r="F415" s="281" t="n"/>
      <c r="G415" s="281" t="n"/>
      <c r="H415" s="218" t="n"/>
    </row>
    <row r="416">
      <c r="A416" s="278" t="n"/>
      <c r="B416" s="279" t="n"/>
      <c r="C416" s="281" t="n"/>
      <c r="D416" s="281" t="n"/>
      <c r="E416" s="281" t="n"/>
      <c r="F416" s="281" t="n"/>
      <c r="G416" s="281" t="n"/>
      <c r="H416" s="218" t="n"/>
    </row>
    <row r="417">
      <c r="A417" s="278" t="n"/>
      <c r="B417" s="279" t="n"/>
      <c r="C417" s="281" t="n"/>
      <c r="D417" s="281" t="n"/>
      <c r="E417" s="281" t="n"/>
      <c r="F417" s="281" t="n"/>
      <c r="G417" s="281" t="n"/>
      <c r="H417" s="218" t="n"/>
    </row>
    <row r="418">
      <c r="A418" s="278" t="n"/>
      <c r="B418" s="279" t="n"/>
      <c r="C418" s="281" t="n"/>
      <c r="D418" s="281" t="n"/>
      <c r="E418" s="281" t="n"/>
      <c r="F418" s="281" t="n"/>
      <c r="G418" s="281" t="n"/>
      <c r="H418" s="218" t="n"/>
    </row>
    <row r="419">
      <c r="A419" s="278" t="n"/>
      <c r="B419" s="279" t="n"/>
      <c r="C419" s="281" t="n"/>
      <c r="D419" s="281" t="n"/>
      <c r="E419" s="281" t="n"/>
      <c r="F419" s="281" t="n"/>
      <c r="G419" s="281" t="n"/>
      <c r="H419" s="218" t="n"/>
    </row>
    <row r="420">
      <c r="A420" s="278" t="n"/>
      <c r="B420" s="279" t="n"/>
      <c r="C420" s="281" t="n"/>
      <c r="D420" s="281" t="n"/>
      <c r="E420" s="281" t="n"/>
      <c r="F420" s="281" t="n"/>
      <c r="G420" s="281" t="n"/>
      <c r="H420" s="218" t="n"/>
    </row>
    <row r="421">
      <c r="A421" s="278" t="n"/>
      <c r="B421" s="279" t="n"/>
      <c r="C421" s="281" t="n"/>
      <c r="D421" s="281" t="n"/>
      <c r="E421" s="281" t="n"/>
      <c r="F421" s="281" t="n"/>
      <c r="G421" s="281" t="n"/>
      <c r="H421" s="218" t="n"/>
    </row>
    <row r="422">
      <c r="A422" s="278" t="n"/>
      <c r="B422" s="279" t="n"/>
      <c r="C422" s="281" t="n"/>
      <c r="D422" s="281" t="n"/>
      <c r="E422" s="281" t="n"/>
      <c r="F422" s="281" t="n"/>
      <c r="G422" s="281" t="n"/>
      <c r="H422" s="218" t="n"/>
    </row>
    <row r="423">
      <c r="A423" s="278" t="n"/>
      <c r="B423" s="279" t="n"/>
      <c r="C423" s="281" t="n"/>
      <c r="D423" s="281" t="n"/>
      <c r="E423" s="281" t="n"/>
      <c r="F423" s="281" t="n"/>
      <c r="G423" s="281" t="n"/>
      <c r="H423" s="218" t="n"/>
    </row>
    <row r="424">
      <c r="A424" s="278" t="n"/>
      <c r="B424" s="279" t="n"/>
      <c r="C424" s="281" t="n"/>
      <c r="D424" s="281" t="n"/>
      <c r="E424" s="281" t="n"/>
      <c r="F424" s="281" t="n"/>
      <c r="G424" s="281" t="n"/>
      <c r="H424" s="218" t="n"/>
    </row>
    <row r="425">
      <c r="A425" s="278" t="n"/>
      <c r="B425" s="279" t="n"/>
      <c r="C425" s="281" t="n"/>
      <c r="D425" s="281" t="n"/>
      <c r="E425" s="281" t="n"/>
      <c r="F425" s="281" t="n"/>
      <c r="G425" s="281" t="n"/>
      <c r="H425" s="218" t="n"/>
    </row>
    <row r="426">
      <c r="A426" s="278" t="n"/>
      <c r="B426" s="279" t="n"/>
      <c r="C426" s="281" t="n"/>
      <c r="D426" s="281" t="n"/>
      <c r="E426" s="281" t="n"/>
      <c r="F426" s="281" t="n"/>
      <c r="G426" s="281" t="n"/>
      <c r="H426" s="218" t="n"/>
    </row>
    <row r="427">
      <c r="A427" s="278" t="n"/>
      <c r="B427" s="279" t="n"/>
      <c r="C427" s="281" t="n"/>
      <c r="D427" s="281" t="n"/>
      <c r="E427" s="281" t="n"/>
      <c r="F427" s="281" t="n"/>
      <c r="G427" s="281" t="n"/>
      <c r="H427" s="218" t="n"/>
    </row>
    <row r="428">
      <c r="A428" s="278" t="n"/>
      <c r="B428" s="279" t="n"/>
      <c r="C428" s="281" t="n"/>
      <c r="D428" s="281" t="n"/>
      <c r="E428" s="281" t="n"/>
      <c r="F428" s="281" t="n"/>
      <c r="G428" s="281" t="n"/>
      <c r="H428" s="218" t="n"/>
    </row>
    <row r="429">
      <c r="A429" s="278" t="n"/>
      <c r="B429" s="279" t="n"/>
      <c r="C429" s="281" t="n"/>
      <c r="D429" s="281" t="n"/>
      <c r="E429" s="281" t="n"/>
      <c r="F429" s="281" t="n"/>
      <c r="G429" s="281" t="n"/>
      <c r="H429" s="218" t="n"/>
    </row>
    <row r="430">
      <c r="A430" s="278" t="n"/>
      <c r="B430" s="279" t="n"/>
      <c r="C430" s="281" t="n"/>
      <c r="D430" s="281" t="n"/>
      <c r="E430" s="281" t="n"/>
      <c r="F430" s="281" t="n"/>
      <c r="G430" s="281" t="n"/>
      <c r="H430" s="218" t="n"/>
    </row>
    <row r="431">
      <c r="A431" s="278" t="n"/>
      <c r="B431" s="279" t="n"/>
      <c r="C431" s="281" t="n"/>
      <c r="D431" s="281" t="n"/>
      <c r="E431" s="281" t="n"/>
      <c r="F431" s="281" t="n"/>
      <c r="G431" s="281" t="n"/>
      <c r="H431" s="218" t="n"/>
    </row>
    <row r="432">
      <c r="A432" s="278" t="n"/>
      <c r="B432" s="279" t="n"/>
      <c r="C432" s="281" t="n"/>
      <c r="D432" s="281" t="n"/>
      <c r="E432" s="281" t="n"/>
      <c r="F432" s="281" t="n"/>
      <c r="G432" s="281" t="n"/>
      <c r="H432" s="218" t="n"/>
    </row>
    <row r="433">
      <c r="A433" s="278" t="n"/>
      <c r="B433" s="279" t="n"/>
      <c r="C433" s="281" t="n"/>
      <c r="D433" s="281" t="n"/>
      <c r="E433" s="281" t="n"/>
      <c r="F433" s="281" t="n"/>
      <c r="G433" s="281" t="n"/>
      <c r="H433" s="218" t="n"/>
    </row>
    <row r="434">
      <c r="A434" s="278" t="n"/>
      <c r="B434" s="279" t="n"/>
      <c r="C434" s="281" t="n"/>
      <c r="D434" s="281" t="n"/>
      <c r="E434" s="281" t="n"/>
      <c r="F434" s="281" t="n"/>
      <c r="G434" s="281" t="n"/>
      <c r="H434" s="218" t="n"/>
    </row>
    <row r="435">
      <c r="A435" s="278" t="n"/>
      <c r="B435" s="279" t="n"/>
      <c r="C435" s="281" t="n"/>
      <c r="D435" s="281" t="n"/>
      <c r="E435" s="281" t="n"/>
      <c r="F435" s="281" t="n"/>
      <c r="G435" s="281" t="n"/>
      <c r="H435" s="218" t="n"/>
    </row>
    <row r="436">
      <c r="A436" s="278" t="n"/>
      <c r="B436" s="279" t="n"/>
      <c r="C436" s="281" t="n"/>
      <c r="D436" s="281" t="n"/>
      <c r="E436" s="281" t="n"/>
      <c r="F436" s="281" t="n"/>
      <c r="G436" s="281" t="n"/>
      <c r="H436" s="218" t="n"/>
    </row>
    <row r="437">
      <c r="A437" s="278" t="n"/>
      <c r="B437" s="279" t="n"/>
      <c r="C437" s="281" t="n"/>
      <c r="D437" s="281" t="n"/>
      <c r="E437" s="281" t="n"/>
      <c r="F437" s="281" t="n"/>
      <c r="G437" s="281" t="n"/>
      <c r="H437" s="218" t="n"/>
    </row>
    <row r="438">
      <c r="A438" s="278" t="n"/>
      <c r="B438" s="279" t="n"/>
      <c r="C438" s="281" t="n"/>
      <c r="D438" s="281" t="n"/>
      <c r="E438" s="281" t="n"/>
      <c r="F438" s="281" t="n"/>
      <c r="G438" s="281" t="n"/>
      <c r="H438" s="218" t="n"/>
    </row>
    <row r="439">
      <c r="A439" s="278" t="n"/>
      <c r="B439" s="279" t="n"/>
      <c r="C439" s="281" t="n"/>
      <c r="D439" s="281" t="n"/>
      <c r="E439" s="281" t="n"/>
      <c r="F439" s="281" t="n"/>
      <c r="G439" s="281" t="n"/>
      <c r="H439" s="218" t="n"/>
    </row>
    <row r="440">
      <c r="A440" s="278" t="n"/>
      <c r="B440" s="279" t="n"/>
      <c r="C440" s="281" t="n"/>
      <c r="D440" s="281" t="n"/>
      <c r="E440" s="281" t="n"/>
      <c r="F440" s="281" t="n"/>
      <c r="G440" s="281" t="n"/>
      <c r="H440" s="218" t="n"/>
    </row>
    <row r="441">
      <c r="A441" s="278" t="n"/>
      <c r="B441" s="279" t="n"/>
      <c r="C441" s="281" t="n"/>
      <c r="D441" s="281" t="n"/>
      <c r="E441" s="281" t="n"/>
      <c r="F441" s="281" t="n"/>
      <c r="G441" s="281" t="n"/>
      <c r="H441" s="218" t="n"/>
    </row>
    <row r="442">
      <c r="A442" s="278" t="n"/>
      <c r="B442" s="279" t="n"/>
      <c r="C442" s="281" t="n"/>
      <c r="D442" s="281" t="n"/>
      <c r="E442" s="281" t="n"/>
      <c r="F442" s="281" t="n"/>
      <c r="G442" s="281" t="n"/>
      <c r="H442" s="218" t="n"/>
    </row>
    <row r="443">
      <c r="A443" s="278" t="n"/>
      <c r="B443" s="279" t="n"/>
      <c r="C443" s="281" t="n"/>
      <c r="D443" s="281" t="n"/>
      <c r="E443" s="281" t="n"/>
      <c r="F443" s="281" t="n"/>
      <c r="G443" s="281" t="n"/>
      <c r="H443" s="218" t="n"/>
    </row>
    <row r="444">
      <c r="A444" s="278" t="n"/>
      <c r="B444" s="279" t="n"/>
      <c r="C444" s="281" t="n"/>
      <c r="D444" s="281" t="n"/>
      <c r="E444" s="281" t="n"/>
      <c r="F444" s="281" t="n"/>
      <c r="G444" s="281" t="n"/>
      <c r="H444" s="218" t="n"/>
    </row>
    <row r="445">
      <c r="A445" s="278" t="n"/>
      <c r="B445" s="279" t="n"/>
      <c r="C445" s="281" t="n"/>
      <c r="D445" s="281" t="n"/>
      <c r="E445" s="281" t="n"/>
      <c r="F445" s="281" t="n"/>
      <c r="G445" s="281" t="n"/>
      <c r="H445" s="218" t="n"/>
    </row>
    <row r="446">
      <c r="A446" s="278" t="n"/>
      <c r="B446" s="279" t="n"/>
      <c r="C446" s="281" t="n"/>
      <c r="D446" s="281" t="n"/>
      <c r="E446" s="281" t="n"/>
      <c r="F446" s="281" t="n"/>
      <c r="G446" s="281" t="n"/>
      <c r="H446" s="218" t="n"/>
    </row>
    <row r="447">
      <c r="A447" s="278" t="n"/>
      <c r="B447" s="279" t="n"/>
      <c r="C447" s="281" t="n"/>
      <c r="D447" s="281" t="n"/>
      <c r="E447" s="281" t="n"/>
      <c r="F447" s="281" t="n"/>
      <c r="G447" s="281" t="n"/>
      <c r="H447" s="218" t="n"/>
    </row>
    <row r="448">
      <c r="A448" s="278" t="n"/>
      <c r="B448" s="279" t="n"/>
      <c r="C448" s="281" t="n"/>
      <c r="D448" s="281" t="n"/>
      <c r="E448" s="281" t="n"/>
      <c r="F448" s="281" t="n"/>
      <c r="G448" s="281" t="n"/>
      <c r="H448" s="218" t="n"/>
    </row>
    <row r="449">
      <c r="A449" s="278" t="n"/>
      <c r="B449" s="279" t="n"/>
      <c r="C449" s="281" t="n"/>
      <c r="D449" s="281" t="n"/>
      <c r="E449" s="281" t="n"/>
      <c r="F449" s="281" t="n"/>
      <c r="G449" s="281" t="n"/>
      <c r="H449" s="218" t="n"/>
    </row>
    <row r="450">
      <c r="A450" s="278" t="n"/>
      <c r="B450" s="279" t="n"/>
      <c r="C450" s="281" t="n"/>
      <c r="D450" s="281" t="n"/>
      <c r="E450" s="281" t="n"/>
      <c r="F450" s="281" t="n"/>
      <c r="G450" s="281" t="n"/>
      <c r="H450" s="218" t="n"/>
    </row>
    <row r="451">
      <c r="A451" s="278" t="n"/>
      <c r="B451" s="279" t="n"/>
      <c r="C451" s="281" t="n"/>
      <c r="D451" s="281" t="n"/>
      <c r="E451" s="281" t="n"/>
      <c r="F451" s="281" t="n"/>
      <c r="G451" s="281" t="n"/>
      <c r="H451" s="218" t="n"/>
    </row>
    <row r="452">
      <c r="A452" s="278" t="n"/>
      <c r="B452" s="279" t="n"/>
      <c r="C452" s="281" t="n"/>
      <c r="D452" s="281" t="n"/>
      <c r="E452" s="281" t="n"/>
      <c r="F452" s="281" t="n"/>
      <c r="G452" s="281" t="n"/>
      <c r="H452" s="218" t="n"/>
    </row>
    <row r="453">
      <c r="A453" s="278" t="n"/>
      <c r="B453" s="279" t="n"/>
      <c r="C453" s="281" t="n"/>
      <c r="D453" s="281" t="n"/>
      <c r="E453" s="281" t="n"/>
      <c r="F453" s="281" t="n"/>
      <c r="G453" s="281" t="n"/>
      <c r="H453" s="218" t="n"/>
    </row>
    <row r="454">
      <c r="A454" s="278" t="n"/>
      <c r="B454" s="279" t="n"/>
      <c r="C454" s="281" t="n"/>
      <c r="D454" s="281" t="n"/>
      <c r="E454" s="281" t="n"/>
      <c r="F454" s="281" t="n"/>
      <c r="G454" s="281" t="n"/>
      <c r="H454" s="218" t="n"/>
    </row>
    <row r="455">
      <c r="A455" s="278" t="n"/>
      <c r="B455" s="279" t="n"/>
      <c r="C455" s="281" t="n"/>
      <c r="D455" s="281" t="n"/>
      <c r="E455" s="281" t="n"/>
      <c r="F455" s="281" t="n"/>
      <c r="G455" s="281" t="n"/>
      <c r="H455" s="218" t="n"/>
    </row>
    <row r="456">
      <c r="A456" s="278" t="n"/>
      <c r="B456" s="279" t="n"/>
      <c r="C456" s="281" t="n"/>
      <c r="D456" s="281" t="n"/>
      <c r="E456" s="281" t="n"/>
      <c r="F456" s="281" t="n"/>
      <c r="G456" s="281" t="n"/>
      <c r="H456" s="218" t="n"/>
    </row>
    <row r="457">
      <c r="A457" s="278" t="n"/>
      <c r="B457" s="279" t="n"/>
      <c r="C457" s="281" t="n"/>
      <c r="D457" s="281" t="n"/>
      <c r="E457" s="281" t="n"/>
      <c r="F457" s="281" t="n"/>
      <c r="G457" s="281" t="n"/>
      <c r="H457" s="218" t="n"/>
    </row>
    <row r="458">
      <c r="A458" s="278" t="n"/>
      <c r="B458" s="279" t="n"/>
      <c r="C458" s="281" t="n"/>
      <c r="D458" s="281" t="n"/>
      <c r="E458" s="281" t="n"/>
      <c r="F458" s="281" t="n"/>
      <c r="G458" s="281" t="n"/>
      <c r="H458" s="218" t="n"/>
    </row>
    <row r="459">
      <c r="A459" s="278" t="n"/>
      <c r="B459" s="279" t="n"/>
      <c r="C459" s="281" t="n"/>
      <c r="D459" s="281" t="n"/>
      <c r="E459" s="281" t="n"/>
      <c r="F459" s="281" t="n"/>
      <c r="G459" s="281" t="n"/>
      <c r="H459" s="218" t="n"/>
    </row>
    <row r="460">
      <c r="A460" s="278" t="n"/>
      <c r="B460" s="279" t="n"/>
      <c r="C460" s="281" t="n"/>
      <c r="D460" s="281" t="n"/>
      <c r="E460" s="281" t="n"/>
      <c r="F460" s="281" t="n"/>
      <c r="G460" s="281" t="n"/>
      <c r="H460" s="218" t="n"/>
    </row>
    <row r="461">
      <c r="A461" s="278" t="n"/>
      <c r="B461" s="279" t="n"/>
      <c r="C461" s="281" t="n"/>
      <c r="D461" s="281" t="n"/>
      <c r="E461" s="281" t="n"/>
      <c r="F461" s="281" t="n"/>
      <c r="G461" s="281" t="n"/>
      <c r="H461" s="218" t="n"/>
    </row>
    <row r="462">
      <c r="A462" s="278" t="n"/>
      <c r="B462" s="279" t="n"/>
      <c r="C462" s="281" t="n"/>
      <c r="D462" s="281" t="n"/>
      <c r="E462" s="281" t="n"/>
      <c r="F462" s="281" t="n"/>
      <c r="G462" s="281" t="n"/>
      <c r="H462" s="218" t="n"/>
    </row>
    <row r="463">
      <c r="A463" s="278" t="n"/>
      <c r="B463" s="279" t="n"/>
      <c r="C463" s="281" t="n"/>
      <c r="D463" s="281" t="n"/>
      <c r="E463" s="281" t="n"/>
      <c r="F463" s="281" t="n"/>
      <c r="G463" s="281" t="n"/>
      <c r="H463" s="218" t="n"/>
    </row>
    <row r="464">
      <c r="A464" s="278" t="n"/>
      <c r="B464" s="279" t="n"/>
      <c r="C464" s="281" t="n"/>
      <c r="D464" s="281" t="n"/>
      <c r="E464" s="281" t="n"/>
      <c r="F464" s="281" t="n"/>
      <c r="G464" s="281" t="n"/>
      <c r="H464" s="218" t="n"/>
    </row>
    <row r="465">
      <c r="A465" s="278" t="n"/>
      <c r="B465" s="279" t="n"/>
      <c r="C465" s="281" t="n"/>
      <c r="D465" s="281" t="n"/>
      <c r="E465" s="281" t="n"/>
      <c r="F465" s="281" t="n"/>
      <c r="G465" s="281" t="n"/>
      <c r="H465" s="218" t="n"/>
    </row>
    <row r="466">
      <c r="A466" s="278" t="n"/>
      <c r="B466" s="279" t="n"/>
      <c r="C466" s="281" t="n"/>
      <c r="D466" s="281" t="n"/>
      <c r="E466" s="281" t="n"/>
      <c r="F466" s="281" t="n"/>
      <c r="G466" s="281" t="n"/>
      <c r="H466" s="218" t="n"/>
    </row>
    <row r="467">
      <c r="A467" s="278" t="n"/>
      <c r="B467" s="279" t="n"/>
      <c r="C467" s="281" t="n"/>
      <c r="D467" s="281" t="n"/>
      <c r="E467" s="281" t="n"/>
      <c r="F467" s="281" t="n"/>
      <c r="G467" s="281" t="n"/>
      <c r="H467" s="218" t="n"/>
    </row>
    <row r="468">
      <c r="A468" s="278" t="n"/>
      <c r="B468" s="279" t="n"/>
      <c r="C468" s="281" t="n"/>
      <c r="D468" s="281" t="n"/>
      <c r="E468" s="281" t="n"/>
      <c r="F468" s="281" t="n"/>
      <c r="G468" s="281" t="n"/>
      <c r="H468" s="218" t="n"/>
    </row>
    <row r="469">
      <c r="A469" s="278" t="n"/>
      <c r="B469" s="279" t="n"/>
      <c r="C469" s="281" t="n"/>
      <c r="D469" s="281" t="n"/>
      <c r="E469" s="281" t="n"/>
      <c r="F469" s="281" t="n"/>
      <c r="G469" s="281" t="n"/>
      <c r="H469" s="218" t="n"/>
    </row>
    <row r="470">
      <c r="A470" s="278" t="n"/>
      <c r="B470" s="279" t="n"/>
      <c r="C470" s="281" t="n"/>
      <c r="D470" s="281" t="n"/>
      <c r="E470" s="281" t="n"/>
      <c r="F470" s="281" t="n"/>
      <c r="G470" s="281" t="n"/>
      <c r="H470" s="218" t="n"/>
    </row>
    <row r="471">
      <c r="A471" s="278" t="n"/>
      <c r="B471" s="279" t="n"/>
      <c r="C471" s="281" t="n"/>
      <c r="D471" s="281" t="n"/>
      <c r="E471" s="281" t="n"/>
      <c r="F471" s="281" t="n"/>
      <c r="G471" s="281" t="n"/>
      <c r="H471" s="218" t="n"/>
    </row>
    <row r="472">
      <c r="A472" s="278" t="n"/>
      <c r="B472" s="279" t="n"/>
      <c r="C472" s="281" t="n"/>
      <c r="D472" s="281" t="n"/>
      <c r="E472" s="281" t="n"/>
      <c r="F472" s="281" t="n"/>
      <c r="G472" s="281" t="n"/>
      <c r="H472" s="218" t="n"/>
    </row>
    <row r="473">
      <c r="A473" s="278" t="n"/>
      <c r="B473" s="279" t="n"/>
      <c r="C473" s="281" t="n"/>
      <c r="D473" s="281" t="n"/>
      <c r="E473" s="281" t="n"/>
      <c r="F473" s="281" t="n"/>
      <c r="G473" s="281" t="n"/>
      <c r="H473" s="218" t="n"/>
    </row>
    <row r="474">
      <c r="A474" s="278" t="n"/>
      <c r="B474" s="279" t="n"/>
      <c r="C474" s="281" t="n"/>
      <c r="D474" s="281" t="n"/>
      <c r="E474" s="281" t="n"/>
      <c r="F474" s="281" t="n"/>
      <c r="G474" s="281" t="n"/>
      <c r="H474" s="218" t="n"/>
    </row>
    <row r="475">
      <c r="A475" s="278" t="n"/>
      <c r="B475" s="279" t="n"/>
      <c r="C475" s="281" t="n"/>
      <c r="D475" s="281" t="n"/>
      <c r="E475" s="281" t="n"/>
      <c r="F475" s="281" t="n"/>
      <c r="G475" s="281" t="n"/>
      <c r="H475" s="218" t="n"/>
    </row>
    <row r="476">
      <c r="A476" s="278" t="n"/>
      <c r="B476" s="279" t="n"/>
      <c r="C476" s="281" t="n"/>
      <c r="D476" s="281" t="n"/>
      <c r="E476" s="281" t="n"/>
      <c r="F476" s="281" t="n"/>
      <c r="G476" s="281" t="n"/>
      <c r="H476" s="218" t="n"/>
    </row>
    <row r="477">
      <c r="A477" s="278" t="n"/>
      <c r="B477" s="279" t="n"/>
      <c r="C477" s="281" t="n"/>
      <c r="D477" s="281" t="n"/>
      <c r="E477" s="281" t="n"/>
      <c r="F477" s="281" t="n"/>
      <c r="G477" s="281" t="n"/>
      <c r="H477" s="218" t="n"/>
    </row>
    <row r="478">
      <c r="A478" s="278" t="n"/>
      <c r="B478" s="279" t="n"/>
      <c r="C478" s="281" t="n"/>
      <c r="D478" s="281" t="n"/>
      <c r="E478" s="281" t="n"/>
      <c r="F478" s="281" t="n"/>
      <c r="G478" s="281" t="n"/>
      <c r="H478" s="218" t="n"/>
    </row>
    <row r="479">
      <c r="A479" s="278" t="n"/>
      <c r="B479" s="279" t="n"/>
      <c r="C479" s="281" t="n"/>
      <c r="D479" s="281" t="n"/>
      <c r="E479" s="281" t="n"/>
      <c r="F479" s="281" t="n"/>
      <c r="G479" s="281" t="n"/>
      <c r="H479" s="218" t="n"/>
    </row>
    <row r="480">
      <c r="A480" s="278" t="n"/>
      <c r="B480" s="279" t="n"/>
      <c r="C480" s="281" t="n"/>
      <c r="D480" s="281" t="n"/>
      <c r="E480" s="281" t="n"/>
      <c r="F480" s="281" t="n"/>
      <c r="G480" s="281" t="n"/>
      <c r="H480" s="218" t="n"/>
    </row>
    <row r="481">
      <c r="A481" s="278" t="n"/>
      <c r="B481" s="279" t="n"/>
      <c r="C481" s="281" t="n"/>
      <c r="D481" s="281" t="n"/>
      <c r="E481" s="281" t="n"/>
      <c r="F481" s="281" t="n"/>
      <c r="G481" s="281" t="n"/>
      <c r="H481" s="218" t="n"/>
    </row>
    <row r="482">
      <c r="A482" s="278" t="n"/>
      <c r="B482" s="279" t="n"/>
      <c r="C482" s="281" t="n"/>
      <c r="D482" s="281" t="n"/>
      <c r="E482" s="281" t="n"/>
      <c r="F482" s="281" t="n"/>
      <c r="G482" s="281" t="n"/>
      <c r="H482" s="218" t="n"/>
    </row>
    <row r="483">
      <c r="A483" s="278" t="n"/>
      <c r="B483" s="279" t="n"/>
      <c r="C483" s="281" t="n"/>
      <c r="D483" s="281" t="n"/>
      <c r="E483" s="281" t="n"/>
      <c r="F483" s="281" t="n"/>
      <c r="G483" s="281" t="n"/>
      <c r="H483" s="218" t="n"/>
    </row>
    <row r="484">
      <c r="A484" s="278" t="n"/>
      <c r="B484" s="279" t="n"/>
      <c r="C484" s="281" t="n"/>
      <c r="D484" s="281" t="n"/>
      <c r="E484" s="281" t="n"/>
      <c r="F484" s="281" t="n"/>
      <c r="G484" s="281" t="n"/>
      <c r="H484" s="218" t="n"/>
    </row>
    <row r="485">
      <c r="A485" s="278" t="n"/>
      <c r="B485" s="279" t="n"/>
      <c r="C485" s="281" t="n"/>
      <c r="D485" s="281" t="n"/>
      <c r="E485" s="281" t="n"/>
      <c r="F485" s="281" t="n"/>
      <c r="G485" s="281" t="n"/>
      <c r="H485" s="218" t="n"/>
    </row>
    <row r="486">
      <c r="A486" s="278" t="n"/>
      <c r="B486" s="279" t="n"/>
      <c r="C486" s="281" t="n"/>
      <c r="D486" s="281" t="n"/>
      <c r="E486" s="281" t="n"/>
      <c r="F486" s="281" t="n"/>
      <c r="G486" s="281" t="n"/>
      <c r="H486" s="218" t="n"/>
    </row>
    <row r="487">
      <c r="A487" s="278" t="n"/>
      <c r="B487" s="279" t="n"/>
      <c r="C487" s="281" t="n"/>
      <c r="D487" s="281" t="n"/>
      <c r="E487" s="281" t="n"/>
      <c r="F487" s="281" t="n"/>
      <c r="G487" s="281" t="n"/>
      <c r="H487" s="218" t="n"/>
    </row>
    <row r="488">
      <c r="A488" s="278" t="n"/>
      <c r="B488" s="279" t="n"/>
      <c r="C488" s="281" t="n"/>
      <c r="D488" s="281" t="n"/>
      <c r="E488" s="281" t="n"/>
      <c r="F488" s="281" t="n"/>
      <c r="G488" s="281" t="n"/>
      <c r="H488" s="218" t="n"/>
    </row>
    <row r="489">
      <c r="A489" s="278" t="n"/>
      <c r="B489" s="279" t="n"/>
      <c r="C489" s="281" t="n"/>
      <c r="D489" s="281" t="n"/>
      <c r="E489" s="281" t="n"/>
      <c r="F489" s="281" t="n"/>
      <c r="G489" s="281" t="n"/>
      <c r="H489" s="218" t="n"/>
    </row>
    <row r="490">
      <c r="A490" s="278" t="n"/>
      <c r="B490" s="279" t="n"/>
      <c r="C490" s="281" t="n"/>
      <c r="D490" s="281" t="n"/>
      <c r="E490" s="281" t="n"/>
      <c r="F490" s="281" t="n"/>
      <c r="G490" s="281" t="n"/>
      <c r="H490" s="218" t="n"/>
    </row>
    <row r="491">
      <c r="A491" s="278" t="n"/>
      <c r="B491" s="279" t="n"/>
      <c r="C491" s="281" t="n"/>
      <c r="D491" s="281" t="n"/>
      <c r="E491" s="281" t="n"/>
      <c r="F491" s="281" t="n"/>
      <c r="G491" s="281" t="n"/>
      <c r="H491" s="218" t="n"/>
    </row>
    <row r="492">
      <c r="A492" s="278" t="n"/>
      <c r="B492" s="279" t="n"/>
      <c r="C492" s="281" t="n"/>
      <c r="D492" s="281" t="n"/>
      <c r="E492" s="281" t="n"/>
      <c r="F492" s="281" t="n"/>
      <c r="G492" s="281" t="n"/>
      <c r="H492" s="218" t="n"/>
    </row>
    <row r="493">
      <c r="A493" s="278" t="n"/>
      <c r="B493" s="279" t="n"/>
      <c r="C493" s="281" t="n"/>
      <c r="D493" s="281" t="n"/>
      <c r="E493" s="281" t="n"/>
      <c r="F493" s="281" t="n"/>
      <c r="G493" s="281" t="n"/>
      <c r="H493" s="218" t="n"/>
    </row>
    <row r="494">
      <c r="A494" s="278" t="n"/>
      <c r="B494" s="279" t="n"/>
      <c r="C494" s="281" t="n"/>
      <c r="D494" s="281" t="n"/>
      <c r="E494" s="281" t="n"/>
      <c r="F494" s="281" t="n"/>
      <c r="G494" s="281" t="n"/>
      <c r="H494" s="218" t="n"/>
    </row>
    <row r="495">
      <c r="A495" s="278" t="n"/>
      <c r="B495" s="279" t="n"/>
      <c r="C495" s="281" t="n"/>
      <c r="D495" s="281" t="n"/>
      <c r="E495" s="281" t="n"/>
      <c r="F495" s="281" t="n"/>
      <c r="G495" s="281" t="n"/>
      <c r="H495" s="218" t="n"/>
    </row>
    <row r="496">
      <c r="A496" s="278" t="n"/>
      <c r="B496" s="279" t="n"/>
      <c r="C496" s="281" t="n"/>
      <c r="D496" s="281" t="n"/>
      <c r="E496" s="281" t="n"/>
      <c r="F496" s="281" t="n"/>
      <c r="G496" s="281" t="n"/>
      <c r="H496" s="218" t="n"/>
    </row>
    <row r="497">
      <c r="A497" s="278" t="n"/>
      <c r="B497" s="279" t="n"/>
      <c r="C497" s="281" t="n"/>
      <c r="D497" s="281" t="n"/>
      <c r="E497" s="281" t="n"/>
      <c r="F497" s="281" t="n"/>
      <c r="G497" s="281" t="n"/>
      <c r="H497" s="218" t="n"/>
    </row>
    <row r="498">
      <c r="A498" s="278" t="n"/>
      <c r="B498" s="279" t="n"/>
      <c r="C498" s="281" t="n"/>
      <c r="D498" s="281" t="n"/>
      <c r="E498" s="281" t="n"/>
      <c r="F498" s="281" t="n"/>
      <c r="G498" s="281" t="n"/>
      <c r="H498" s="218" t="n"/>
    </row>
    <row r="499">
      <c r="A499" s="278" t="n"/>
      <c r="B499" s="279" t="n"/>
      <c r="C499" s="281" t="n"/>
      <c r="D499" s="281" t="n"/>
      <c r="E499" s="281" t="n"/>
      <c r="F499" s="281" t="n"/>
      <c r="G499" s="281" t="n"/>
      <c r="H499" s="218" t="n"/>
    </row>
    <row r="500">
      <c r="A500" s="278" t="n"/>
      <c r="B500" s="279" t="n"/>
      <c r="C500" s="281" t="n"/>
      <c r="D500" s="281" t="n"/>
      <c r="E500" s="281" t="n"/>
      <c r="F500" s="281" t="n"/>
      <c r="G500" s="281" t="n"/>
      <c r="H500" s="218" t="n"/>
    </row>
    <row r="501">
      <c r="A501" s="278" t="n"/>
      <c r="B501" s="279" t="n"/>
      <c r="C501" s="281" t="n"/>
      <c r="D501" s="281" t="n"/>
      <c r="E501" s="281" t="n"/>
      <c r="F501" s="281" t="n"/>
      <c r="G501" s="281" t="n"/>
      <c r="H501" s="218" t="n"/>
    </row>
    <row r="502">
      <c r="A502" s="278" t="n"/>
      <c r="B502" s="279" t="n"/>
      <c r="C502" s="281" t="n"/>
      <c r="D502" s="281" t="n"/>
      <c r="E502" s="281" t="n"/>
      <c r="F502" s="281" t="n"/>
      <c r="G502" s="281" t="n"/>
      <c r="H502" s="218" t="n"/>
    </row>
    <row r="503">
      <c r="A503" s="278" t="n"/>
      <c r="B503" s="279" t="n"/>
      <c r="C503" s="281" t="n"/>
      <c r="D503" s="281" t="n"/>
      <c r="E503" s="281" t="n"/>
      <c r="F503" s="281" t="n"/>
      <c r="G503" s="281" t="n"/>
      <c r="H503" s="218" t="n"/>
    </row>
    <row r="504">
      <c r="A504" s="278" t="n"/>
      <c r="B504" s="279" t="n"/>
      <c r="C504" s="281" t="n"/>
      <c r="D504" s="281" t="n"/>
      <c r="E504" s="281" t="n"/>
      <c r="F504" s="281" t="n"/>
      <c r="G504" s="281" t="n"/>
      <c r="H504" s="218" t="n"/>
    </row>
    <row r="505">
      <c r="A505" s="278" t="n"/>
      <c r="B505" s="279" t="n"/>
      <c r="C505" s="281" t="n"/>
      <c r="D505" s="281" t="n"/>
      <c r="E505" s="281" t="n"/>
      <c r="F505" s="281" t="n"/>
      <c r="G505" s="281" t="n"/>
      <c r="H505" s="218" t="n"/>
    </row>
    <row r="506">
      <c r="A506" s="278" t="n"/>
      <c r="B506" s="279" t="n"/>
      <c r="C506" s="281" t="n"/>
      <c r="D506" s="281" t="n"/>
      <c r="E506" s="281" t="n"/>
      <c r="F506" s="281" t="n"/>
      <c r="G506" s="281" t="n"/>
      <c r="H506" s="218" t="n"/>
    </row>
    <row r="507">
      <c r="A507" s="278" t="n"/>
      <c r="B507" s="279" t="n"/>
      <c r="C507" s="281" t="n"/>
      <c r="D507" s="281" t="n"/>
      <c r="E507" s="281" t="n"/>
      <c r="F507" s="281" t="n"/>
      <c r="G507" s="281" t="n"/>
      <c r="H507" s="218" t="n"/>
    </row>
    <row r="508">
      <c r="A508" s="278" t="n"/>
      <c r="B508" s="279" t="n"/>
      <c r="C508" s="281" t="n"/>
      <c r="D508" s="281" t="n"/>
      <c r="E508" s="281" t="n"/>
      <c r="F508" s="281" t="n"/>
      <c r="G508" s="281" t="n"/>
      <c r="H508" s="218" t="n"/>
    </row>
    <row r="509">
      <c r="A509" s="278" t="n"/>
      <c r="B509" s="279" t="n"/>
      <c r="C509" s="281" t="n"/>
      <c r="D509" s="281" t="n"/>
      <c r="E509" s="281" t="n"/>
      <c r="F509" s="281" t="n"/>
      <c r="G509" s="281" t="n"/>
      <c r="H509" s="218" t="n"/>
    </row>
    <row r="510">
      <c r="A510" s="278" t="n"/>
      <c r="B510" s="279" t="n"/>
      <c r="C510" s="281" t="n"/>
      <c r="D510" s="281" t="n"/>
      <c r="E510" s="281" t="n"/>
      <c r="F510" s="281" t="n"/>
      <c r="G510" s="281" t="n"/>
      <c r="H510" s="218" t="n"/>
    </row>
    <row r="511">
      <c r="A511" s="278" t="n"/>
      <c r="B511" s="279" t="n"/>
      <c r="C511" s="281" t="n"/>
      <c r="D511" s="281" t="n"/>
      <c r="E511" s="281" t="n"/>
      <c r="F511" s="281" t="n"/>
      <c r="G511" s="281" t="n"/>
      <c r="H511" s="218" t="n"/>
    </row>
    <row r="512">
      <c r="A512" s="278" t="n"/>
      <c r="B512" s="279" t="n"/>
      <c r="C512" s="281" t="n"/>
      <c r="D512" s="281" t="n"/>
      <c r="E512" s="281" t="n"/>
      <c r="F512" s="281" t="n"/>
      <c r="G512" s="281" t="n"/>
      <c r="H512" s="218" t="n"/>
    </row>
    <row r="513">
      <c r="A513" s="278" t="n"/>
      <c r="B513" s="279" t="n"/>
      <c r="C513" s="281" t="n"/>
      <c r="D513" s="281" t="n"/>
      <c r="E513" s="281" t="n"/>
      <c r="F513" s="281" t="n"/>
      <c r="G513" s="281" t="n"/>
      <c r="H513" s="218" t="n"/>
    </row>
    <row r="514">
      <c r="A514" s="278" t="n"/>
      <c r="B514" s="279" t="n"/>
      <c r="C514" s="281" t="n"/>
      <c r="D514" s="281" t="n"/>
      <c r="E514" s="281" t="n"/>
      <c r="F514" s="281" t="n"/>
      <c r="G514" s="281" t="n"/>
      <c r="H514" s="218" t="n"/>
    </row>
    <row r="515">
      <c r="A515" s="278" t="n"/>
      <c r="B515" s="279" t="n"/>
      <c r="C515" s="281" t="n"/>
      <c r="D515" s="281" t="n"/>
      <c r="E515" s="281" t="n"/>
      <c r="F515" s="281" t="n"/>
      <c r="G515" s="281" t="n"/>
      <c r="H515" s="218" t="n"/>
    </row>
    <row r="516">
      <c r="A516" s="278" t="n"/>
      <c r="B516" s="279" t="n"/>
      <c r="C516" s="281" t="n"/>
      <c r="D516" s="281" t="n"/>
      <c r="E516" s="281" t="n"/>
      <c r="F516" s="281" t="n"/>
      <c r="G516" s="281" t="n"/>
      <c r="H516" s="218" t="n"/>
    </row>
    <row r="517">
      <c r="A517" s="278" t="n"/>
      <c r="B517" s="279" t="n"/>
      <c r="C517" s="281" t="n"/>
      <c r="D517" s="281" t="n"/>
      <c r="E517" s="281" t="n"/>
      <c r="F517" s="281" t="n"/>
      <c r="G517" s="281" t="n"/>
      <c r="H517" s="218" t="n"/>
    </row>
    <row r="518">
      <c r="A518" s="278" t="n"/>
      <c r="B518" s="279" t="n"/>
      <c r="C518" s="281" t="n"/>
      <c r="D518" s="281" t="n"/>
      <c r="E518" s="281" t="n"/>
      <c r="F518" s="281" t="n"/>
      <c r="G518" s="281" t="n"/>
      <c r="H518" s="218" t="n"/>
    </row>
    <row r="519">
      <c r="A519" s="278" t="n"/>
      <c r="B519" s="279" t="n"/>
      <c r="C519" s="281" t="n"/>
      <c r="D519" s="281" t="n"/>
      <c r="E519" s="281" t="n"/>
      <c r="F519" s="281" t="n"/>
      <c r="G519" s="281" t="n"/>
      <c r="H519" s="218" t="n"/>
    </row>
    <row r="520">
      <c r="A520" s="278" t="n"/>
      <c r="B520" s="279" t="n"/>
      <c r="C520" s="281" t="n"/>
      <c r="D520" s="281" t="n"/>
      <c r="E520" s="281" t="n"/>
      <c r="F520" s="281" t="n"/>
      <c r="G520" s="281" t="n"/>
      <c r="H520" s="218" t="n"/>
    </row>
    <row r="521">
      <c r="A521" s="278" t="n"/>
      <c r="B521" s="279" t="n"/>
      <c r="C521" s="281" t="n"/>
      <c r="D521" s="281" t="n"/>
      <c r="E521" s="281" t="n"/>
      <c r="F521" s="281" t="n"/>
      <c r="G521" s="281" t="n"/>
      <c r="H521" s="218" t="n"/>
    </row>
    <row r="522">
      <c r="A522" s="278" t="n"/>
      <c r="B522" s="279" t="n"/>
      <c r="C522" s="281" t="n"/>
      <c r="D522" s="281" t="n"/>
      <c r="E522" s="281" t="n"/>
      <c r="F522" s="281" t="n"/>
      <c r="G522" s="281" t="n"/>
      <c r="H522" s="218" t="n"/>
    </row>
    <row r="523">
      <c r="A523" s="278" t="n"/>
      <c r="B523" s="279" t="n"/>
      <c r="C523" s="281" t="n"/>
      <c r="D523" s="281" t="n"/>
      <c r="E523" s="281" t="n"/>
      <c r="F523" s="281" t="n"/>
      <c r="G523" s="281" t="n"/>
      <c r="H523" s="218" t="n"/>
    </row>
    <row r="524">
      <c r="A524" s="278" t="n"/>
      <c r="B524" s="279" t="n"/>
      <c r="C524" s="281" t="n"/>
      <c r="D524" s="281" t="n"/>
      <c r="E524" s="281" t="n"/>
      <c r="F524" s="281" t="n"/>
      <c r="G524" s="281" t="n"/>
      <c r="H524" s="218" t="n"/>
    </row>
    <row r="525">
      <c r="A525" s="278" t="n"/>
      <c r="B525" s="279" t="n"/>
      <c r="C525" s="281" t="n"/>
      <c r="D525" s="281" t="n"/>
      <c r="E525" s="281" t="n"/>
      <c r="F525" s="281" t="n"/>
      <c r="G525" s="281" t="n"/>
      <c r="H525" s="218" t="n"/>
    </row>
    <row r="526">
      <c r="A526" s="278" t="n"/>
      <c r="B526" s="279" t="n"/>
      <c r="C526" s="281" t="n"/>
      <c r="D526" s="281" t="n"/>
      <c r="E526" s="281" t="n"/>
      <c r="F526" s="281" t="n"/>
      <c r="G526" s="281" t="n"/>
      <c r="H526" s="218" t="n"/>
    </row>
    <row r="527">
      <c r="A527" s="278" t="n"/>
      <c r="B527" s="279" t="n"/>
      <c r="C527" s="281" t="n"/>
      <c r="D527" s="281" t="n"/>
      <c r="E527" s="281" t="n"/>
      <c r="F527" s="281" t="n"/>
      <c r="G527" s="281" t="n"/>
      <c r="H527" s="218" t="n"/>
    </row>
    <row r="528">
      <c r="A528" s="278" t="n"/>
      <c r="B528" s="279" t="n"/>
      <c r="C528" s="281" t="n"/>
      <c r="D528" s="281" t="n"/>
      <c r="E528" s="281" t="n"/>
      <c r="F528" s="281" t="n"/>
      <c r="G528" s="281" t="n"/>
      <c r="H528" s="218" t="n"/>
    </row>
    <row r="529">
      <c r="A529" s="278" t="n"/>
      <c r="B529" s="279" t="n"/>
      <c r="C529" s="281" t="n"/>
      <c r="D529" s="281" t="n"/>
      <c r="E529" s="281" t="n"/>
      <c r="F529" s="281" t="n"/>
      <c r="G529" s="281" t="n"/>
      <c r="H529" s="218" t="n"/>
    </row>
    <row r="530">
      <c r="A530" s="278" t="n"/>
      <c r="B530" s="279" t="n"/>
      <c r="C530" s="281" t="n"/>
      <c r="D530" s="281" t="n"/>
      <c r="E530" s="281" t="n"/>
      <c r="F530" s="281" t="n"/>
      <c r="G530" s="281" t="n"/>
      <c r="H530" s="218" t="n"/>
    </row>
    <row r="531">
      <c r="A531" s="278" t="n"/>
      <c r="B531" s="279" t="n"/>
      <c r="C531" s="281" t="n"/>
      <c r="D531" s="281" t="n"/>
      <c r="E531" s="281" t="n"/>
      <c r="F531" s="281" t="n"/>
      <c r="G531" s="281" t="n"/>
      <c r="H531" s="218" t="n"/>
    </row>
    <row r="532">
      <c r="A532" s="278" t="n"/>
      <c r="B532" s="279" t="n"/>
      <c r="C532" s="281" t="n"/>
      <c r="D532" s="281" t="n"/>
      <c r="E532" s="281" t="n"/>
      <c r="F532" s="281" t="n"/>
      <c r="G532" s="281" t="n"/>
      <c r="H532" s="218" t="n"/>
    </row>
    <row r="533">
      <c r="A533" s="278" t="n"/>
      <c r="B533" s="279" t="n"/>
      <c r="C533" s="281" t="n"/>
      <c r="D533" s="281" t="n"/>
      <c r="E533" s="281" t="n"/>
      <c r="F533" s="281" t="n"/>
      <c r="G533" s="281" t="n"/>
      <c r="H533" s="218" t="n"/>
    </row>
    <row r="534">
      <c r="A534" s="278" t="n"/>
      <c r="B534" s="279" t="n"/>
      <c r="C534" s="281" t="n"/>
      <c r="D534" s="281" t="n"/>
      <c r="E534" s="281" t="n"/>
      <c r="F534" s="281" t="n"/>
      <c r="G534" s="281" t="n"/>
      <c r="H534" s="218" t="n"/>
    </row>
    <row r="535">
      <c r="A535" s="278" t="n"/>
      <c r="B535" s="279" t="n"/>
      <c r="C535" s="281" t="n"/>
      <c r="D535" s="281" t="n"/>
      <c r="E535" s="281" t="n"/>
      <c r="F535" s="281" t="n"/>
      <c r="G535" s="281" t="n"/>
      <c r="H535" s="218" t="n"/>
    </row>
    <row r="536">
      <c r="A536" s="278" t="n"/>
      <c r="B536" s="279" t="n"/>
      <c r="C536" s="281" t="n"/>
      <c r="D536" s="281" t="n"/>
      <c r="E536" s="281" t="n"/>
      <c r="F536" s="281" t="n"/>
      <c r="G536" s="281" t="n"/>
      <c r="H536" s="218" t="n"/>
    </row>
    <row r="537">
      <c r="A537" s="278" t="n"/>
      <c r="B537" s="279" t="n"/>
      <c r="C537" s="281" t="n"/>
      <c r="D537" s="281" t="n"/>
      <c r="E537" s="281" t="n"/>
      <c r="F537" s="281" t="n"/>
      <c r="G537" s="281" t="n"/>
      <c r="H537" s="218" t="n"/>
    </row>
    <row r="538">
      <c r="A538" s="278" t="n"/>
      <c r="B538" s="279" t="n"/>
      <c r="C538" s="281" t="n"/>
      <c r="D538" s="281" t="n"/>
      <c r="E538" s="281" t="n"/>
      <c r="F538" s="281" t="n"/>
      <c r="G538" s="281" t="n"/>
      <c r="H538" s="218" t="n"/>
    </row>
    <row r="539">
      <c r="A539" s="278" t="n"/>
      <c r="B539" s="279" t="n"/>
      <c r="C539" s="281" t="n"/>
      <c r="D539" s="281" t="n"/>
      <c r="E539" s="281" t="n"/>
      <c r="F539" s="281" t="n"/>
      <c r="G539" s="281" t="n"/>
      <c r="H539" s="218" t="n"/>
    </row>
    <row r="540">
      <c r="A540" s="278" t="n"/>
      <c r="B540" s="279" t="n"/>
      <c r="C540" s="281" t="n"/>
      <c r="D540" s="281" t="n"/>
      <c r="E540" s="281" t="n"/>
      <c r="F540" s="281" t="n"/>
      <c r="G540" s="281" t="n"/>
      <c r="H540" s="218" t="n"/>
    </row>
    <row r="541">
      <c r="A541" s="278" t="n"/>
      <c r="B541" s="279" t="n"/>
      <c r="C541" s="281" t="n"/>
      <c r="D541" s="281" t="n"/>
      <c r="E541" s="281" t="n"/>
      <c r="F541" s="281" t="n"/>
      <c r="G541" s="281" t="n"/>
      <c r="H541" s="218" t="n"/>
    </row>
    <row r="542">
      <c r="A542" s="278" t="n"/>
      <c r="B542" s="279" t="n"/>
      <c r="C542" s="281" t="n"/>
      <c r="D542" s="281" t="n"/>
      <c r="E542" s="281" t="n"/>
      <c r="F542" s="281" t="n"/>
      <c r="G542" s="281" t="n"/>
      <c r="H542" s="218" t="n"/>
    </row>
    <row r="543">
      <c r="A543" s="278" t="n"/>
      <c r="B543" s="279" t="n"/>
      <c r="C543" s="281" t="n"/>
      <c r="D543" s="281" t="n"/>
      <c r="E543" s="281" t="n"/>
      <c r="F543" s="281" t="n"/>
      <c r="G543" s="281" t="n"/>
      <c r="H543" s="218" t="n"/>
    </row>
    <row r="544">
      <c r="A544" s="278" t="n"/>
      <c r="B544" s="279" t="n"/>
      <c r="C544" s="281" t="n"/>
      <c r="D544" s="281" t="n"/>
      <c r="E544" s="281" t="n"/>
      <c r="F544" s="281" t="n"/>
      <c r="G544" s="281" t="n"/>
      <c r="H544" s="218" t="n"/>
    </row>
    <row r="545">
      <c r="A545" s="278" t="n"/>
      <c r="B545" s="279" t="n"/>
      <c r="C545" s="281" t="n"/>
      <c r="D545" s="281" t="n"/>
      <c r="E545" s="281" t="n"/>
      <c r="F545" s="281" t="n"/>
      <c r="G545" s="281" t="n"/>
      <c r="H545" s="218" t="n"/>
    </row>
    <row r="546">
      <c r="A546" s="278" t="n"/>
      <c r="B546" s="279" t="n"/>
      <c r="C546" s="281" t="n"/>
      <c r="D546" s="281" t="n"/>
      <c r="E546" s="281" t="n"/>
      <c r="F546" s="281" t="n"/>
      <c r="G546" s="281" t="n"/>
      <c r="H546" s="218" t="n"/>
    </row>
    <row r="547">
      <c r="A547" s="278" t="n"/>
      <c r="B547" s="279" t="n"/>
      <c r="C547" s="281" t="n"/>
      <c r="D547" s="281" t="n"/>
      <c r="E547" s="281" t="n"/>
      <c r="F547" s="281" t="n"/>
      <c r="G547" s="281" t="n"/>
      <c r="H547" s="218" t="n"/>
    </row>
    <row r="548">
      <c r="A548" s="278" t="n"/>
      <c r="B548" s="279" t="n"/>
      <c r="C548" s="281" t="n"/>
      <c r="D548" s="281" t="n"/>
      <c r="E548" s="281" t="n"/>
      <c r="F548" s="281" t="n"/>
      <c r="G548" s="281" t="n"/>
      <c r="H548" s="218" t="n"/>
    </row>
    <row r="549">
      <c r="A549" s="278" t="n"/>
      <c r="B549" s="279" t="n"/>
      <c r="C549" s="281" t="n"/>
      <c r="D549" s="281" t="n"/>
      <c r="E549" s="281" t="n"/>
      <c r="F549" s="281" t="n"/>
      <c r="G549" s="281" t="n"/>
      <c r="H549" s="218" t="n"/>
    </row>
    <row r="550">
      <c r="A550" s="278" t="n"/>
      <c r="B550" s="279" t="n"/>
      <c r="C550" s="281" t="n"/>
      <c r="D550" s="281" t="n"/>
      <c r="E550" s="281" t="n"/>
      <c r="F550" s="281" t="n"/>
      <c r="G550" s="281" t="n"/>
      <c r="H550" s="218" t="n"/>
    </row>
    <row r="551">
      <c r="A551" s="278" t="n"/>
      <c r="B551" s="279" t="n"/>
      <c r="C551" s="281" t="n"/>
      <c r="D551" s="281" t="n"/>
      <c r="E551" s="281" t="n"/>
      <c r="F551" s="281" t="n"/>
      <c r="G551" s="281" t="n"/>
      <c r="H551" s="218" t="n"/>
    </row>
    <row r="552">
      <c r="A552" s="278" t="n"/>
      <c r="B552" s="279" t="n"/>
      <c r="C552" s="281" t="n"/>
      <c r="D552" s="281" t="n"/>
      <c r="E552" s="281" t="n"/>
      <c r="F552" s="281" t="n"/>
      <c r="G552" s="281" t="n"/>
      <c r="H552" s="218" t="n"/>
    </row>
    <row r="553">
      <c r="A553" s="278" t="n"/>
      <c r="B553" s="279" t="n"/>
      <c r="C553" s="281" t="n"/>
      <c r="D553" s="281" t="n"/>
      <c r="E553" s="281" t="n"/>
      <c r="F553" s="281" t="n"/>
      <c r="G553" s="281" t="n"/>
      <c r="H553" s="218" t="n"/>
    </row>
    <row r="554">
      <c r="A554" s="278" t="n"/>
      <c r="B554" s="279" t="n"/>
      <c r="C554" s="281" t="n"/>
      <c r="D554" s="281" t="n"/>
      <c r="E554" s="281" t="n"/>
      <c r="F554" s="281" t="n"/>
      <c r="G554" s="281" t="n"/>
      <c r="H554" s="218" t="n"/>
    </row>
    <row r="555">
      <c r="A555" s="278" t="n"/>
      <c r="B555" s="279" t="n"/>
      <c r="C555" s="281" t="n"/>
      <c r="D555" s="281" t="n"/>
      <c r="E555" s="281" t="n"/>
      <c r="F555" s="281" t="n"/>
      <c r="G555" s="281" t="n"/>
      <c r="H555" s="218" t="n"/>
    </row>
    <row r="556">
      <c r="A556" s="278" t="n"/>
      <c r="B556" s="279" t="n"/>
      <c r="C556" s="281" t="n"/>
      <c r="D556" s="281" t="n"/>
      <c r="E556" s="281" t="n"/>
      <c r="F556" s="281" t="n"/>
      <c r="G556" s="281" t="n"/>
      <c r="H556" s="218" t="n"/>
    </row>
    <row r="557">
      <c r="A557" s="278" t="n"/>
      <c r="B557" s="279" t="n"/>
      <c r="C557" s="281" t="n"/>
      <c r="D557" s="281" t="n"/>
      <c r="E557" s="281" t="n"/>
      <c r="F557" s="281" t="n"/>
      <c r="G557" s="281" t="n"/>
      <c r="H557" s="218" t="n"/>
    </row>
    <row r="558">
      <c r="A558" s="278" t="n"/>
      <c r="B558" s="279" t="n"/>
      <c r="C558" s="281" t="n"/>
      <c r="D558" s="281" t="n"/>
      <c r="E558" s="281" t="n"/>
      <c r="F558" s="281" t="n"/>
      <c r="G558" s="281" t="n"/>
      <c r="H558" s="218" t="n"/>
    </row>
    <row r="559">
      <c r="A559" s="278" t="n"/>
      <c r="B559" s="279" t="n"/>
      <c r="C559" s="281" t="n"/>
      <c r="D559" s="281" t="n"/>
      <c r="E559" s="281" t="n"/>
      <c r="F559" s="281" t="n"/>
      <c r="G559" s="281" t="n"/>
      <c r="H559" s="218" t="n"/>
    </row>
    <row r="560">
      <c r="A560" s="278" t="n"/>
      <c r="B560" s="279" t="n"/>
      <c r="C560" s="281" t="n"/>
      <c r="D560" s="281" t="n"/>
      <c r="E560" s="281" t="n"/>
      <c r="F560" s="281" t="n"/>
      <c r="G560" s="281" t="n"/>
      <c r="H560" s="218" t="n"/>
    </row>
    <row r="561">
      <c r="A561" s="278" t="n"/>
      <c r="B561" s="279" t="n"/>
      <c r="C561" s="281" t="n"/>
      <c r="D561" s="281" t="n"/>
      <c r="E561" s="281" t="n"/>
      <c r="F561" s="281" t="n"/>
      <c r="G561" s="281" t="n"/>
      <c r="H561" s="218" t="n"/>
    </row>
    <row r="562">
      <c r="A562" s="278" t="n"/>
      <c r="B562" s="279" t="n"/>
      <c r="C562" s="281" t="n"/>
      <c r="D562" s="281" t="n"/>
      <c r="E562" s="281" t="n"/>
      <c r="F562" s="281" t="n"/>
      <c r="G562" s="281" t="n"/>
      <c r="H562" s="218" t="n"/>
    </row>
    <row r="563">
      <c r="A563" s="278" t="n"/>
      <c r="B563" s="279" t="n"/>
      <c r="C563" s="281" t="n"/>
      <c r="D563" s="281" t="n"/>
      <c r="E563" s="281" t="n"/>
      <c r="F563" s="281" t="n"/>
      <c r="G563" s="281" t="n"/>
      <c r="H563" s="218" t="n"/>
    </row>
    <row r="564">
      <c r="A564" s="278" t="n"/>
      <c r="B564" s="279" t="n"/>
      <c r="C564" s="281" t="n"/>
      <c r="D564" s="281" t="n"/>
      <c r="E564" s="281" t="n"/>
      <c r="F564" s="281" t="n"/>
      <c r="G564" s="281" t="n"/>
      <c r="H564" s="218" t="n"/>
    </row>
    <row r="565">
      <c r="A565" s="278" t="n"/>
      <c r="B565" s="279" t="n"/>
      <c r="C565" s="281" t="n"/>
      <c r="D565" s="281" t="n"/>
      <c r="E565" s="281" t="n"/>
      <c r="F565" s="281" t="n"/>
      <c r="G565" s="281" t="n"/>
      <c r="H565" s="218" t="n"/>
    </row>
    <row r="566">
      <c r="A566" s="278" t="n"/>
      <c r="B566" s="279" t="n"/>
      <c r="C566" s="281" t="n"/>
      <c r="D566" s="281" t="n"/>
      <c r="E566" s="281" t="n"/>
      <c r="F566" s="281" t="n"/>
      <c r="G566" s="281" t="n"/>
      <c r="H566" s="218" t="n"/>
    </row>
    <row r="567">
      <c r="A567" s="278" t="n"/>
      <c r="B567" s="279" t="n"/>
      <c r="C567" s="281" t="n"/>
      <c r="D567" s="281" t="n"/>
      <c r="E567" s="281" t="n"/>
      <c r="F567" s="281" t="n"/>
      <c r="G567" s="281" t="n"/>
      <c r="H567" s="218" t="n"/>
    </row>
    <row r="568">
      <c r="A568" s="278" t="n"/>
      <c r="B568" s="279" t="n"/>
      <c r="C568" s="281" t="n"/>
      <c r="D568" s="281" t="n"/>
      <c r="E568" s="281" t="n"/>
      <c r="F568" s="281" t="n"/>
      <c r="G568" s="281" t="n"/>
      <c r="H568" s="218" t="n"/>
    </row>
    <row r="569">
      <c r="A569" s="278" t="n"/>
      <c r="B569" s="279" t="n"/>
      <c r="C569" s="281" t="n"/>
      <c r="D569" s="281" t="n"/>
      <c r="E569" s="281" t="n"/>
      <c r="F569" s="281" t="n"/>
      <c r="G569" s="281" t="n"/>
      <c r="H569" s="218" t="n"/>
    </row>
    <row r="570">
      <c r="A570" s="278" t="n"/>
      <c r="B570" s="279" t="n"/>
      <c r="C570" s="281" t="n"/>
      <c r="D570" s="281" t="n"/>
      <c r="E570" s="281" t="n"/>
      <c r="F570" s="281" t="n"/>
      <c r="G570" s="281" t="n"/>
      <c r="H570" s="218" t="n"/>
    </row>
    <row r="571">
      <c r="A571" s="278" t="n"/>
      <c r="B571" s="279" t="n"/>
      <c r="C571" s="281" t="n"/>
      <c r="D571" s="281" t="n"/>
      <c r="E571" s="281" t="n"/>
      <c r="F571" s="281" t="n"/>
      <c r="G571" s="281" t="n"/>
      <c r="H571" s="218" t="n"/>
    </row>
    <row r="572">
      <c r="A572" s="278" t="n"/>
      <c r="B572" s="279" t="n"/>
      <c r="C572" s="281" t="n"/>
      <c r="D572" s="281" t="n"/>
      <c r="E572" s="281" t="n"/>
      <c r="F572" s="281" t="n"/>
      <c r="G572" s="281" t="n"/>
      <c r="H572" s="218" t="n"/>
    </row>
    <row r="573">
      <c r="A573" s="278" t="n"/>
      <c r="B573" s="279" t="n"/>
      <c r="C573" s="281" t="n"/>
      <c r="D573" s="281" t="n"/>
      <c r="E573" s="281" t="n"/>
      <c r="F573" s="281" t="n"/>
      <c r="G573" s="281" t="n"/>
      <c r="H573" s="218" t="n"/>
    </row>
    <row r="574">
      <c r="A574" s="278" t="n"/>
      <c r="B574" s="279" t="n"/>
      <c r="C574" s="281" t="n"/>
      <c r="D574" s="281" t="n"/>
      <c r="E574" s="281" t="n"/>
      <c r="F574" s="281" t="n"/>
      <c r="G574" s="281" t="n"/>
      <c r="H574" s="218" t="n"/>
    </row>
    <row r="575">
      <c r="A575" s="278" t="n"/>
      <c r="B575" s="279" t="n"/>
      <c r="C575" s="281" t="n"/>
      <c r="D575" s="281" t="n"/>
      <c r="E575" s="281" t="n"/>
      <c r="F575" s="281" t="n"/>
      <c r="G575" s="281" t="n"/>
      <c r="H575" s="218" t="n"/>
    </row>
    <row r="576">
      <c r="A576" s="278" t="n"/>
      <c r="B576" s="279" t="n"/>
      <c r="C576" s="281" t="n"/>
      <c r="D576" s="281" t="n"/>
      <c r="E576" s="281" t="n"/>
      <c r="F576" s="281" t="n"/>
      <c r="G576" s="281" t="n"/>
      <c r="H576" s="218" t="n"/>
    </row>
    <row r="577">
      <c r="A577" s="278" t="n"/>
      <c r="B577" s="279" t="n"/>
      <c r="C577" s="281" t="n"/>
      <c r="D577" s="281" t="n"/>
      <c r="E577" s="281" t="n"/>
      <c r="F577" s="281" t="n"/>
      <c r="G577" s="281" t="n"/>
      <c r="H577" s="218" t="n"/>
    </row>
    <row r="578">
      <c r="A578" s="278" t="n"/>
      <c r="B578" s="279" t="n"/>
      <c r="C578" s="281" t="n"/>
      <c r="D578" s="281" t="n"/>
      <c r="E578" s="281" t="n"/>
      <c r="F578" s="281" t="n"/>
      <c r="G578" s="281" t="n"/>
      <c r="H578" s="218" t="n"/>
    </row>
    <row r="579">
      <c r="A579" s="278" t="n"/>
      <c r="B579" s="279" t="n"/>
      <c r="C579" s="281" t="n"/>
      <c r="D579" s="281" t="n"/>
      <c r="E579" s="281" t="n"/>
      <c r="F579" s="281" t="n"/>
      <c r="G579" s="281" t="n"/>
      <c r="H579" s="218" t="n"/>
    </row>
    <row r="580">
      <c r="A580" s="278" t="n"/>
      <c r="B580" s="279" t="n"/>
      <c r="C580" s="281" t="n"/>
      <c r="D580" s="281" t="n"/>
      <c r="E580" s="281" t="n"/>
      <c r="F580" s="281" t="n"/>
      <c r="G580" s="281" t="n"/>
      <c r="H580" s="218" t="n"/>
    </row>
    <row r="581">
      <c r="A581" s="278" t="n"/>
      <c r="B581" s="279" t="n"/>
      <c r="C581" s="281" t="n"/>
      <c r="D581" s="281" t="n"/>
      <c r="E581" s="281" t="n"/>
      <c r="F581" s="281" t="n"/>
      <c r="G581" s="281" t="n"/>
      <c r="H581" s="218" t="n"/>
    </row>
    <row r="582">
      <c r="A582" s="278" t="n"/>
      <c r="B582" s="279" t="n"/>
      <c r="C582" s="281" t="n"/>
      <c r="D582" s="281" t="n"/>
      <c r="E582" s="281" t="n"/>
      <c r="F582" s="281" t="n"/>
      <c r="G582" s="281" t="n"/>
      <c r="H582" s="218" t="n"/>
    </row>
    <row r="583">
      <c r="A583" s="278" t="n"/>
      <c r="B583" s="279" t="n"/>
      <c r="C583" s="281" t="n"/>
      <c r="D583" s="281" t="n"/>
      <c r="E583" s="281" t="n"/>
      <c r="F583" s="281" t="n"/>
      <c r="G583" s="281" t="n"/>
      <c r="H583" s="218" t="n"/>
    </row>
    <row r="584">
      <c r="A584" s="278" t="n"/>
      <c r="B584" s="279" t="n"/>
      <c r="C584" s="281" t="n"/>
      <c r="D584" s="281" t="n"/>
      <c r="E584" s="281" t="n"/>
      <c r="F584" s="281" t="n"/>
      <c r="G584" s="281" t="n"/>
      <c r="H584" s="218" t="n"/>
    </row>
    <row r="585">
      <c r="A585" s="278" t="n"/>
      <c r="B585" s="279" t="n"/>
      <c r="C585" s="281" t="n"/>
      <c r="D585" s="281" t="n"/>
      <c r="E585" s="281" t="n"/>
      <c r="F585" s="281" t="n"/>
      <c r="G585" s="281" t="n"/>
      <c r="H585" s="218" t="n"/>
    </row>
    <row r="586">
      <c r="A586" s="278" t="n"/>
      <c r="B586" s="279" t="n"/>
      <c r="C586" s="281" t="n"/>
      <c r="D586" s="281" t="n"/>
      <c r="E586" s="281" t="n"/>
      <c r="F586" s="281" t="n"/>
      <c r="G586" s="281" t="n"/>
      <c r="H586" s="218" t="n"/>
    </row>
    <row r="587">
      <c r="A587" s="278" t="n"/>
      <c r="B587" s="279" t="n"/>
      <c r="C587" s="281" t="n"/>
      <c r="D587" s="281" t="n"/>
      <c r="E587" s="281" t="n"/>
      <c r="F587" s="281" t="n"/>
      <c r="G587" s="281" t="n"/>
      <c r="H587" s="218" t="n"/>
    </row>
    <row r="588">
      <c r="A588" s="278" t="n"/>
      <c r="B588" s="279" t="n"/>
      <c r="C588" s="281" t="n"/>
      <c r="D588" s="281" t="n"/>
      <c r="E588" s="281" t="n"/>
      <c r="F588" s="281" t="n"/>
      <c r="G588" s="281" t="n"/>
      <c r="H588" s="218" t="n"/>
    </row>
    <row r="589">
      <c r="A589" s="278" t="n"/>
      <c r="B589" s="279" t="n"/>
      <c r="C589" s="281" t="n"/>
      <c r="D589" s="281" t="n"/>
      <c r="E589" s="281" t="n"/>
      <c r="F589" s="281" t="n"/>
      <c r="G589" s="281" t="n"/>
      <c r="H589" s="218" t="n"/>
    </row>
    <row r="590">
      <c r="A590" s="278" t="n"/>
      <c r="B590" s="279" t="n"/>
      <c r="C590" s="281" t="n"/>
      <c r="D590" s="281" t="n"/>
      <c r="E590" s="281" t="n"/>
      <c r="F590" s="281" t="n"/>
      <c r="G590" s="281" t="n"/>
      <c r="H590" s="218" t="n"/>
    </row>
    <row r="591">
      <c r="A591" s="278" t="n"/>
      <c r="B591" s="279" t="n"/>
      <c r="C591" s="281" t="n"/>
      <c r="D591" s="281" t="n"/>
      <c r="E591" s="281" t="n"/>
      <c r="F591" s="281" t="n"/>
      <c r="G591" s="281" t="n"/>
      <c r="H591" s="218" t="n"/>
    </row>
    <row r="592">
      <c r="A592" s="278" t="n"/>
      <c r="B592" s="279" t="n"/>
      <c r="C592" s="281" t="n"/>
      <c r="D592" s="281" t="n"/>
      <c r="E592" s="281" t="n"/>
      <c r="F592" s="281" t="n"/>
      <c r="G592" s="281" t="n"/>
      <c r="H592" s="218" t="n"/>
    </row>
    <row r="593">
      <c r="A593" s="278" t="n"/>
      <c r="B593" s="279" t="n"/>
      <c r="C593" s="281" t="n"/>
      <c r="D593" s="281" t="n"/>
      <c r="E593" s="281" t="n"/>
      <c r="F593" s="281" t="n"/>
      <c r="G593" s="281" t="n"/>
      <c r="H593" s="218" t="n"/>
    </row>
    <row r="594">
      <c r="A594" s="278" t="n"/>
      <c r="B594" s="279" t="n"/>
      <c r="C594" s="281" t="n"/>
      <c r="D594" s="281" t="n"/>
      <c r="E594" s="281" t="n"/>
      <c r="F594" s="281" t="n"/>
      <c r="G594" s="281" t="n"/>
      <c r="H594" s="218" t="n"/>
    </row>
    <row r="595">
      <c r="A595" s="278" t="n"/>
      <c r="B595" s="279" t="n"/>
      <c r="C595" s="281" t="n"/>
      <c r="D595" s="281" t="n"/>
      <c r="E595" s="281" t="n"/>
      <c r="F595" s="281" t="n"/>
      <c r="G595" s="281" t="n"/>
      <c r="H595" s="218" t="n"/>
    </row>
    <row r="596">
      <c r="A596" s="278" t="n"/>
      <c r="B596" s="279" t="n"/>
      <c r="C596" s="281" t="n"/>
      <c r="D596" s="281" t="n"/>
      <c r="E596" s="281" t="n"/>
      <c r="F596" s="281" t="n"/>
      <c r="G596" s="281" t="n"/>
      <c r="H596" s="218" t="n"/>
    </row>
    <row r="597">
      <c r="A597" s="278" t="n"/>
      <c r="B597" s="279" t="n"/>
      <c r="C597" s="281" t="n"/>
      <c r="D597" s="281" t="n"/>
      <c r="E597" s="281" t="n"/>
      <c r="F597" s="281" t="n"/>
      <c r="G597" s="281" t="n"/>
      <c r="H597" s="218" t="n"/>
    </row>
    <row r="598">
      <c r="A598" s="278" t="n"/>
      <c r="B598" s="279" t="n"/>
      <c r="C598" s="281" t="n"/>
      <c r="D598" s="281" t="n"/>
      <c r="E598" s="281" t="n"/>
      <c r="F598" s="281" t="n"/>
      <c r="G598" s="281" t="n"/>
      <c r="H598" s="218" t="n"/>
    </row>
    <row r="599">
      <c r="A599" s="278" t="n"/>
      <c r="B599" s="279" t="n"/>
      <c r="C599" s="281" t="n"/>
      <c r="D599" s="281" t="n"/>
      <c r="E599" s="281" t="n"/>
      <c r="F599" s="281" t="n"/>
      <c r="G599" s="281" t="n"/>
      <c r="H599" s="218" t="n"/>
    </row>
    <row r="600">
      <c r="A600" s="278" t="n"/>
      <c r="B600" s="279" t="n"/>
      <c r="C600" s="281" t="n"/>
      <c r="D600" s="281" t="n"/>
      <c r="E600" s="281" t="n"/>
      <c r="F600" s="281" t="n"/>
      <c r="G600" s="281" t="n"/>
      <c r="H600" s="218" t="n"/>
    </row>
    <row r="601">
      <c r="A601" s="278" t="n"/>
      <c r="B601" s="279" t="n"/>
      <c r="C601" s="281" t="n"/>
      <c r="D601" s="281" t="n"/>
      <c r="E601" s="281" t="n"/>
      <c r="F601" s="281" t="n"/>
      <c r="G601" s="281" t="n"/>
      <c r="H601" s="218" t="n"/>
    </row>
    <row r="602">
      <c r="A602" s="278" t="n"/>
      <c r="B602" s="279" t="n"/>
      <c r="C602" s="281" t="n"/>
      <c r="D602" s="281" t="n"/>
      <c r="E602" s="281" t="n"/>
      <c r="F602" s="281" t="n"/>
      <c r="G602" s="281" t="n"/>
      <c r="H602" s="218" t="n"/>
    </row>
    <row r="603">
      <c r="A603" s="278" t="n"/>
      <c r="B603" s="279" t="n"/>
      <c r="C603" s="281" t="n"/>
      <c r="D603" s="281" t="n"/>
      <c r="E603" s="281" t="n"/>
      <c r="F603" s="281" t="n"/>
      <c r="G603" s="281" t="n"/>
      <c r="H603" s="218" t="n"/>
    </row>
    <row r="604">
      <c r="A604" s="278" t="n"/>
      <c r="B604" s="279" t="n"/>
      <c r="C604" s="281" t="n"/>
      <c r="D604" s="281" t="n"/>
      <c r="E604" s="281" t="n"/>
      <c r="F604" s="281" t="n"/>
      <c r="G604" s="281" t="n"/>
      <c r="H604" s="218" t="n"/>
    </row>
    <row r="605">
      <c r="A605" s="278" t="n"/>
      <c r="B605" s="279" t="n"/>
      <c r="C605" s="281" t="n"/>
      <c r="D605" s="281" t="n"/>
      <c r="E605" s="281" t="n"/>
      <c r="F605" s="281" t="n"/>
      <c r="G605" s="281" t="n"/>
      <c r="H605" s="218" t="n"/>
    </row>
    <row r="606">
      <c r="A606" s="278" t="n"/>
      <c r="B606" s="279" t="n"/>
      <c r="C606" s="281" t="n"/>
      <c r="D606" s="281" t="n"/>
      <c r="E606" s="281" t="n"/>
      <c r="F606" s="281" t="n"/>
      <c r="G606" s="281" t="n"/>
      <c r="H606" s="218" t="n"/>
    </row>
    <row r="607">
      <c r="A607" s="278" t="n"/>
      <c r="B607" s="279" t="n"/>
      <c r="C607" s="281" t="n"/>
      <c r="D607" s="281" t="n"/>
      <c r="E607" s="281" t="n"/>
      <c r="F607" s="281" t="n"/>
      <c r="G607" s="281" t="n"/>
      <c r="H607" s="218" t="n"/>
    </row>
    <row r="608">
      <c r="A608" s="278" t="n"/>
      <c r="B608" s="279" t="n"/>
      <c r="C608" s="281" t="n"/>
      <c r="D608" s="281" t="n"/>
      <c r="E608" s="281" t="n"/>
      <c r="F608" s="281" t="n"/>
      <c r="G608" s="281" t="n"/>
      <c r="H608" s="218" t="n"/>
    </row>
    <row r="609">
      <c r="A609" s="278" t="n"/>
      <c r="B609" s="279" t="n"/>
      <c r="C609" s="281" t="n"/>
      <c r="D609" s="281" t="n"/>
      <c r="E609" s="281" t="n"/>
      <c r="F609" s="281" t="n"/>
      <c r="G609" s="281" t="n"/>
      <c r="H609" s="218" t="n"/>
    </row>
    <row r="610">
      <c r="A610" s="278" t="n"/>
      <c r="B610" s="279" t="n"/>
      <c r="C610" s="281" t="n"/>
      <c r="D610" s="281" t="n"/>
      <c r="E610" s="281" t="n"/>
      <c r="F610" s="281" t="n"/>
      <c r="G610" s="281" t="n"/>
      <c r="H610" s="218" t="n"/>
    </row>
    <row r="611">
      <c r="A611" s="278" t="n"/>
      <c r="B611" s="279" t="n"/>
      <c r="C611" s="281" t="n"/>
      <c r="D611" s="281" t="n"/>
      <c r="E611" s="281" t="n"/>
      <c r="F611" s="281" t="n"/>
      <c r="G611" s="281" t="n"/>
      <c r="H611" s="218" t="n"/>
    </row>
    <row r="612">
      <c r="A612" s="278" t="n"/>
      <c r="B612" s="279" t="n"/>
      <c r="C612" s="281" t="n"/>
      <c r="D612" s="281" t="n"/>
      <c r="E612" s="281" t="n"/>
      <c r="F612" s="281" t="n"/>
      <c r="G612" s="281" t="n"/>
      <c r="H612" s="218" t="n"/>
    </row>
    <row r="613">
      <c r="A613" s="278" t="n"/>
      <c r="B613" s="279" t="n"/>
      <c r="C613" s="281" t="n"/>
      <c r="D613" s="281" t="n"/>
      <c r="E613" s="281" t="n"/>
      <c r="F613" s="281" t="n"/>
      <c r="G613" s="281" t="n"/>
      <c r="H613" s="218" t="n"/>
    </row>
    <row r="614">
      <c r="A614" s="278" t="n"/>
      <c r="B614" s="279" t="n"/>
      <c r="C614" s="281" t="n"/>
      <c r="D614" s="281" t="n"/>
      <c r="E614" s="281" t="n"/>
      <c r="F614" s="281" t="n"/>
      <c r="G614" s="281" t="n"/>
      <c r="H614" s="218" t="n"/>
    </row>
    <row r="615">
      <c r="A615" s="278" t="n"/>
      <c r="B615" s="279" t="n"/>
      <c r="C615" s="281" t="n"/>
      <c r="D615" s="281" t="n"/>
      <c r="E615" s="281" t="n"/>
      <c r="F615" s="281" t="n"/>
      <c r="G615" s="281" t="n"/>
      <c r="H615" s="218" t="n"/>
    </row>
    <row r="616">
      <c r="A616" s="278" t="n"/>
      <c r="B616" s="279" t="n"/>
      <c r="C616" s="281" t="n"/>
      <c r="D616" s="281" t="n"/>
      <c r="E616" s="281" t="n"/>
      <c r="F616" s="281" t="n"/>
      <c r="G616" s="281" t="n"/>
      <c r="H616" s="218" t="n"/>
    </row>
    <row r="617">
      <c r="A617" s="278" t="n"/>
      <c r="B617" s="279" t="n"/>
      <c r="C617" s="281" t="n"/>
      <c r="D617" s="281" t="n"/>
      <c r="E617" s="281" t="n"/>
      <c r="F617" s="281" t="n"/>
      <c r="G617" s="281" t="n"/>
      <c r="H617" s="218" t="n"/>
    </row>
    <row r="618">
      <c r="A618" s="278" t="n"/>
      <c r="B618" s="279" t="n"/>
      <c r="C618" s="281" t="n"/>
      <c r="D618" s="281" t="n"/>
      <c r="E618" s="281" t="n"/>
      <c r="F618" s="281" t="n"/>
      <c r="G618" s="281" t="n"/>
      <c r="H618" s="218" t="n"/>
    </row>
    <row r="619">
      <c r="A619" s="278" t="n"/>
      <c r="B619" s="279" t="n"/>
      <c r="C619" s="281" t="n"/>
      <c r="D619" s="281" t="n"/>
      <c r="E619" s="281" t="n"/>
      <c r="F619" s="281" t="n"/>
      <c r="G619" s="281" t="n"/>
      <c r="H619" s="218" t="n"/>
    </row>
    <row r="620">
      <c r="A620" s="278" t="n"/>
      <c r="B620" s="279" t="n"/>
      <c r="C620" s="281" t="n"/>
      <c r="D620" s="281" t="n"/>
      <c r="E620" s="281" t="n"/>
      <c r="F620" s="281" t="n"/>
      <c r="G620" s="281" t="n"/>
      <c r="H620" s="218" t="n"/>
    </row>
    <row r="621">
      <c r="A621" s="278" t="n"/>
      <c r="B621" s="279" t="n"/>
      <c r="C621" s="281" t="n"/>
      <c r="D621" s="281" t="n"/>
      <c r="E621" s="281" t="n"/>
      <c r="F621" s="281" t="n"/>
      <c r="G621" s="281" t="n"/>
      <c r="H621" s="218" t="n"/>
    </row>
    <row r="622">
      <c r="A622" s="278" t="n"/>
      <c r="B622" s="279" t="n"/>
      <c r="C622" s="281" t="n"/>
      <c r="D622" s="281" t="n"/>
      <c r="E622" s="281" t="n"/>
      <c r="F622" s="281" t="n"/>
      <c r="G622" s="281" t="n"/>
      <c r="H622" s="218" t="n"/>
    </row>
    <row r="623">
      <c r="A623" s="278" t="n"/>
      <c r="B623" s="279" t="n"/>
      <c r="C623" s="281" t="n"/>
      <c r="D623" s="281" t="n"/>
      <c r="E623" s="281" t="n"/>
      <c r="F623" s="281" t="n"/>
      <c r="G623" s="281" t="n"/>
      <c r="H623" s="218" t="n"/>
    </row>
    <row r="624">
      <c r="A624" s="278" t="n"/>
      <c r="B624" s="279" t="n"/>
      <c r="C624" s="281" t="n"/>
      <c r="D624" s="281" t="n"/>
      <c r="E624" s="281" t="n"/>
      <c r="F624" s="281" t="n"/>
      <c r="G624" s="281" t="n"/>
      <c r="H624" s="218" t="n"/>
    </row>
    <row r="625">
      <c r="A625" s="278" t="n"/>
      <c r="B625" s="279" t="n"/>
      <c r="C625" s="281" t="n"/>
      <c r="D625" s="281" t="n"/>
      <c r="E625" s="281" t="n"/>
      <c r="F625" s="281" t="n"/>
      <c r="G625" s="281" t="n"/>
      <c r="H625" s="218" t="n"/>
    </row>
    <row r="626">
      <c r="A626" s="278" t="n"/>
      <c r="B626" s="279" t="n"/>
      <c r="C626" s="281" t="n"/>
      <c r="D626" s="281" t="n"/>
      <c r="E626" s="281" t="n"/>
      <c r="F626" s="281" t="n"/>
      <c r="G626" s="281" t="n"/>
      <c r="H626" s="218" t="n"/>
    </row>
    <row r="627">
      <c r="A627" s="278" t="n"/>
      <c r="B627" s="279" t="n"/>
      <c r="C627" s="281" t="n"/>
      <c r="D627" s="281" t="n"/>
      <c r="E627" s="281" t="n"/>
      <c r="F627" s="281" t="n"/>
      <c r="G627" s="281" t="n"/>
      <c r="H627" s="218" t="n"/>
    </row>
    <row r="628">
      <c r="A628" s="278" t="n"/>
      <c r="B628" s="279" t="n"/>
      <c r="C628" s="281" t="n"/>
      <c r="D628" s="281" t="n"/>
      <c r="E628" s="281" t="n"/>
      <c r="F628" s="281" t="n"/>
      <c r="G628" s="281" t="n"/>
      <c r="H628" s="218" t="n"/>
    </row>
    <row r="629">
      <c r="A629" s="278" t="n"/>
      <c r="B629" s="279" t="n"/>
      <c r="C629" s="281" t="n"/>
      <c r="D629" s="281" t="n"/>
      <c r="E629" s="281" t="n"/>
      <c r="F629" s="281" t="n"/>
      <c r="G629" s="281" t="n"/>
      <c r="H629" s="218" t="n"/>
    </row>
    <row r="630">
      <c r="A630" s="278" t="n"/>
      <c r="B630" s="279" t="n"/>
      <c r="C630" s="281" t="n"/>
      <c r="D630" s="281" t="n"/>
      <c r="E630" s="281" t="n"/>
      <c r="F630" s="281" t="n"/>
      <c r="G630" s="281" t="n"/>
      <c r="H630" s="218" t="n"/>
    </row>
    <row r="631">
      <c r="A631" s="278" t="n"/>
      <c r="B631" s="279" t="n"/>
      <c r="C631" s="281" t="n"/>
      <c r="D631" s="281" t="n"/>
      <c r="E631" s="281" t="n"/>
      <c r="F631" s="281" t="n"/>
      <c r="G631" s="281" t="n"/>
      <c r="H631" s="218" t="n"/>
    </row>
    <row r="632">
      <c r="A632" s="278" t="n"/>
      <c r="B632" s="279" t="n"/>
      <c r="C632" s="281" t="n"/>
      <c r="D632" s="281" t="n"/>
      <c r="E632" s="281" t="n"/>
      <c r="F632" s="281" t="n"/>
      <c r="G632" s="281" t="n"/>
      <c r="H632" s="218" t="n"/>
    </row>
    <row r="633">
      <c r="A633" s="278" t="n"/>
      <c r="B633" s="279" t="n"/>
      <c r="C633" s="281" t="n"/>
      <c r="D633" s="281" t="n"/>
      <c r="E633" s="281" t="n"/>
      <c r="F633" s="281" t="n"/>
      <c r="G633" s="281" t="n"/>
      <c r="H633" s="218" t="n"/>
    </row>
    <row r="634">
      <c r="A634" s="278" t="n"/>
      <c r="B634" s="279" t="n"/>
      <c r="C634" s="281" t="n"/>
      <c r="D634" s="281" t="n"/>
      <c r="E634" s="281" t="n"/>
      <c r="F634" s="281" t="n"/>
      <c r="G634" s="281" t="n"/>
      <c r="H634" s="218" t="n"/>
    </row>
    <row r="635">
      <c r="A635" s="278" t="n"/>
      <c r="B635" s="279" t="n"/>
      <c r="C635" s="281" t="n"/>
      <c r="D635" s="281" t="n"/>
      <c r="E635" s="281" t="n"/>
      <c r="F635" s="281" t="n"/>
      <c r="G635" s="281" t="n"/>
      <c r="H635" s="218" t="n"/>
    </row>
    <row r="636">
      <c r="A636" s="278" t="n"/>
      <c r="B636" s="279" t="n"/>
      <c r="C636" s="281" t="n"/>
      <c r="D636" s="281" t="n"/>
      <c r="E636" s="281" t="n"/>
      <c r="F636" s="281" t="n"/>
      <c r="G636" s="281" t="n"/>
      <c r="H636" s="218" t="n"/>
    </row>
    <row r="637">
      <c r="A637" s="278" t="n"/>
      <c r="B637" s="279" t="n"/>
      <c r="C637" s="281" t="n"/>
      <c r="D637" s="281" t="n"/>
      <c r="E637" s="281" t="n"/>
      <c r="F637" s="281" t="n"/>
      <c r="G637" s="281" t="n"/>
      <c r="H637" s="218" t="n"/>
    </row>
    <row r="638">
      <c r="A638" s="278" t="n"/>
      <c r="B638" s="279" t="n"/>
      <c r="C638" s="281" t="n"/>
      <c r="D638" s="281" t="n"/>
      <c r="E638" s="281" t="n"/>
      <c r="F638" s="281" t="n"/>
      <c r="G638" s="281" t="n"/>
      <c r="H638" s="218" t="n"/>
    </row>
    <row r="639">
      <c r="A639" s="278" t="n"/>
      <c r="B639" s="279" t="n"/>
      <c r="C639" s="281" t="n"/>
      <c r="D639" s="281" t="n"/>
      <c r="E639" s="281" t="n"/>
      <c r="F639" s="281" t="n"/>
      <c r="G639" s="281" t="n"/>
      <c r="H639" s="218" t="n"/>
    </row>
    <row r="640">
      <c r="A640" s="278" t="n"/>
      <c r="B640" s="279" t="n"/>
      <c r="C640" s="281" t="n"/>
      <c r="D640" s="281" t="n"/>
      <c r="E640" s="281" t="n"/>
      <c r="F640" s="281" t="n"/>
      <c r="G640" s="281" t="n"/>
      <c r="H640" s="218" t="n"/>
    </row>
    <row r="641">
      <c r="A641" s="278" t="n"/>
      <c r="B641" s="279" t="n"/>
      <c r="C641" s="281" t="n"/>
      <c r="D641" s="281" t="n"/>
      <c r="E641" s="281" t="n"/>
      <c r="F641" s="281" t="n"/>
      <c r="G641" s="281" t="n"/>
      <c r="H641" s="218" t="n"/>
    </row>
    <row r="642">
      <c r="A642" s="278" t="n"/>
      <c r="B642" s="279" t="n"/>
      <c r="C642" s="281" t="n"/>
      <c r="D642" s="281" t="n"/>
      <c r="E642" s="281" t="n"/>
      <c r="F642" s="281" t="n"/>
      <c r="G642" s="281" t="n"/>
      <c r="H642" s="218" t="n"/>
    </row>
    <row r="643">
      <c r="A643" s="278" t="n"/>
      <c r="B643" s="279" t="n"/>
      <c r="C643" s="281" t="n"/>
      <c r="D643" s="281" t="n"/>
      <c r="E643" s="281" t="n"/>
      <c r="F643" s="281" t="n"/>
      <c r="G643" s="281" t="n"/>
      <c r="H643" s="218" t="n"/>
    </row>
    <row r="644">
      <c r="A644" s="278" t="n"/>
      <c r="B644" s="279" t="n"/>
      <c r="C644" s="281" t="n"/>
      <c r="D644" s="281" t="n"/>
      <c r="E644" s="281" t="n"/>
      <c r="F644" s="281" t="n"/>
      <c r="G644" s="281" t="n"/>
      <c r="H644" s="218" t="n"/>
    </row>
    <row r="645">
      <c r="A645" s="278" t="n"/>
      <c r="B645" s="279" t="n"/>
      <c r="C645" s="281" t="n"/>
      <c r="D645" s="281" t="n"/>
      <c r="E645" s="281" t="n"/>
      <c r="F645" s="281" t="n"/>
      <c r="G645" s="281" t="n"/>
      <c r="H645" s="218" t="n"/>
    </row>
    <row r="646">
      <c r="A646" s="278" t="n"/>
      <c r="B646" s="279" t="n"/>
      <c r="C646" s="281" t="n"/>
      <c r="D646" s="281" t="n"/>
      <c r="E646" s="281" t="n"/>
      <c r="F646" s="281" t="n"/>
      <c r="G646" s="281" t="n"/>
      <c r="H646" s="218" t="n"/>
    </row>
    <row r="647">
      <c r="A647" s="278" t="n"/>
      <c r="B647" s="279" t="n"/>
      <c r="C647" s="281" t="n"/>
      <c r="D647" s="281" t="n"/>
      <c r="E647" s="281" t="n"/>
      <c r="F647" s="281" t="n"/>
      <c r="G647" s="281" t="n"/>
      <c r="H647" s="218" t="n"/>
    </row>
    <row r="648">
      <c r="A648" s="278" t="n"/>
      <c r="B648" s="279" t="n"/>
      <c r="C648" s="281" t="n"/>
      <c r="D648" s="281" t="n"/>
      <c r="E648" s="281" t="n"/>
      <c r="F648" s="281" t="n"/>
      <c r="G648" s="281" t="n"/>
      <c r="H648" s="218" t="n"/>
    </row>
    <row r="649">
      <c r="A649" s="278" t="n"/>
      <c r="B649" s="279" t="n"/>
      <c r="C649" s="281" t="n"/>
      <c r="D649" s="281" t="n"/>
      <c r="E649" s="281" t="n"/>
      <c r="F649" s="281" t="n"/>
      <c r="G649" s="281" t="n"/>
      <c r="H649" s="218" t="n"/>
    </row>
    <row r="650">
      <c r="A650" s="278" t="n"/>
      <c r="B650" s="279" t="n"/>
      <c r="C650" s="281" t="n"/>
      <c r="D650" s="281" t="n"/>
      <c r="E650" s="281" t="n"/>
      <c r="F650" s="281" t="n"/>
      <c r="G650" s="281" t="n"/>
      <c r="H650" s="218" t="n"/>
    </row>
    <row r="651">
      <c r="A651" s="278" t="n"/>
      <c r="B651" s="279" t="n"/>
      <c r="C651" s="281" t="n"/>
      <c r="D651" s="281" t="n"/>
      <c r="E651" s="281" t="n"/>
      <c r="F651" s="281" t="n"/>
      <c r="G651" s="281" t="n"/>
      <c r="H651" s="218" t="n"/>
    </row>
    <row r="652">
      <c r="A652" s="278" t="n"/>
      <c r="B652" s="279" t="n"/>
      <c r="C652" s="281" t="n"/>
      <c r="D652" s="281" t="n"/>
      <c r="E652" s="281" t="n"/>
      <c r="F652" s="281" t="n"/>
      <c r="G652" s="281" t="n"/>
      <c r="H652" s="218" t="n"/>
    </row>
    <row r="653">
      <c r="A653" s="278" t="n"/>
      <c r="B653" s="279" t="n"/>
      <c r="C653" s="281" t="n"/>
      <c r="D653" s="281" t="n"/>
      <c r="E653" s="281" t="n"/>
      <c r="F653" s="281" t="n"/>
      <c r="G653" s="281" t="n"/>
      <c r="H653" s="218" t="n"/>
    </row>
    <row r="654">
      <c r="A654" s="278" t="n"/>
      <c r="B654" s="279" t="n"/>
      <c r="C654" s="281" t="n"/>
      <c r="D654" s="281" t="n"/>
      <c r="E654" s="281" t="n"/>
      <c r="F654" s="281" t="n"/>
      <c r="G654" s="281" t="n"/>
      <c r="H654" s="218" t="n"/>
    </row>
    <row r="655">
      <c r="A655" s="278" t="n"/>
      <c r="B655" s="279" t="n"/>
      <c r="C655" s="281" t="n"/>
      <c r="D655" s="281" t="n"/>
      <c r="E655" s="281" t="n"/>
      <c r="F655" s="281" t="n"/>
      <c r="G655" s="281" t="n"/>
      <c r="H655" s="218" t="n"/>
    </row>
    <row r="656">
      <c r="A656" s="278" t="n"/>
      <c r="B656" s="279" t="n"/>
      <c r="C656" s="281" t="n"/>
      <c r="D656" s="281" t="n"/>
      <c r="E656" s="281" t="n"/>
      <c r="F656" s="281" t="n"/>
      <c r="G656" s="281" t="n"/>
      <c r="H656" s="218" t="n"/>
    </row>
    <row r="657">
      <c r="A657" s="278" t="n"/>
      <c r="B657" s="279" t="n"/>
      <c r="C657" s="281" t="n"/>
      <c r="D657" s="281" t="n"/>
      <c r="E657" s="281" t="n"/>
      <c r="F657" s="281" t="n"/>
      <c r="G657" s="281" t="n"/>
      <c r="H657" s="218" t="n"/>
    </row>
    <row r="658">
      <c r="A658" s="278" t="n"/>
      <c r="B658" s="279" t="n"/>
      <c r="C658" s="281" t="n"/>
      <c r="D658" s="281" t="n"/>
      <c r="E658" s="281" t="n"/>
      <c r="F658" s="281" t="n"/>
      <c r="G658" s="281" t="n"/>
      <c r="H658" s="218" t="n"/>
    </row>
    <row r="659">
      <c r="A659" s="278" t="n"/>
      <c r="B659" s="279" t="n"/>
      <c r="C659" s="281" t="n"/>
      <c r="D659" s="281" t="n"/>
      <c r="E659" s="281" t="n"/>
      <c r="F659" s="281" t="n"/>
      <c r="G659" s="281" t="n"/>
      <c r="H659" s="218" t="n"/>
    </row>
    <row r="660">
      <c r="A660" s="278" t="n"/>
      <c r="B660" s="279" t="n"/>
      <c r="C660" s="281" t="n"/>
      <c r="D660" s="281" t="n"/>
      <c r="E660" s="281" t="n"/>
      <c r="F660" s="281" t="n"/>
      <c r="G660" s="281" t="n"/>
      <c r="H660" s="218" t="n"/>
    </row>
    <row r="661">
      <c r="A661" s="278" t="n"/>
      <c r="B661" s="279" t="n"/>
      <c r="C661" s="281" t="n"/>
      <c r="D661" s="281" t="n"/>
      <c r="E661" s="281" t="n"/>
      <c r="F661" s="281" t="n"/>
      <c r="G661" s="281" t="n"/>
      <c r="H661" s="218" t="n"/>
    </row>
    <row r="662">
      <c r="A662" s="278" t="n"/>
      <c r="B662" s="279" t="n"/>
      <c r="C662" s="281" t="n"/>
      <c r="D662" s="281" t="n"/>
      <c r="E662" s="281" t="n"/>
      <c r="F662" s="281" t="n"/>
      <c r="G662" s="281" t="n"/>
      <c r="H662" s="218" t="n"/>
    </row>
    <row r="663">
      <c r="A663" s="278" t="n"/>
      <c r="B663" s="279" t="n"/>
      <c r="C663" s="281" t="n"/>
      <c r="D663" s="281" t="n"/>
      <c r="E663" s="281" t="n"/>
      <c r="F663" s="281" t="n"/>
      <c r="G663" s="281" t="n"/>
      <c r="H663" s="218" t="n"/>
    </row>
    <row r="664">
      <c r="A664" s="278" t="n"/>
      <c r="B664" s="279" t="n"/>
      <c r="C664" s="281" t="n"/>
      <c r="D664" s="281" t="n"/>
      <c r="E664" s="281" t="n"/>
      <c r="F664" s="281" t="n"/>
      <c r="G664" s="281" t="n"/>
      <c r="H664" s="218" t="n"/>
    </row>
    <row r="665">
      <c r="A665" s="278" t="n"/>
      <c r="B665" s="279" t="n"/>
      <c r="C665" s="281" t="n"/>
      <c r="D665" s="281" t="n"/>
      <c r="E665" s="281" t="n"/>
      <c r="F665" s="281" t="n"/>
      <c r="G665" s="281" t="n"/>
      <c r="H665" s="218" t="n"/>
    </row>
    <row r="666">
      <c r="A666" s="278" t="n"/>
      <c r="B666" s="279" t="n"/>
      <c r="C666" s="281" t="n"/>
      <c r="D666" s="281" t="n"/>
      <c r="E666" s="281" t="n"/>
      <c r="F666" s="281" t="n"/>
      <c r="G666" s="281" t="n"/>
      <c r="H666" s="218" t="n"/>
    </row>
    <row r="667">
      <c r="A667" s="278" t="n"/>
      <c r="B667" s="279" t="n"/>
      <c r="C667" s="281" t="n"/>
      <c r="D667" s="281" t="n"/>
      <c r="E667" s="281" t="n"/>
      <c r="F667" s="281" t="n"/>
      <c r="G667" s="281" t="n"/>
      <c r="H667" s="218" t="n"/>
    </row>
    <row r="668">
      <c r="A668" s="278" t="n"/>
      <c r="B668" s="279" t="n"/>
      <c r="C668" s="281" t="n"/>
      <c r="D668" s="281" t="n"/>
      <c r="E668" s="281" t="n"/>
      <c r="F668" s="281" t="n"/>
      <c r="G668" s="281" t="n"/>
      <c r="H668" s="218" t="n"/>
    </row>
    <row r="669">
      <c r="A669" s="278" t="n"/>
      <c r="B669" s="279" t="n"/>
      <c r="C669" s="281" t="n"/>
      <c r="D669" s="281" t="n"/>
      <c r="E669" s="281" t="n"/>
      <c r="F669" s="281" t="n"/>
      <c r="G669" s="281" t="n"/>
      <c r="H669" s="218" t="n"/>
    </row>
    <row r="670">
      <c r="A670" s="278" t="n"/>
      <c r="B670" s="279" t="n"/>
      <c r="C670" s="281" t="n"/>
      <c r="D670" s="281" t="n"/>
      <c r="E670" s="281" t="n"/>
      <c r="F670" s="281" t="n"/>
      <c r="G670" s="281" t="n"/>
      <c r="H670" s="218" t="n"/>
    </row>
    <row r="671">
      <c r="A671" s="278" t="n"/>
      <c r="B671" s="279" t="n"/>
      <c r="C671" s="281" t="n"/>
      <c r="D671" s="281" t="n"/>
      <c r="E671" s="281" t="n"/>
      <c r="F671" s="281" t="n"/>
      <c r="G671" s="281" t="n"/>
      <c r="H671" s="218" t="n"/>
    </row>
    <row r="672">
      <c r="A672" s="278" t="n"/>
      <c r="B672" s="279" t="n"/>
      <c r="C672" s="281" t="n"/>
      <c r="D672" s="281" t="n"/>
      <c r="E672" s="281" t="n"/>
      <c r="F672" s="281" t="n"/>
      <c r="G672" s="281" t="n"/>
      <c r="H672" s="218" t="n"/>
    </row>
    <row r="673">
      <c r="A673" s="278" t="n"/>
      <c r="B673" s="279" t="n"/>
      <c r="C673" s="281" t="n"/>
      <c r="D673" s="281" t="n"/>
      <c r="E673" s="281" t="n"/>
      <c r="F673" s="281" t="n"/>
      <c r="G673" s="281" t="n"/>
      <c r="H673" s="218" t="n"/>
    </row>
    <row r="674">
      <c r="A674" s="278" t="n"/>
      <c r="B674" s="279" t="n"/>
      <c r="C674" s="281" t="n"/>
      <c r="D674" s="281" t="n"/>
      <c r="E674" s="281" t="n"/>
      <c r="F674" s="281" t="n"/>
      <c r="G674" s="281" t="n"/>
      <c r="H674" s="218" t="n"/>
    </row>
    <row r="675">
      <c r="A675" s="278" t="n"/>
      <c r="B675" s="279" t="n"/>
      <c r="C675" s="281" t="n"/>
      <c r="D675" s="281" t="n"/>
      <c r="E675" s="281" t="n"/>
      <c r="F675" s="281" t="n"/>
      <c r="G675" s="281" t="n"/>
      <c r="H675" s="218" t="n"/>
    </row>
    <row r="676">
      <c r="A676" s="278" t="n"/>
      <c r="B676" s="279" t="n"/>
      <c r="C676" s="281" t="n"/>
      <c r="D676" s="281" t="n"/>
      <c r="E676" s="281" t="n"/>
      <c r="F676" s="281" t="n"/>
      <c r="G676" s="281" t="n"/>
      <c r="H676" s="218" t="n"/>
    </row>
    <row r="677">
      <c r="A677" s="278" t="n"/>
      <c r="B677" s="279" t="n"/>
      <c r="C677" s="281" t="n"/>
      <c r="D677" s="281" t="n"/>
      <c r="E677" s="281" t="n"/>
      <c r="F677" s="281" t="n"/>
      <c r="G677" s="281" t="n"/>
      <c r="H677" s="218" t="n"/>
    </row>
    <row r="678">
      <c r="A678" s="278" t="n"/>
      <c r="B678" s="279" t="n"/>
      <c r="C678" s="281" t="n"/>
      <c r="D678" s="281" t="n"/>
      <c r="E678" s="281" t="n"/>
      <c r="F678" s="281" t="n"/>
      <c r="G678" s="281" t="n"/>
      <c r="H678" s="218" t="n"/>
    </row>
    <row r="679">
      <c r="A679" s="278" t="n"/>
      <c r="B679" s="279" t="n"/>
      <c r="C679" s="281" t="n"/>
      <c r="D679" s="281" t="n"/>
      <c r="E679" s="281" t="n"/>
      <c r="F679" s="281" t="n"/>
      <c r="G679" s="281" t="n"/>
      <c r="H679" s="218" t="n"/>
    </row>
    <row r="680">
      <c r="A680" s="278" t="n"/>
      <c r="B680" s="279" t="n"/>
      <c r="C680" s="281" t="n"/>
      <c r="D680" s="281" t="n"/>
      <c r="E680" s="281" t="n"/>
      <c r="F680" s="281" t="n"/>
      <c r="G680" s="281" t="n"/>
      <c r="H680" s="218" t="n"/>
    </row>
    <row r="681">
      <c r="A681" s="278" t="n"/>
      <c r="B681" s="279" t="n"/>
      <c r="C681" s="281" t="n"/>
      <c r="D681" s="281" t="n"/>
      <c r="E681" s="281" t="n"/>
      <c r="F681" s="281" t="n"/>
      <c r="G681" s="281" t="n"/>
      <c r="H681" s="218" t="n"/>
    </row>
    <row r="682">
      <c r="A682" s="278" t="n"/>
      <c r="B682" s="279" t="n"/>
      <c r="C682" s="281" t="n"/>
      <c r="D682" s="281" t="n"/>
      <c r="E682" s="281" t="n"/>
      <c r="F682" s="281" t="n"/>
      <c r="G682" s="281" t="n"/>
      <c r="H682" s="218" t="n"/>
    </row>
    <row r="683">
      <c r="A683" s="278" t="n"/>
      <c r="B683" s="279" t="n"/>
      <c r="C683" s="281" t="n"/>
      <c r="D683" s="281" t="n"/>
      <c r="E683" s="281" t="n"/>
      <c r="F683" s="281" t="n"/>
      <c r="G683" s="281" t="n"/>
      <c r="H683" s="218" t="n"/>
    </row>
    <row r="684">
      <c r="A684" s="278" t="n"/>
      <c r="B684" s="279" t="n"/>
      <c r="C684" s="281" t="n"/>
      <c r="D684" s="281" t="n"/>
      <c r="E684" s="281" t="n"/>
      <c r="F684" s="281" t="n"/>
      <c r="G684" s="281" t="n"/>
      <c r="H684" s="218" t="n"/>
    </row>
    <row r="685">
      <c r="A685" s="278" t="n"/>
      <c r="B685" s="279" t="n"/>
      <c r="C685" s="281" t="n"/>
      <c r="D685" s="281" t="n"/>
      <c r="E685" s="281" t="n"/>
      <c r="F685" s="281" t="n"/>
      <c r="G685" s="281" t="n"/>
      <c r="H685" s="218" t="n"/>
    </row>
    <row r="686">
      <c r="A686" s="278" t="n"/>
      <c r="B686" s="279" t="n"/>
      <c r="C686" s="281" t="n"/>
      <c r="D686" s="281" t="n"/>
      <c r="E686" s="281" t="n"/>
      <c r="F686" s="281" t="n"/>
      <c r="G686" s="281" t="n"/>
      <c r="H686" s="218" t="n"/>
    </row>
    <row r="687">
      <c r="A687" s="278" t="n"/>
      <c r="B687" s="279" t="n"/>
      <c r="C687" s="281" t="n"/>
      <c r="D687" s="281" t="n"/>
      <c r="E687" s="281" t="n"/>
      <c r="F687" s="281" t="n"/>
      <c r="G687" s="281" t="n"/>
      <c r="H687" s="218" t="n"/>
    </row>
    <row r="688">
      <c r="A688" s="278" t="n"/>
      <c r="B688" s="279" t="n"/>
      <c r="C688" s="281" t="n"/>
      <c r="D688" s="281" t="n"/>
      <c r="E688" s="281" t="n"/>
      <c r="F688" s="281" t="n"/>
      <c r="G688" s="281" t="n"/>
      <c r="H688" s="218" t="n"/>
    </row>
    <row r="689">
      <c r="A689" s="278" t="n"/>
      <c r="B689" s="279" t="n"/>
      <c r="C689" s="281" t="n"/>
      <c r="D689" s="281" t="n"/>
      <c r="E689" s="281" t="n"/>
      <c r="F689" s="281" t="n"/>
      <c r="G689" s="281" t="n"/>
      <c r="H689" s="218" t="n"/>
    </row>
    <row r="690">
      <c r="A690" s="278" t="n"/>
      <c r="B690" s="279" t="n"/>
      <c r="C690" s="281" t="n"/>
      <c r="D690" s="281" t="n"/>
      <c r="E690" s="281" t="n"/>
      <c r="F690" s="281" t="n"/>
      <c r="G690" s="281" t="n"/>
      <c r="H690" s="218" t="n"/>
    </row>
    <row r="691">
      <c r="A691" s="278" t="n"/>
      <c r="B691" s="279" t="n"/>
      <c r="C691" s="281" t="n"/>
      <c r="D691" s="281" t="n"/>
      <c r="E691" s="281" t="n"/>
      <c r="F691" s="281" t="n"/>
      <c r="G691" s="281" t="n"/>
      <c r="H691" s="218" t="n"/>
    </row>
    <row r="692">
      <c r="A692" s="278" t="n"/>
      <c r="B692" s="279" t="n"/>
      <c r="C692" s="281" t="n"/>
      <c r="D692" s="281" t="n"/>
      <c r="E692" s="281" t="n"/>
      <c r="F692" s="281" t="n"/>
      <c r="G692" s="281" t="n"/>
      <c r="H692" s="218" t="n"/>
    </row>
    <row r="693">
      <c r="A693" s="278" t="n"/>
      <c r="B693" s="279" t="n"/>
      <c r="C693" s="281" t="n"/>
      <c r="D693" s="281" t="n"/>
      <c r="E693" s="281" t="n"/>
      <c r="F693" s="281" t="n"/>
      <c r="G693" s="281" t="n"/>
      <c r="H693" s="218" t="n"/>
    </row>
    <row r="694">
      <c r="A694" s="278" t="n"/>
      <c r="B694" s="279" t="n"/>
      <c r="C694" s="281" t="n"/>
      <c r="D694" s="281" t="n"/>
      <c r="E694" s="281" t="n"/>
      <c r="F694" s="281" t="n"/>
      <c r="G694" s="281" t="n"/>
      <c r="H694" s="218" t="n"/>
    </row>
    <row r="695">
      <c r="A695" s="278" t="n"/>
      <c r="B695" s="279" t="n"/>
      <c r="C695" s="281" t="n"/>
      <c r="D695" s="281" t="n"/>
      <c r="E695" s="281" t="n"/>
      <c r="F695" s="281" t="n"/>
      <c r="G695" s="281" t="n"/>
      <c r="H695" s="218" t="n"/>
    </row>
    <row r="696">
      <c r="A696" s="278" t="n"/>
      <c r="B696" s="279" t="n"/>
      <c r="C696" s="281" t="n"/>
      <c r="D696" s="281" t="n"/>
      <c r="E696" s="281" t="n"/>
      <c r="F696" s="281" t="n"/>
      <c r="G696" s="281" t="n"/>
      <c r="H696" s="218" t="n"/>
    </row>
    <row r="697">
      <c r="A697" s="278" t="n"/>
      <c r="B697" s="279" t="n"/>
      <c r="C697" s="281" t="n"/>
      <c r="D697" s="281" t="n"/>
      <c r="E697" s="281" t="n"/>
      <c r="F697" s="281" t="n"/>
      <c r="G697" s="281" t="n"/>
      <c r="H697" s="218" t="n"/>
    </row>
    <row r="698">
      <c r="A698" s="278" t="n"/>
      <c r="B698" s="279" t="n"/>
      <c r="C698" s="281" t="n"/>
      <c r="D698" s="281" t="n"/>
      <c r="E698" s="281" t="n"/>
      <c r="F698" s="281" t="n"/>
      <c r="G698" s="281" t="n"/>
      <c r="H698" s="218" t="n"/>
    </row>
    <row r="699">
      <c r="A699" s="278" t="n"/>
      <c r="B699" s="279" t="n"/>
      <c r="C699" s="281" t="n"/>
      <c r="D699" s="281" t="n"/>
      <c r="E699" s="281" t="n"/>
      <c r="F699" s="281" t="n"/>
      <c r="G699" s="281" t="n"/>
      <c r="H699" s="218" t="n"/>
    </row>
    <row r="700">
      <c r="A700" s="278" t="n"/>
      <c r="B700" s="279" t="n"/>
      <c r="C700" s="281" t="n"/>
      <c r="D700" s="281" t="n"/>
      <c r="E700" s="281" t="n"/>
      <c r="F700" s="281" t="n"/>
      <c r="G700" s="281" t="n"/>
      <c r="H700" s="218" t="n"/>
    </row>
    <row r="701">
      <c r="A701" s="278" t="n"/>
      <c r="B701" s="279" t="n"/>
      <c r="C701" s="281" t="n"/>
      <c r="D701" s="281" t="n"/>
      <c r="E701" s="281" t="n"/>
      <c r="F701" s="281" t="n"/>
      <c r="G701" s="281" t="n"/>
      <c r="H701" s="218" t="n"/>
    </row>
    <row r="702">
      <c r="A702" s="278" t="n"/>
      <c r="B702" s="279" t="n"/>
      <c r="C702" s="281" t="n"/>
      <c r="D702" s="281" t="n"/>
      <c r="E702" s="281" t="n"/>
      <c r="F702" s="281" t="n"/>
      <c r="G702" s="281" t="n"/>
      <c r="H702" s="218" t="n"/>
    </row>
    <row r="703">
      <c r="A703" s="278" t="n"/>
      <c r="B703" s="279" t="n"/>
      <c r="C703" s="281" t="n"/>
      <c r="D703" s="281" t="n"/>
      <c r="E703" s="281" t="n"/>
      <c r="F703" s="281" t="n"/>
      <c r="G703" s="281" t="n"/>
      <c r="H703" s="218" t="n"/>
    </row>
    <row r="704">
      <c r="A704" s="278" t="n"/>
      <c r="B704" s="279" t="n"/>
      <c r="C704" s="281" t="n"/>
      <c r="D704" s="281" t="n"/>
      <c r="E704" s="281" t="n"/>
      <c r="F704" s="281" t="n"/>
      <c r="G704" s="281" t="n"/>
      <c r="H704" s="218" t="n"/>
    </row>
    <row r="705">
      <c r="A705" s="278" t="n"/>
      <c r="B705" s="279" t="n"/>
      <c r="C705" s="281" t="n"/>
      <c r="D705" s="281" t="n"/>
      <c r="E705" s="281" t="n"/>
      <c r="F705" s="281" t="n"/>
      <c r="G705" s="281" t="n"/>
      <c r="H705" s="218" t="n"/>
    </row>
    <row r="706">
      <c r="A706" s="278" t="n"/>
      <c r="B706" s="279" t="n"/>
      <c r="C706" s="281" t="n"/>
      <c r="D706" s="281" t="n"/>
      <c r="E706" s="281" t="n"/>
      <c r="F706" s="281" t="n"/>
      <c r="G706" s="281" t="n"/>
      <c r="H706" s="218" t="n"/>
    </row>
    <row r="707">
      <c r="A707" s="278" t="n"/>
      <c r="B707" s="279" t="n"/>
      <c r="C707" s="281" t="n"/>
      <c r="D707" s="281" t="n"/>
      <c r="E707" s="281" t="n"/>
      <c r="F707" s="281" t="n"/>
      <c r="G707" s="281" t="n"/>
      <c r="H707" s="218" t="n"/>
    </row>
    <row r="708">
      <c r="A708" s="278" t="n"/>
      <c r="B708" s="279" t="n"/>
      <c r="C708" s="281" t="n"/>
      <c r="D708" s="281" t="n"/>
      <c r="E708" s="281" t="n"/>
      <c r="F708" s="281" t="n"/>
      <c r="G708" s="281" t="n"/>
      <c r="H708" s="218" t="n"/>
    </row>
    <row r="709">
      <c r="A709" s="278" t="n"/>
      <c r="B709" s="279" t="n"/>
      <c r="C709" s="281" t="n"/>
      <c r="D709" s="281" t="n"/>
      <c r="E709" s="281" t="n"/>
      <c r="F709" s="281" t="n"/>
      <c r="G709" s="281" t="n"/>
      <c r="H709" s="218" t="n"/>
    </row>
    <row r="710">
      <c r="A710" s="278" t="n"/>
      <c r="B710" s="279" t="n"/>
      <c r="C710" s="281" t="n"/>
      <c r="D710" s="281" t="n"/>
      <c r="E710" s="281" t="n"/>
      <c r="F710" s="281" t="n"/>
      <c r="G710" s="281" t="n"/>
      <c r="H710" s="218" t="n"/>
    </row>
    <row r="711">
      <c r="A711" s="278" t="n"/>
      <c r="B711" s="279" t="n"/>
      <c r="C711" s="281" t="n"/>
      <c r="D711" s="281" t="n"/>
      <c r="E711" s="281" t="n"/>
      <c r="F711" s="281" t="n"/>
      <c r="G711" s="281" t="n"/>
      <c r="H711" s="218" t="n"/>
    </row>
    <row r="712">
      <c r="A712" s="278" t="n"/>
      <c r="B712" s="279" t="n"/>
      <c r="C712" s="281" t="n"/>
      <c r="D712" s="281" t="n"/>
      <c r="E712" s="281" t="n"/>
      <c r="F712" s="281" t="n"/>
      <c r="G712" s="281" t="n"/>
      <c r="H712" s="218" t="n"/>
    </row>
    <row r="713">
      <c r="A713" s="278" t="n"/>
      <c r="B713" s="279" t="n"/>
      <c r="C713" s="281" t="n"/>
      <c r="D713" s="281" t="n"/>
      <c r="E713" s="281" t="n"/>
      <c r="F713" s="281" t="n"/>
      <c r="G713" s="281" t="n"/>
      <c r="H713" s="218" t="n"/>
    </row>
    <row r="714">
      <c r="A714" s="278" t="n"/>
      <c r="B714" s="279" t="n"/>
      <c r="C714" s="281" t="n"/>
      <c r="D714" s="281" t="n"/>
      <c r="E714" s="281" t="n"/>
      <c r="F714" s="281" t="n"/>
      <c r="G714" s="281" t="n"/>
      <c r="H714" s="218" t="n"/>
    </row>
    <row r="715">
      <c r="A715" s="278" t="n"/>
      <c r="B715" s="279" t="n"/>
      <c r="C715" s="281" t="n"/>
      <c r="D715" s="281" t="n"/>
      <c r="E715" s="281" t="n"/>
      <c r="F715" s="281" t="n"/>
      <c r="G715" s="281" t="n"/>
      <c r="H715" s="218" t="n"/>
    </row>
    <row r="716">
      <c r="A716" s="278" t="n"/>
      <c r="B716" s="279" t="n"/>
      <c r="C716" s="281" t="n"/>
      <c r="D716" s="281" t="n"/>
      <c r="E716" s="281" t="n"/>
      <c r="F716" s="281" t="n"/>
      <c r="G716" s="281" t="n"/>
      <c r="H716" s="218" t="n"/>
    </row>
    <row r="717">
      <c r="A717" s="278" t="n"/>
      <c r="B717" s="279" t="n"/>
      <c r="C717" s="281" t="n"/>
      <c r="D717" s="281" t="n"/>
      <c r="E717" s="281" t="n"/>
      <c r="F717" s="281" t="n"/>
      <c r="G717" s="281" t="n"/>
      <c r="H717" s="218" t="n"/>
    </row>
    <row r="718">
      <c r="A718" s="278" t="n"/>
      <c r="B718" s="279" t="n"/>
      <c r="C718" s="281" t="n"/>
      <c r="D718" s="281" t="n"/>
      <c r="E718" s="281" t="n"/>
      <c r="F718" s="281" t="n"/>
      <c r="G718" s="281" t="n"/>
      <c r="H718" s="218" t="n"/>
    </row>
    <row r="719">
      <c r="A719" s="278" t="n"/>
      <c r="B719" s="279" t="n"/>
      <c r="C719" s="281" t="n"/>
      <c r="D719" s="281" t="n"/>
      <c r="E719" s="281" t="n"/>
      <c r="F719" s="281" t="n"/>
      <c r="G719" s="281" t="n"/>
      <c r="H719" s="218" t="n"/>
    </row>
    <row r="720">
      <c r="A720" s="278" t="n"/>
      <c r="B720" s="279" t="n"/>
      <c r="C720" s="281" t="n"/>
      <c r="D720" s="281" t="n"/>
      <c r="E720" s="281" t="n"/>
      <c r="F720" s="281" t="n"/>
      <c r="G720" s="281" t="n"/>
      <c r="H720" s="218" t="n"/>
    </row>
    <row r="721">
      <c r="A721" s="278" t="n"/>
      <c r="B721" s="279" t="n"/>
      <c r="C721" s="281" t="n"/>
      <c r="D721" s="281" t="n"/>
      <c r="E721" s="281" t="n"/>
      <c r="F721" s="281" t="n"/>
      <c r="G721" s="281" t="n"/>
      <c r="H721" s="218" t="n"/>
    </row>
    <row r="722">
      <c r="A722" s="278" t="n"/>
      <c r="B722" s="279" t="n"/>
      <c r="C722" s="281" t="n"/>
      <c r="D722" s="281" t="n"/>
      <c r="E722" s="281" t="n"/>
      <c r="F722" s="281" t="n"/>
      <c r="G722" s="281" t="n"/>
      <c r="H722" s="218" t="n"/>
    </row>
    <row r="723">
      <c r="A723" s="278" t="n"/>
      <c r="B723" s="279" t="n"/>
      <c r="C723" s="281" t="n"/>
      <c r="D723" s="281" t="n"/>
      <c r="E723" s="281" t="n"/>
      <c r="F723" s="281" t="n"/>
      <c r="G723" s="281" t="n"/>
      <c r="H723" s="218" t="n"/>
    </row>
    <row r="724">
      <c r="A724" s="278" t="n"/>
      <c r="B724" s="279" t="n"/>
      <c r="C724" s="281" t="n"/>
      <c r="D724" s="281" t="n"/>
      <c r="E724" s="281" t="n"/>
      <c r="F724" s="281" t="n"/>
      <c r="G724" s="281" t="n"/>
      <c r="H724" s="218" t="n"/>
    </row>
    <row r="725">
      <c r="A725" s="278" t="n"/>
      <c r="B725" s="279" t="n"/>
      <c r="C725" s="281" t="n"/>
      <c r="D725" s="281" t="n"/>
      <c r="E725" s="281" t="n"/>
      <c r="F725" s="281" t="n"/>
      <c r="G725" s="281" t="n"/>
      <c r="H725" s="218" t="n"/>
    </row>
    <row r="726">
      <c r="A726" s="278" t="n"/>
      <c r="B726" s="279" t="n"/>
      <c r="C726" s="281" t="n"/>
      <c r="D726" s="281" t="n"/>
      <c r="E726" s="281" t="n"/>
      <c r="F726" s="281" t="n"/>
      <c r="G726" s="281" t="n"/>
      <c r="H726" s="218" t="n"/>
    </row>
    <row r="727">
      <c r="A727" s="278" t="n"/>
      <c r="B727" s="279" t="n"/>
      <c r="C727" s="281" t="n"/>
      <c r="D727" s="281" t="n"/>
      <c r="E727" s="281" t="n"/>
      <c r="F727" s="281" t="n"/>
      <c r="G727" s="281" t="n"/>
      <c r="H727" s="218" t="n"/>
    </row>
    <row r="728">
      <c r="A728" s="278" t="n"/>
      <c r="B728" s="279" t="n"/>
      <c r="C728" s="281" t="n"/>
      <c r="D728" s="281" t="n"/>
      <c r="E728" s="281" t="n"/>
      <c r="F728" s="281" t="n"/>
      <c r="G728" s="281" t="n"/>
      <c r="H728" s="218" t="n"/>
    </row>
    <row r="729">
      <c r="A729" s="278" t="n"/>
      <c r="B729" s="279" t="n"/>
      <c r="C729" s="281" t="n"/>
      <c r="D729" s="281" t="n"/>
      <c r="E729" s="281" t="n"/>
      <c r="F729" s="281" t="n"/>
      <c r="G729" s="281" t="n"/>
      <c r="H729" s="218" t="n"/>
    </row>
    <row r="730">
      <c r="A730" s="278" t="n"/>
      <c r="B730" s="279" t="n"/>
      <c r="C730" s="281" t="n"/>
      <c r="D730" s="281" t="n"/>
      <c r="E730" s="281" t="n"/>
      <c r="F730" s="281" t="n"/>
      <c r="G730" s="281" t="n"/>
      <c r="H730" s="218" t="n"/>
    </row>
    <row r="731">
      <c r="A731" s="278" t="n"/>
      <c r="B731" s="279" t="n"/>
      <c r="C731" s="281" t="n"/>
      <c r="D731" s="281" t="n"/>
      <c r="E731" s="281" t="n"/>
      <c r="F731" s="281" t="n"/>
      <c r="G731" s="281" t="n"/>
      <c r="H731" s="218" t="n"/>
    </row>
    <row r="732">
      <c r="A732" s="278" t="n"/>
      <c r="B732" s="279" t="n"/>
      <c r="C732" s="281" t="n"/>
      <c r="D732" s="281" t="n"/>
      <c r="E732" s="281" t="n"/>
      <c r="F732" s="281" t="n"/>
      <c r="G732" s="281" t="n"/>
      <c r="H732" s="218" t="n"/>
    </row>
    <row r="733">
      <c r="A733" s="278" t="n"/>
      <c r="B733" s="279" t="n"/>
      <c r="C733" s="281" t="n"/>
      <c r="D733" s="281" t="n"/>
      <c r="E733" s="281" t="n"/>
      <c r="F733" s="281" t="n"/>
      <c r="G733" s="281" t="n"/>
      <c r="H733" s="218" t="n"/>
    </row>
    <row r="734">
      <c r="A734" s="278" t="n"/>
      <c r="B734" s="279" t="n"/>
      <c r="C734" s="281" t="n"/>
      <c r="D734" s="281" t="n"/>
      <c r="E734" s="281" t="n"/>
      <c r="F734" s="281" t="n"/>
      <c r="G734" s="281" t="n"/>
      <c r="H734" s="218" t="n"/>
    </row>
    <row r="735">
      <c r="A735" s="278" t="n"/>
      <c r="B735" s="279" t="n"/>
      <c r="C735" s="281" t="n"/>
      <c r="D735" s="281" t="n"/>
      <c r="E735" s="281" t="n"/>
      <c r="F735" s="281" t="n"/>
      <c r="G735" s="281" t="n"/>
      <c r="H735" s="218" t="n"/>
    </row>
    <row r="736">
      <c r="A736" s="278" t="n"/>
      <c r="B736" s="279" t="n"/>
      <c r="C736" s="281" t="n"/>
      <c r="D736" s="281" t="n"/>
      <c r="E736" s="281" t="n"/>
      <c r="F736" s="281" t="n"/>
      <c r="G736" s="281" t="n"/>
      <c r="H736" s="218" t="n"/>
    </row>
    <row r="737">
      <c r="A737" s="278" t="n"/>
      <c r="B737" s="279" t="n"/>
      <c r="C737" s="281" t="n"/>
      <c r="D737" s="281" t="n"/>
      <c r="E737" s="281" t="n"/>
      <c r="F737" s="281" t="n"/>
      <c r="G737" s="281" t="n"/>
      <c r="H737" s="218" t="n"/>
    </row>
    <row r="738">
      <c r="A738" s="278" t="n"/>
      <c r="B738" s="279" t="n"/>
      <c r="C738" s="281" t="n"/>
      <c r="D738" s="281" t="n"/>
      <c r="E738" s="281" t="n"/>
      <c r="F738" s="281" t="n"/>
      <c r="G738" s="281" t="n"/>
      <c r="H738" s="218" t="n"/>
    </row>
    <row r="739">
      <c r="A739" s="278" t="n"/>
      <c r="B739" s="279" t="n"/>
      <c r="C739" s="281" t="n"/>
      <c r="D739" s="281" t="n"/>
      <c r="E739" s="281" t="n"/>
      <c r="F739" s="281" t="n"/>
      <c r="G739" s="281" t="n"/>
      <c r="H739" s="218" t="n"/>
    </row>
    <row r="740">
      <c r="A740" s="278" t="n"/>
      <c r="B740" s="279" t="n"/>
      <c r="C740" s="281" t="n"/>
      <c r="D740" s="281" t="n"/>
      <c r="E740" s="281" t="n"/>
      <c r="F740" s="281" t="n"/>
      <c r="G740" s="281" t="n"/>
      <c r="H740" s="218" t="n"/>
    </row>
    <row r="741">
      <c r="A741" s="278" t="n"/>
      <c r="B741" s="279" t="n"/>
      <c r="C741" s="281" t="n"/>
      <c r="D741" s="281" t="n"/>
      <c r="E741" s="281" t="n"/>
      <c r="F741" s="281" t="n"/>
      <c r="G741" s="281" t="n"/>
      <c r="H741" s="218" t="n"/>
    </row>
    <row r="742">
      <c r="A742" s="278" t="n"/>
      <c r="B742" s="279" t="n"/>
      <c r="C742" s="281" t="n"/>
      <c r="D742" s="281" t="n"/>
      <c r="E742" s="281" t="n"/>
      <c r="F742" s="281" t="n"/>
      <c r="G742" s="281" t="n"/>
      <c r="H742" s="218" t="n"/>
    </row>
    <row r="743">
      <c r="A743" s="278" t="n"/>
      <c r="B743" s="279" t="n"/>
      <c r="C743" s="281" t="n"/>
      <c r="D743" s="281" t="n"/>
      <c r="E743" s="281" t="n"/>
      <c r="F743" s="281" t="n"/>
      <c r="G743" s="281" t="n"/>
      <c r="H743" s="218" t="n"/>
    </row>
    <row r="744">
      <c r="A744" s="278" t="n"/>
      <c r="B744" s="279" t="n"/>
      <c r="C744" s="281" t="n"/>
      <c r="D744" s="281" t="n"/>
      <c r="E744" s="281" t="n"/>
      <c r="F744" s="281" t="n"/>
      <c r="G744" s="281" t="n"/>
      <c r="H744" s="218" t="n"/>
    </row>
    <row r="745">
      <c r="A745" s="278" t="n"/>
      <c r="B745" s="279" t="n"/>
      <c r="C745" s="281" t="n"/>
      <c r="D745" s="281" t="n"/>
      <c r="E745" s="281" t="n"/>
      <c r="F745" s="281" t="n"/>
      <c r="G745" s="281" t="n"/>
      <c r="H745" s="218" t="n"/>
    </row>
    <row r="746">
      <c r="A746" s="278" t="n"/>
      <c r="B746" s="279" t="n"/>
      <c r="C746" s="281" t="n"/>
      <c r="D746" s="281" t="n"/>
      <c r="E746" s="281" t="n"/>
      <c r="F746" s="281" t="n"/>
      <c r="G746" s="281" t="n"/>
      <c r="H746" s="218" t="n"/>
    </row>
    <row r="747">
      <c r="A747" s="278" t="n"/>
      <c r="B747" s="279" t="n"/>
      <c r="C747" s="281" t="n"/>
      <c r="D747" s="281" t="n"/>
      <c r="E747" s="281" t="n"/>
      <c r="F747" s="281" t="n"/>
      <c r="G747" s="281" t="n"/>
      <c r="H747" s="218" t="n"/>
    </row>
    <row r="748">
      <c r="A748" s="278" t="n"/>
      <c r="B748" s="279" t="n"/>
      <c r="C748" s="281" t="n"/>
      <c r="D748" s="281" t="n"/>
      <c r="E748" s="281" t="n"/>
      <c r="F748" s="281" t="n"/>
      <c r="G748" s="281" t="n"/>
      <c r="H748" s="218" t="n"/>
    </row>
    <row r="749">
      <c r="A749" s="278" t="n"/>
      <c r="B749" s="279" t="n"/>
      <c r="C749" s="281" t="n"/>
      <c r="D749" s="281" t="n"/>
      <c r="E749" s="281" t="n"/>
      <c r="F749" s="281" t="n"/>
      <c r="G749" s="281" t="n"/>
      <c r="H749" s="218" t="n"/>
    </row>
    <row r="750">
      <c r="A750" s="278" t="n"/>
      <c r="B750" s="279" t="n"/>
      <c r="C750" s="281" t="n"/>
      <c r="D750" s="281" t="n"/>
      <c r="E750" s="281" t="n"/>
      <c r="F750" s="281" t="n"/>
      <c r="G750" s="281" t="n"/>
      <c r="H750" s="218" t="n"/>
    </row>
    <row r="751">
      <c r="A751" s="278" t="n"/>
      <c r="B751" s="279" t="n"/>
      <c r="C751" s="281" t="n"/>
      <c r="D751" s="281" t="n"/>
      <c r="E751" s="281" t="n"/>
      <c r="F751" s="281" t="n"/>
      <c r="G751" s="281" t="n"/>
      <c r="H751" s="218" t="n"/>
    </row>
    <row r="752">
      <c r="A752" s="278" t="n"/>
      <c r="B752" s="279" t="n"/>
      <c r="C752" s="281" t="n"/>
      <c r="D752" s="281" t="n"/>
      <c r="E752" s="281" t="n"/>
      <c r="F752" s="281" t="n"/>
      <c r="G752" s="281" t="n"/>
      <c r="H752" s="218" t="n"/>
    </row>
    <row r="753">
      <c r="A753" s="278" t="n"/>
      <c r="B753" s="279" t="n"/>
      <c r="C753" s="281" t="n"/>
      <c r="D753" s="281" t="n"/>
      <c r="E753" s="281" t="n"/>
      <c r="F753" s="281" t="n"/>
      <c r="G753" s="281" t="n"/>
      <c r="H753" s="218" t="n"/>
    </row>
    <row r="754">
      <c r="A754" s="278" t="n"/>
      <c r="B754" s="279" t="n"/>
      <c r="C754" s="281" t="n"/>
      <c r="D754" s="281" t="n"/>
      <c r="E754" s="281" t="n"/>
      <c r="F754" s="281" t="n"/>
      <c r="G754" s="281" t="n"/>
      <c r="H754" s="218" t="n"/>
    </row>
    <row r="755">
      <c r="A755" s="278" t="n"/>
      <c r="B755" s="279" t="n"/>
      <c r="C755" s="281" t="n"/>
      <c r="D755" s="281" t="n"/>
      <c r="E755" s="281" t="n"/>
      <c r="F755" s="281" t="n"/>
      <c r="G755" s="281" t="n"/>
      <c r="H755" s="218" t="n"/>
    </row>
    <row r="756">
      <c r="A756" s="278" t="n"/>
      <c r="B756" s="279" t="n"/>
      <c r="C756" s="281" t="n"/>
      <c r="D756" s="281" t="n"/>
      <c r="E756" s="281" t="n"/>
      <c r="F756" s="281" t="n"/>
      <c r="G756" s="281" t="n"/>
      <c r="H756" s="218" t="n"/>
    </row>
    <row r="757">
      <c r="A757" s="278" t="n"/>
      <c r="B757" s="279" t="n"/>
      <c r="C757" s="281" t="n"/>
      <c r="D757" s="281" t="n"/>
      <c r="E757" s="281" t="n"/>
      <c r="F757" s="281" t="n"/>
      <c r="G757" s="281" t="n"/>
      <c r="H757" s="218" t="n"/>
    </row>
    <row r="758">
      <c r="A758" s="278" t="n"/>
      <c r="B758" s="279" t="n"/>
      <c r="C758" s="281" t="n"/>
      <c r="D758" s="281" t="n"/>
      <c r="E758" s="281" t="n"/>
      <c r="F758" s="281" t="n"/>
      <c r="G758" s="281" t="n"/>
      <c r="H758" s="218" t="n"/>
    </row>
    <row r="759">
      <c r="A759" s="278" t="n"/>
      <c r="B759" s="279" t="n"/>
      <c r="C759" s="281" t="n"/>
      <c r="D759" s="281" t="n"/>
      <c r="E759" s="281" t="n"/>
      <c r="F759" s="281" t="n"/>
      <c r="G759" s="281" t="n"/>
      <c r="H759" s="218" t="n"/>
    </row>
    <row r="760">
      <c r="A760" s="278" t="n"/>
      <c r="B760" s="279" t="n"/>
      <c r="C760" s="281" t="n"/>
      <c r="D760" s="281" t="n"/>
      <c r="E760" s="281" t="n"/>
      <c r="F760" s="281" t="n"/>
      <c r="G760" s="281" t="n"/>
      <c r="H760" s="218" t="n"/>
    </row>
    <row r="761">
      <c r="A761" s="278" t="n"/>
      <c r="B761" s="279" t="n"/>
      <c r="C761" s="281" t="n"/>
      <c r="D761" s="281" t="n"/>
      <c r="E761" s="281" t="n"/>
      <c r="F761" s="281" t="n"/>
      <c r="G761" s="281" t="n"/>
      <c r="H761" s="218" t="n"/>
    </row>
    <row r="762">
      <c r="A762" s="278" t="n"/>
      <c r="B762" s="279" t="n"/>
      <c r="C762" s="281" t="n"/>
      <c r="D762" s="281" t="n"/>
      <c r="E762" s="281" t="n"/>
      <c r="F762" s="281" t="n"/>
      <c r="G762" s="281" t="n"/>
      <c r="H762" s="218" t="n"/>
    </row>
    <row r="763">
      <c r="A763" s="278" t="n"/>
      <c r="B763" s="279" t="n"/>
      <c r="C763" s="281" t="n"/>
      <c r="D763" s="281" t="n"/>
      <c r="E763" s="281" t="n"/>
      <c r="F763" s="281" t="n"/>
      <c r="G763" s="281" t="n"/>
      <c r="H763" s="218" t="n"/>
    </row>
    <row r="764">
      <c r="A764" s="278" t="n"/>
      <c r="B764" s="279" t="n"/>
      <c r="C764" s="281" t="n"/>
      <c r="D764" s="281" t="n"/>
      <c r="E764" s="281" t="n"/>
      <c r="F764" s="281" t="n"/>
      <c r="G764" s="281" t="n"/>
      <c r="H764" s="218" t="n"/>
    </row>
    <row r="765">
      <c r="A765" s="278" t="n"/>
      <c r="B765" s="279" t="n"/>
      <c r="C765" s="281" t="n"/>
      <c r="D765" s="281" t="n"/>
      <c r="E765" s="281" t="n"/>
      <c r="F765" s="281" t="n"/>
      <c r="G765" s="281" t="n"/>
      <c r="H765" s="218" t="n"/>
    </row>
    <row r="766">
      <c r="A766" s="278" t="n"/>
      <c r="B766" s="279" t="n"/>
      <c r="C766" s="281" t="n"/>
      <c r="D766" s="281" t="n"/>
      <c r="E766" s="281" t="n"/>
      <c r="F766" s="281" t="n"/>
      <c r="G766" s="281" t="n"/>
      <c r="H766" s="218" t="n"/>
    </row>
    <row r="767">
      <c r="A767" s="278" t="n"/>
      <c r="B767" s="279" t="n"/>
      <c r="C767" s="281" t="n"/>
      <c r="D767" s="281" t="n"/>
      <c r="E767" s="281" t="n"/>
      <c r="F767" s="281" t="n"/>
      <c r="G767" s="281" t="n"/>
      <c r="H767" s="218" t="n"/>
    </row>
    <row r="768">
      <c r="A768" s="278" t="n"/>
      <c r="B768" s="279" t="n"/>
      <c r="C768" s="281" t="n"/>
      <c r="D768" s="281" t="n"/>
      <c r="E768" s="281" t="n"/>
      <c r="F768" s="281" t="n"/>
      <c r="G768" s="281" t="n"/>
      <c r="H768" s="218" t="n"/>
    </row>
    <row r="769">
      <c r="A769" s="278" t="n"/>
      <c r="B769" s="279" t="n"/>
      <c r="C769" s="281" t="n"/>
      <c r="D769" s="281" t="n"/>
      <c r="E769" s="281" t="n"/>
      <c r="F769" s="281" t="n"/>
      <c r="G769" s="281" t="n"/>
      <c r="H769" s="218" t="n"/>
    </row>
    <row r="770">
      <c r="A770" s="278" t="n"/>
      <c r="B770" s="279" t="n"/>
      <c r="C770" s="281" t="n"/>
      <c r="D770" s="281" t="n"/>
      <c r="E770" s="281" t="n"/>
      <c r="F770" s="281" t="n"/>
      <c r="G770" s="281" t="n"/>
      <c r="H770" s="218" t="n"/>
    </row>
    <row r="771">
      <c r="A771" s="278" t="n"/>
      <c r="B771" s="279" t="n"/>
      <c r="C771" s="281" t="n"/>
      <c r="D771" s="281" t="n"/>
      <c r="E771" s="281" t="n"/>
      <c r="F771" s="281" t="n"/>
      <c r="G771" s="281" t="n"/>
      <c r="H771" s="218" t="n"/>
    </row>
    <row r="772">
      <c r="A772" s="278" t="n"/>
      <c r="B772" s="279" t="n"/>
      <c r="C772" s="281" t="n"/>
      <c r="D772" s="281" t="n"/>
      <c r="E772" s="281" t="n"/>
      <c r="F772" s="281" t="n"/>
      <c r="G772" s="281" t="n"/>
      <c r="H772" s="218" t="n"/>
    </row>
    <row r="773">
      <c r="A773" s="278" t="n"/>
      <c r="B773" s="279" t="n"/>
      <c r="C773" s="281" t="n"/>
      <c r="D773" s="281" t="n"/>
      <c r="E773" s="281" t="n"/>
      <c r="F773" s="281" t="n"/>
      <c r="G773" s="281" t="n"/>
      <c r="H773" s="218" t="n"/>
    </row>
    <row r="774">
      <c r="A774" s="278" t="n"/>
      <c r="B774" s="279" t="n"/>
      <c r="C774" s="281" t="n"/>
      <c r="D774" s="281" t="n"/>
      <c r="E774" s="281" t="n"/>
      <c r="F774" s="281" t="n"/>
      <c r="G774" s="281" t="n"/>
      <c r="H774" s="218" t="n"/>
    </row>
    <row r="775">
      <c r="A775" s="278" t="n"/>
      <c r="B775" s="279" t="n"/>
      <c r="C775" s="281" t="n"/>
      <c r="D775" s="281" t="n"/>
      <c r="E775" s="281" t="n"/>
      <c r="F775" s="281" t="n"/>
      <c r="G775" s="281" t="n"/>
      <c r="H775" s="218" t="n"/>
    </row>
    <row r="776">
      <c r="A776" s="278" t="n"/>
      <c r="B776" s="279" t="n"/>
      <c r="C776" s="281" t="n"/>
      <c r="D776" s="281" t="n"/>
      <c r="E776" s="281" t="n"/>
      <c r="F776" s="281" t="n"/>
      <c r="G776" s="281" t="n"/>
      <c r="H776" s="218" t="n"/>
    </row>
    <row r="777">
      <c r="A777" s="278" t="n"/>
      <c r="B777" s="279" t="n"/>
      <c r="C777" s="281" t="n"/>
      <c r="D777" s="281" t="n"/>
      <c r="E777" s="281" t="n"/>
      <c r="F777" s="281" t="n"/>
      <c r="G777" s="281" t="n"/>
      <c r="H777" s="218" t="n"/>
    </row>
    <row r="778">
      <c r="A778" s="278" t="n"/>
      <c r="B778" s="279" t="n"/>
      <c r="C778" s="281" t="n"/>
      <c r="D778" s="281" t="n"/>
      <c r="E778" s="281" t="n"/>
      <c r="F778" s="281" t="n"/>
      <c r="G778" s="281" t="n"/>
      <c r="H778" s="218" t="n"/>
    </row>
    <row r="779">
      <c r="A779" s="278" t="n"/>
      <c r="B779" s="279" t="n"/>
      <c r="C779" s="281" t="n"/>
      <c r="D779" s="281" t="n"/>
      <c r="E779" s="281" t="n"/>
      <c r="F779" s="281" t="n"/>
      <c r="G779" s="281" t="n"/>
      <c r="H779" s="218" t="n"/>
    </row>
    <row r="780">
      <c r="A780" s="278" t="n"/>
      <c r="B780" s="279" t="n"/>
      <c r="C780" s="281" t="n"/>
      <c r="D780" s="281" t="n"/>
      <c r="E780" s="281" t="n"/>
      <c r="F780" s="281" t="n"/>
      <c r="G780" s="281" t="n"/>
      <c r="H780" s="218" t="n"/>
    </row>
    <row r="781">
      <c r="A781" s="278" t="n"/>
      <c r="B781" s="279" t="n"/>
      <c r="C781" s="281" t="n"/>
      <c r="D781" s="281" t="n"/>
      <c r="E781" s="281" t="n"/>
      <c r="F781" s="281" t="n"/>
      <c r="G781" s="281" t="n"/>
      <c r="H781" s="218" t="n"/>
    </row>
    <row r="782">
      <c r="A782" s="278" t="n"/>
      <c r="B782" s="279" t="n"/>
      <c r="C782" s="281" t="n"/>
      <c r="D782" s="281" t="n"/>
      <c r="E782" s="281" t="n"/>
      <c r="F782" s="281" t="n"/>
      <c r="G782" s="281" t="n"/>
      <c r="H782" s="218" t="n"/>
    </row>
    <row r="783">
      <c r="A783" s="278" t="n"/>
      <c r="B783" s="279" t="n"/>
      <c r="C783" s="281" t="n"/>
      <c r="D783" s="281" t="n"/>
      <c r="E783" s="281" t="n"/>
      <c r="F783" s="281" t="n"/>
      <c r="G783" s="281" t="n"/>
      <c r="H783" s="218" t="n"/>
    </row>
    <row r="784">
      <c r="A784" s="278" t="n"/>
      <c r="B784" s="279" t="n"/>
      <c r="C784" s="281" t="n"/>
      <c r="D784" s="281" t="n"/>
      <c r="E784" s="281" t="n"/>
      <c r="F784" s="281" t="n"/>
      <c r="G784" s="281" t="n"/>
      <c r="H784" s="218" t="n"/>
    </row>
    <row r="785">
      <c r="A785" s="278" t="n"/>
      <c r="B785" s="279" t="n"/>
      <c r="C785" s="281" t="n"/>
      <c r="D785" s="281" t="n"/>
      <c r="E785" s="281" t="n"/>
      <c r="F785" s="281" t="n"/>
      <c r="G785" s="281" t="n"/>
      <c r="H785" s="218" t="n"/>
    </row>
    <row r="786">
      <c r="A786" s="278" t="n"/>
      <c r="B786" s="279" t="n"/>
      <c r="C786" s="281" t="n"/>
      <c r="D786" s="281" t="n"/>
      <c r="E786" s="281" t="n"/>
      <c r="F786" s="281" t="n"/>
      <c r="G786" s="281" t="n"/>
      <c r="H786" s="218" t="n"/>
    </row>
    <row r="787">
      <c r="A787" s="278" t="n"/>
      <c r="B787" s="279" t="n"/>
      <c r="C787" s="281" t="n"/>
      <c r="D787" s="281" t="n"/>
      <c r="E787" s="281" t="n"/>
      <c r="F787" s="281" t="n"/>
      <c r="G787" s="281" t="n"/>
      <c r="H787" s="218" t="n"/>
    </row>
    <row r="788">
      <c r="A788" s="278" t="n"/>
      <c r="B788" s="279" t="n"/>
      <c r="C788" s="281" t="n"/>
      <c r="D788" s="281" t="n"/>
      <c r="E788" s="281" t="n"/>
      <c r="F788" s="281" t="n"/>
      <c r="G788" s="281" t="n"/>
      <c r="H788" s="218" t="n"/>
    </row>
    <row r="789">
      <c r="A789" s="278" t="n"/>
      <c r="B789" s="279" t="n"/>
      <c r="C789" s="281" t="n"/>
      <c r="D789" s="281" t="n"/>
      <c r="E789" s="281" t="n"/>
      <c r="F789" s="281" t="n"/>
      <c r="G789" s="281" t="n"/>
      <c r="H789" s="218" t="n"/>
    </row>
    <row r="790">
      <c r="A790" s="278" t="n"/>
      <c r="B790" s="279" t="n"/>
      <c r="C790" s="281" t="n"/>
      <c r="D790" s="281" t="n"/>
      <c r="E790" s="281" t="n"/>
      <c r="F790" s="281" t="n"/>
      <c r="G790" s="281" t="n"/>
      <c r="H790" s="218" t="n"/>
    </row>
    <row r="791">
      <c r="A791" s="278" t="n"/>
      <c r="B791" s="279" t="n"/>
      <c r="C791" s="281" t="n"/>
      <c r="D791" s="281" t="n"/>
      <c r="E791" s="281" t="n"/>
      <c r="F791" s="281" t="n"/>
      <c r="G791" s="281" t="n"/>
      <c r="H791" s="218" t="n"/>
    </row>
    <row r="792">
      <c r="A792" s="278" t="n"/>
      <c r="B792" s="279" t="n"/>
      <c r="C792" s="281" t="n"/>
      <c r="D792" s="281" t="n"/>
      <c r="E792" s="281" t="n"/>
      <c r="F792" s="281" t="n"/>
      <c r="G792" s="281" t="n"/>
      <c r="H792" s="218" t="n"/>
    </row>
    <row r="793">
      <c r="A793" s="278" t="n"/>
      <c r="B793" s="279" t="n"/>
      <c r="C793" s="281" t="n"/>
      <c r="D793" s="281" t="n"/>
      <c r="E793" s="281" t="n"/>
      <c r="F793" s="281" t="n"/>
      <c r="G793" s="281" t="n"/>
      <c r="H793" s="218" t="n"/>
    </row>
    <row r="794">
      <c r="A794" s="278" t="n"/>
      <c r="B794" s="279" t="n"/>
      <c r="C794" s="281" t="n"/>
      <c r="D794" s="281" t="n"/>
      <c r="E794" s="281" t="n"/>
      <c r="F794" s="281" t="n"/>
      <c r="G794" s="281" t="n"/>
      <c r="H794" s="218" t="n"/>
    </row>
    <row r="795">
      <c r="A795" s="278" t="n"/>
      <c r="B795" s="279" t="n"/>
      <c r="C795" s="281" t="n"/>
      <c r="D795" s="281" t="n"/>
      <c r="E795" s="281" t="n"/>
      <c r="F795" s="281" t="n"/>
      <c r="G795" s="281" t="n"/>
      <c r="H795" s="218" t="n"/>
    </row>
    <row r="796">
      <c r="A796" s="278" t="n"/>
      <c r="B796" s="279" t="n"/>
      <c r="C796" s="281" t="n"/>
      <c r="D796" s="281" t="n"/>
      <c r="E796" s="281" t="n"/>
      <c r="F796" s="281" t="n"/>
      <c r="G796" s="281" t="n"/>
      <c r="H796" s="218" t="n"/>
    </row>
    <row r="797">
      <c r="A797" s="278" t="n"/>
      <c r="B797" s="279" t="n"/>
      <c r="C797" s="281" t="n"/>
      <c r="D797" s="281" t="n"/>
      <c r="E797" s="281" t="n"/>
      <c r="F797" s="281" t="n"/>
      <c r="G797" s="281" t="n"/>
      <c r="H797" s="218" t="n"/>
    </row>
    <row r="798">
      <c r="A798" s="278" t="n"/>
      <c r="B798" s="279" t="n"/>
      <c r="C798" s="281" t="n"/>
      <c r="D798" s="281" t="n"/>
      <c r="E798" s="281" t="n"/>
      <c r="F798" s="281" t="n"/>
      <c r="G798" s="281" t="n"/>
      <c r="H798" s="218" t="n"/>
    </row>
    <row r="799">
      <c r="A799" s="278" t="n"/>
      <c r="B799" s="279" t="n"/>
      <c r="C799" s="281" t="n"/>
      <c r="D799" s="281" t="n"/>
      <c r="E799" s="281" t="n"/>
      <c r="F799" s="281" t="n"/>
      <c r="G799" s="281" t="n"/>
      <c r="H799" s="218" t="n"/>
    </row>
    <row r="800">
      <c r="A800" s="278" t="n"/>
      <c r="B800" s="279" t="n"/>
      <c r="C800" s="281" t="n"/>
      <c r="D800" s="281" t="n"/>
      <c r="E800" s="281" t="n"/>
      <c r="F800" s="281" t="n"/>
      <c r="G800" s="281" t="n"/>
      <c r="H800" s="218" t="n"/>
    </row>
    <row r="801">
      <c r="A801" s="278" t="n"/>
      <c r="B801" s="279" t="n"/>
      <c r="C801" s="281" t="n"/>
      <c r="D801" s="281" t="n"/>
      <c r="E801" s="281" t="n"/>
      <c r="F801" s="281" t="n"/>
      <c r="G801" s="281" t="n"/>
      <c r="H801" s="218" t="n"/>
    </row>
    <row r="802">
      <c r="A802" s="278" t="n"/>
      <c r="B802" s="279" t="n"/>
      <c r="C802" s="281" t="n"/>
      <c r="D802" s="281" t="n"/>
      <c r="E802" s="281" t="n"/>
      <c r="F802" s="281" t="n"/>
      <c r="G802" s="281" t="n"/>
      <c r="H802" s="218" t="n"/>
    </row>
    <row r="803">
      <c r="A803" s="278" t="n"/>
      <c r="B803" s="279" t="n"/>
      <c r="C803" s="281" t="n"/>
      <c r="D803" s="281" t="n"/>
      <c r="E803" s="281" t="n"/>
      <c r="F803" s="281" t="n"/>
      <c r="G803" s="281" t="n"/>
      <c r="H803" s="218" t="n"/>
    </row>
    <row r="804">
      <c r="A804" s="278" t="n"/>
      <c r="B804" s="279" t="n"/>
      <c r="C804" s="281" t="n"/>
      <c r="D804" s="281" t="n"/>
      <c r="E804" s="281" t="n"/>
      <c r="F804" s="281" t="n"/>
      <c r="G804" s="281" t="n"/>
      <c r="H804" s="218" t="n"/>
    </row>
    <row r="805">
      <c r="A805" s="278" t="n"/>
      <c r="B805" s="279" t="n"/>
      <c r="C805" s="281" t="n"/>
      <c r="D805" s="281" t="n"/>
      <c r="E805" s="281" t="n"/>
      <c r="F805" s="281" t="n"/>
      <c r="G805" s="281" t="n"/>
      <c r="H805" s="218" t="n"/>
    </row>
    <row r="806">
      <c r="A806" s="278" t="n"/>
      <c r="B806" s="279" t="n"/>
      <c r="C806" s="281" t="n"/>
      <c r="D806" s="281" t="n"/>
      <c r="E806" s="281" t="n"/>
      <c r="F806" s="281" t="n"/>
      <c r="G806" s="281" t="n"/>
      <c r="H806" s="218" t="n"/>
    </row>
    <row r="807">
      <c r="A807" s="278" t="n"/>
      <c r="B807" s="279" t="n"/>
      <c r="C807" s="281" t="n"/>
      <c r="D807" s="281" t="n"/>
      <c r="E807" s="281" t="n"/>
      <c r="F807" s="281" t="n"/>
      <c r="G807" s="281" t="n"/>
      <c r="H807" s="218" t="n"/>
    </row>
    <row r="808">
      <c r="A808" s="278" t="n"/>
      <c r="B808" s="279" t="n"/>
      <c r="C808" s="281" t="n"/>
      <c r="D808" s="281" t="n"/>
      <c r="E808" s="281" t="n"/>
      <c r="F808" s="281" t="n"/>
      <c r="G808" s="281" t="n"/>
      <c r="H808" s="218" t="n"/>
    </row>
    <row r="809">
      <c r="A809" s="278" t="n"/>
      <c r="B809" s="279" t="n"/>
      <c r="C809" s="281" t="n"/>
      <c r="D809" s="281" t="n"/>
      <c r="E809" s="281" t="n"/>
      <c r="F809" s="281" t="n"/>
      <c r="G809" s="281" t="n"/>
      <c r="H809" s="218" t="n"/>
    </row>
    <row r="810">
      <c r="A810" s="278" t="n"/>
      <c r="B810" s="279" t="n"/>
      <c r="C810" s="281" t="n"/>
      <c r="D810" s="281" t="n"/>
      <c r="E810" s="281" t="n"/>
      <c r="F810" s="281" t="n"/>
      <c r="G810" s="281" t="n"/>
      <c r="H810" s="218" t="n"/>
    </row>
    <row r="811">
      <c r="A811" s="278" t="n"/>
      <c r="B811" s="279" t="n"/>
      <c r="C811" s="281" t="n"/>
      <c r="D811" s="281" t="n"/>
      <c r="E811" s="281" t="n"/>
      <c r="F811" s="281" t="n"/>
      <c r="G811" s="281" t="n"/>
      <c r="H811" s="218" t="n"/>
    </row>
    <row r="812">
      <c r="A812" s="278" t="n"/>
      <c r="B812" s="279" t="n"/>
      <c r="C812" s="281" t="n"/>
      <c r="D812" s="281" t="n"/>
      <c r="E812" s="281" t="n"/>
      <c r="F812" s="281" t="n"/>
      <c r="G812" s="281" t="n"/>
      <c r="H812" s="218" t="n"/>
    </row>
    <row r="813">
      <c r="A813" s="278" t="n"/>
      <c r="B813" s="279" t="n"/>
      <c r="C813" s="281" t="n"/>
      <c r="D813" s="281" t="n"/>
      <c r="E813" s="281" t="n"/>
      <c r="F813" s="281" t="n"/>
      <c r="G813" s="281" t="n"/>
      <c r="H813" s="218" t="n"/>
    </row>
    <row r="814">
      <c r="A814" s="278" t="n"/>
      <c r="B814" s="279" t="n"/>
      <c r="C814" s="281" t="n"/>
      <c r="D814" s="281" t="n"/>
      <c r="E814" s="281" t="n"/>
      <c r="F814" s="281" t="n"/>
      <c r="G814" s="281" t="n"/>
      <c r="H814" s="218" t="n"/>
    </row>
    <row r="815">
      <c r="A815" s="278" t="n"/>
      <c r="B815" s="279" t="n"/>
      <c r="C815" s="281" t="n"/>
      <c r="D815" s="281" t="n"/>
      <c r="E815" s="281" t="n"/>
      <c r="F815" s="281" t="n"/>
      <c r="G815" s="281" t="n"/>
      <c r="H815" s="218" t="n"/>
    </row>
    <row r="816">
      <c r="A816" s="278" t="n"/>
      <c r="B816" s="279" t="n"/>
      <c r="C816" s="281" t="n"/>
      <c r="D816" s="281" t="n"/>
      <c r="E816" s="281" t="n"/>
      <c r="F816" s="281" t="n"/>
      <c r="G816" s="281" t="n"/>
      <c r="H816" s="218" t="n"/>
    </row>
    <row r="817">
      <c r="A817" s="278" t="n"/>
      <c r="B817" s="279" t="n"/>
      <c r="C817" s="281" t="n"/>
      <c r="D817" s="281" t="n"/>
      <c r="E817" s="281" t="n"/>
      <c r="F817" s="281" t="n"/>
      <c r="G817" s="281" t="n"/>
      <c r="H817" s="218" t="n"/>
    </row>
    <row r="818">
      <c r="A818" s="278" t="n"/>
      <c r="B818" s="279" t="n"/>
      <c r="C818" s="281" t="n"/>
      <c r="D818" s="281" t="n"/>
      <c r="E818" s="281" t="n"/>
      <c r="F818" s="281" t="n"/>
      <c r="G818" s="281" t="n"/>
      <c r="H818" s="218" t="n"/>
    </row>
    <row r="819">
      <c r="A819" s="278" t="n"/>
      <c r="B819" s="279" t="n"/>
      <c r="C819" s="281" t="n"/>
      <c r="D819" s="281" t="n"/>
      <c r="E819" s="281" t="n"/>
      <c r="F819" s="281" t="n"/>
      <c r="G819" s="281" t="n"/>
      <c r="H819" s="218" t="n"/>
    </row>
    <row r="820">
      <c r="A820" s="278" t="n"/>
      <c r="B820" s="279" t="n"/>
      <c r="C820" s="281" t="n"/>
      <c r="D820" s="281" t="n"/>
      <c r="E820" s="281" t="n"/>
      <c r="F820" s="281" t="n"/>
      <c r="G820" s="281" t="n"/>
      <c r="H820" s="218" t="n"/>
    </row>
    <row r="821">
      <c r="A821" s="278" t="n"/>
      <c r="B821" s="279" t="n"/>
      <c r="C821" s="281" t="n"/>
      <c r="D821" s="281" t="n"/>
      <c r="E821" s="281" t="n"/>
      <c r="F821" s="281" t="n"/>
      <c r="G821" s="281" t="n"/>
      <c r="H821" s="218" t="n"/>
    </row>
    <row r="822">
      <c r="A822" s="278" t="n"/>
      <c r="B822" s="279" t="n"/>
      <c r="C822" s="281" t="n"/>
      <c r="D822" s="281" t="n"/>
      <c r="E822" s="281" t="n"/>
      <c r="F822" s="281" t="n"/>
      <c r="G822" s="281" t="n"/>
      <c r="H822" s="218" t="n"/>
    </row>
    <row r="823">
      <c r="A823" s="278" t="n"/>
      <c r="B823" s="279" t="n"/>
      <c r="C823" s="281" t="n"/>
      <c r="D823" s="281" t="n"/>
      <c r="E823" s="281" t="n"/>
      <c r="F823" s="281" t="n"/>
      <c r="G823" s="281" t="n"/>
      <c r="H823" s="218" t="n"/>
    </row>
    <row r="824">
      <c r="A824" s="278" t="n"/>
      <c r="B824" s="279" t="n"/>
      <c r="C824" s="281" t="n"/>
      <c r="D824" s="281" t="n"/>
      <c r="E824" s="281" t="n"/>
      <c r="F824" s="281" t="n"/>
      <c r="G824" s="281" t="n"/>
      <c r="H824" s="218" t="n"/>
    </row>
    <row r="825">
      <c r="A825" s="278" t="n"/>
      <c r="B825" s="279" t="n"/>
      <c r="C825" s="281" t="n"/>
      <c r="D825" s="281" t="n"/>
      <c r="E825" s="281" t="n"/>
      <c r="F825" s="281" t="n"/>
      <c r="G825" s="281" t="n"/>
      <c r="H825" s="218" t="n"/>
    </row>
    <row r="826">
      <c r="A826" s="278" t="n"/>
      <c r="B826" s="279" t="n"/>
      <c r="C826" s="281" t="n"/>
      <c r="D826" s="281" t="n"/>
      <c r="E826" s="281" t="n"/>
      <c r="F826" s="281" t="n"/>
      <c r="G826" s="281" t="n"/>
      <c r="H826" s="218" t="n"/>
    </row>
    <row r="827">
      <c r="A827" s="278" t="n"/>
      <c r="B827" s="279" t="n"/>
      <c r="C827" s="281" t="n"/>
      <c r="D827" s="281" t="n"/>
      <c r="E827" s="281" t="n"/>
      <c r="F827" s="281" t="n"/>
      <c r="G827" s="281" t="n"/>
      <c r="H827" s="218" t="n"/>
    </row>
    <row r="828">
      <c r="A828" s="278" t="n"/>
      <c r="B828" s="279" t="n"/>
      <c r="C828" s="281" t="n"/>
      <c r="D828" s="281" t="n"/>
      <c r="E828" s="281" t="n"/>
      <c r="F828" s="281" t="n"/>
      <c r="G828" s="281" t="n"/>
      <c r="H828" s="218" t="n"/>
    </row>
    <row r="829">
      <c r="A829" s="278" t="n"/>
      <c r="B829" s="279" t="n"/>
      <c r="C829" s="281" t="n"/>
      <c r="D829" s="281" t="n"/>
      <c r="E829" s="281" t="n"/>
      <c r="F829" s="281" t="n"/>
      <c r="G829" s="281" t="n"/>
      <c r="H829" s="218" t="n"/>
    </row>
    <row r="830">
      <c r="A830" s="278" t="n"/>
      <c r="B830" s="279" t="n"/>
      <c r="C830" s="281" t="n"/>
      <c r="D830" s="281" t="n"/>
      <c r="E830" s="281" t="n"/>
      <c r="F830" s="281" t="n"/>
      <c r="G830" s="281" t="n"/>
      <c r="H830" s="218" t="n"/>
    </row>
    <row r="831">
      <c r="A831" s="278" t="n"/>
      <c r="B831" s="279" t="n"/>
      <c r="C831" s="281" t="n"/>
      <c r="D831" s="281" t="n"/>
      <c r="E831" s="281" t="n"/>
      <c r="F831" s="281" t="n"/>
      <c r="G831" s="281" t="n"/>
      <c r="H831" s="218" t="n"/>
    </row>
    <row r="832">
      <c r="A832" s="278" t="n"/>
      <c r="B832" s="279" t="n"/>
      <c r="C832" s="281" t="n"/>
      <c r="D832" s="281" t="n"/>
      <c r="E832" s="281" t="n"/>
      <c r="F832" s="281" t="n"/>
      <c r="G832" s="281" t="n"/>
      <c r="H832" s="218" t="n"/>
    </row>
    <row r="833">
      <c r="A833" s="278" t="n"/>
      <c r="B833" s="279" t="n"/>
      <c r="C833" s="281" t="n"/>
      <c r="D833" s="281" t="n"/>
      <c r="E833" s="281" t="n"/>
      <c r="F833" s="281" t="n"/>
      <c r="G833" s="281" t="n"/>
      <c r="H833" s="218" t="n"/>
    </row>
    <row r="834">
      <c r="A834" s="278" t="n"/>
      <c r="B834" s="279" t="n"/>
      <c r="C834" s="281" t="n"/>
      <c r="D834" s="281" t="n"/>
      <c r="E834" s="281" t="n"/>
      <c r="F834" s="281" t="n"/>
      <c r="G834" s="281" t="n"/>
      <c r="H834" s="218" t="n"/>
    </row>
    <row r="835">
      <c r="A835" s="278" t="n"/>
      <c r="B835" s="279" t="n"/>
      <c r="C835" s="281" t="n"/>
      <c r="D835" s="281" t="n"/>
      <c r="E835" s="281" t="n"/>
      <c r="F835" s="281" t="n"/>
      <c r="G835" s="281" t="n"/>
      <c r="H835" s="218" t="n"/>
    </row>
    <row r="836">
      <c r="A836" s="278" t="n"/>
      <c r="B836" s="279" t="n"/>
      <c r="C836" s="281" t="n"/>
      <c r="D836" s="281" t="n"/>
      <c r="E836" s="281" t="n"/>
      <c r="F836" s="281" t="n"/>
      <c r="G836" s="281" t="n"/>
      <c r="H836" s="218" t="n"/>
    </row>
    <row r="837">
      <c r="A837" s="278" t="n"/>
      <c r="B837" s="279" t="n"/>
      <c r="C837" s="281" t="n"/>
      <c r="D837" s="281" t="n"/>
      <c r="E837" s="281" t="n"/>
      <c r="F837" s="281" t="n"/>
      <c r="G837" s="281" t="n"/>
      <c r="H837" s="218" t="n"/>
    </row>
    <row r="838">
      <c r="A838" s="278" t="n"/>
      <c r="B838" s="279" t="n"/>
      <c r="C838" s="281" t="n"/>
      <c r="D838" s="281" t="n"/>
      <c r="E838" s="281" t="n"/>
      <c r="F838" s="281" t="n"/>
      <c r="G838" s="281" t="n"/>
      <c r="H838" s="218" t="n"/>
    </row>
    <row r="839">
      <c r="A839" s="278" t="n"/>
      <c r="B839" s="279" t="n"/>
      <c r="C839" s="281" t="n"/>
      <c r="D839" s="281" t="n"/>
      <c r="E839" s="281" t="n"/>
      <c r="F839" s="281" t="n"/>
      <c r="G839" s="281" t="n"/>
      <c r="H839" s="218" t="n"/>
    </row>
    <row r="840">
      <c r="A840" s="278" t="n"/>
      <c r="B840" s="279" t="n"/>
      <c r="C840" s="281" t="n"/>
      <c r="D840" s="281" t="n"/>
      <c r="E840" s="281" t="n"/>
      <c r="F840" s="281" t="n"/>
      <c r="G840" s="281" t="n"/>
      <c r="H840" s="218" t="n"/>
    </row>
    <row r="841">
      <c r="A841" s="278" t="n"/>
      <c r="B841" s="279" t="n"/>
      <c r="C841" s="281" t="n"/>
      <c r="D841" s="281" t="n"/>
      <c r="E841" s="281" t="n"/>
      <c r="F841" s="281" t="n"/>
      <c r="G841" s="281" t="n"/>
      <c r="H841" s="218" t="n"/>
    </row>
    <row r="842">
      <c r="A842" s="278" t="n"/>
      <c r="B842" s="279" t="n"/>
      <c r="C842" s="281" t="n"/>
      <c r="D842" s="281" t="n"/>
      <c r="E842" s="281" t="n"/>
      <c r="F842" s="281" t="n"/>
      <c r="G842" s="281" t="n"/>
      <c r="H842" s="218" t="n"/>
    </row>
    <row r="843">
      <c r="A843" s="278" t="n"/>
      <c r="B843" s="279" t="n"/>
      <c r="C843" s="281" t="n"/>
      <c r="D843" s="281" t="n"/>
      <c r="E843" s="281" t="n"/>
      <c r="F843" s="281" t="n"/>
      <c r="G843" s="281" t="n"/>
      <c r="H843" s="218" t="n"/>
    </row>
    <row r="844">
      <c r="A844" s="278" t="n"/>
      <c r="B844" s="279" t="n"/>
      <c r="C844" s="281" t="n"/>
      <c r="D844" s="281" t="n"/>
      <c r="E844" s="281" t="n"/>
      <c r="F844" s="281" t="n"/>
      <c r="G844" s="281" t="n"/>
      <c r="H844" s="218" t="n"/>
    </row>
    <row r="845">
      <c r="A845" s="278" t="n"/>
      <c r="B845" s="279" t="n"/>
      <c r="C845" s="281" t="n"/>
      <c r="D845" s="281" t="n"/>
      <c r="E845" s="281" t="n"/>
      <c r="F845" s="281" t="n"/>
      <c r="G845" s="281" t="n"/>
      <c r="H845" s="218" t="n"/>
    </row>
    <row r="846">
      <c r="A846" s="278" t="n"/>
      <c r="B846" s="279" t="n"/>
      <c r="C846" s="281" t="n"/>
      <c r="D846" s="281" t="n"/>
      <c r="E846" s="281" t="n"/>
      <c r="F846" s="281" t="n"/>
      <c r="G846" s="281" t="n"/>
      <c r="H846" s="218" t="n"/>
    </row>
    <row r="847">
      <c r="A847" s="278" t="n"/>
      <c r="B847" s="279" t="n"/>
      <c r="C847" s="281" t="n"/>
      <c r="D847" s="281" t="n"/>
      <c r="E847" s="281" t="n"/>
      <c r="F847" s="281" t="n"/>
      <c r="G847" s="281" t="n"/>
      <c r="H847" s="218" t="n"/>
    </row>
    <row r="848">
      <c r="A848" s="278" t="n"/>
      <c r="B848" s="279" t="n"/>
      <c r="C848" s="281" t="n"/>
      <c r="D848" s="281" t="n"/>
      <c r="E848" s="281" t="n"/>
      <c r="F848" s="281" t="n"/>
      <c r="G848" s="281" t="n"/>
      <c r="H848" s="218" t="n"/>
    </row>
    <row r="849">
      <c r="A849" s="278" t="n"/>
      <c r="B849" s="279" t="n"/>
      <c r="C849" s="281" t="n"/>
      <c r="D849" s="281" t="n"/>
      <c r="E849" s="281" t="n"/>
      <c r="F849" s="281" t="n"/>
      <c r="G849" s="281" t="n"/>
      <c r="H849" s="218" t="n"/>
    </row>
    <row r="850">
      <c r="A850" s="278" t="n"/>
      <c r="B850" s="279" t="n"/>
      <c r="C850" s="281" t="n"/>
      <c r="D850" s="281" t="n"/>
      <c r="E850" s="281" t="n"/>
      <c r="F850" s="281" t="n"/>
      <c r="G850" s="281" t="n"/>
      <c r="H850" s="218" t="n"/>
    </row>
    <row r="851">
      <c r="A851" s="278" t="n"/>
      <c r="B851" s="279" t="n"/>
      <c r="C851" s="281" t="n"/>
      <c r="D851" s="281" t="n"/>
      <c r="E851" s="281" t="n"/>
      <c r="F851" s="281" t="n"/>
      <c r="G851" s="281" t="n"/>
      <c r="H851" s="218" t="n"/>
    </row>
    <row r="852">
      <c r="A852" s="278" t="n"/>
      <c r="B852" s="279" t="n"/>
      <c r="C852" s="281" t="n"/>
      <c r="D852" s="281" t="n"/>
      <c r="E852" s="281" t="n"/>
      <c r="F852" s="281" t="n"/>
      <c r="G852" s="281" t="n"/>
      <c r="H852" s="218" t="n"/>
    </row>
    <row r="853">
      <c r="A853" s="278" t="n"/>
      <c r="B853" s="279" t="n"/>
      <c r="C853" s="281" t="n"/>
      <c r="D853" s="281" t="n"/>
      <c r="E853" s="281" t="n"/>
      <c r="F853" s="281" t="n"/>
      <c r="G853" s="281" t="n"/>
      <c r="H853" s="218" t="n"/>
    </row>
    <row r="854">
      <c r="A854" s="278" t="n"/>
      <c r="B854" s="279" t="n"/>
      <c r="C854" s="281" t="n"/>
      <c r="D854" s="281" t="n"/>
      <c r="E854" s="281" t="n"/>
      <c r="F854" s="281" t="n"/>
      <c r="G854" s="281" t="n"/>
      <c r="H854" s="218" t="n"/>
    </row>
    <row r="855">
      <c r="A855" s="278" t="n"/>
      <c r="B855" s="279" t="n"/>
      <c r="C855" s="281" t="n"/>
      <c r="D855" s="281" t="n"/>
      <c r="E855" s="281" t="n"/>
      <c r="F855" s="281" t="n"/>
      <c r="G855" s="281" t="n"/>
      <c r="H855" s="218" t="n"/>
    </row>
    <row r="856">
      <c r="A856" s="278" t="n"/>
      <c r="B856" s="279" t="n"/>
      <c r="C856" s="281" t="n"/>
      <c r="D856" s="281" t="n"/>
      <c r="E856" s="281" t="n"/>
      <c r="F856" s="281" t="n"/>
      <c r="G856" s="281" t="n"/>
      <c r="H856" s="218" t="n"/>
    </row>
    <row r="857">
      <c r="A857" s="278" t="n"/>
      <c r="B857" s="279" t="n"/>
      <c r="C857" s="281" t="n"/>
      <c r="D857" s="281" t="n"/>
      <c r="E857" s="281" t="n"/>
      <c r="F857" s="281" t="n"/>
      <c r="G857" s="281" t="n"/>
      <c r="H857" s="218" t="n"/>
    </row>
    <row r="858">
      <c r="A858" s="278" t="n"/>
      <c r="B858" s="279" t="n"/>
      <c r="C858" s="281" t="n"/>
      <c r="D858" s="281" t="n"/>
      <c r="E858" s="281" t="n"/>
      <c r="F858" s="281" t="n"/>
      <c r="G858" s="281" t="n"/>
      <c r="H858" s="218" t="n"/>
    </row>
    <row r="859">
      <c r="A859" s="278" t="n"/>
      <c r="B859" s="279" t="n"/>
      <c r="C859" s="281" t="n"/>
      <c r="D859" s="281" t="n"/>
      <c r="E859" s="281" t="n"/>
      <c r="F859" s="281" t="n"/>
      <c r="G859" s="281" t="n"/>
      <c r="H859" s="218" t="n"/>
    </row>
    <row r="860">
      <c r="A860" s="278" t="n"/>
      <c r="B860" s="279" t="n"/>
      <c r="C860" s="281" t="n"/>
      <c r="D860" s="281" t="n"/>
      <c r="E860" s="281" t="n"/>
      <c r="F860" s="281" t="n"/>
      <c r="G860" s="281" t="n"/>
      <c r="H860" s="218" t="n"/>
    </row>
    <row r="861">
      <c r="A861" s="278" t="n"/>
      <c r="B861" s="279" t="n"/>
      <c r="C861" s="281" t="n"/>
      <c r="D861" s="281" t="n"/>
      <c r="E861" s="281" t="n"/>
      <c r="F861" s="281" t="n"/>
      <c r="G861" s="281" t="n"/>
      <c r="H861" s="218" t="n"/>
    </row>
    <row r="862">
      <c r="A862" s="278" t="n"/>
      <c r="B862" s="279" t="n"/>
      <c r="C862" s="281" t="n"/>
      <c r="D862" s="281" t="n"/>
      <c r="E862" s="281" t="n"/>
      <c r="F862" s="281" t="n"/>
      <c r="G862" s="281" t="n"/>
      <c r="H862" s="218" t="n"/>
    </row>
    <row r="863">
      <c r="A863" s="278" t="n"/>
      <c r="B863" s="279" t="n"/>
      <c r="C863" s="281" t="n"/>
      <c r="D863" s="281" t="n"/>
      <c r="E863" s="281" t="n"/>
      <c r="F863" s="281" t="n"/>
      <c r="G863" s="281" t="n"/>
      <c r="H863" s="218" t="n"/>
    </row>
    <row r="864">
      <c r="A864" s="278" t="n"/>
      <c r="B864" s="279" t="n"/>
      <c r="C864" s="281" t="n"/>
      <c r="D864" s="281" t="n"/>
      <c r="E864" s="281" t="n"/>
      <c r="F864" s="281" t="n"/>
      <c r="G864" s="281" t="n"/>
      <c r="H864" s="218" t="n"/>
    </row>
    <row r="865">
      <c r="A865" s="278" t="n"/>
      <c r="B865" s="279" t="n"/>
      <c r="C865" s="281" t="n"/>
      <c r="D865" s="281" t="n"/>
      <c r="E865" s="281" t="n"/>
      <c r="F865" s="281" t="n"/>
      <c r="G865" s="281" t="n"/>
      <c r="H865" s="218" t="n"/>
    </row>
    <row r="866">
      <c r="A866" s="278" t="n"/>
      <c r="B866" s="279" t="n"/>
      <c r="C866" s="281" t="n"/>
      <c r="D866" s="281" t="n"/>
      <c r="E866" s="281" t="n"/>
      <c r="F866" s="281" t="n"/>
      <c r="G866" s="281" t="n"/>
      <c r="H866" s="218" t="n"/>
    </row>
    <row r="867">
      <c r="A867" s="278" t="n"/>
      <c r="B867" s="279" t="n"/>
      <c r="C867" s="281" t="n"/>
      <c r="D867" s="281" t="n"/>
      <c r="E867" s="281" t="n"/>
      <c r="F867" s="281" t="n"/>
      <c r="G867" s="281" t="n"/>
      <c r="H867" s="218" t="n"/>
    </row>
    <row r="868">
      <c r="A868" s="278" t="n"/>
      <c r="B868" s="279" t="n"/>
      <c r="C868" s="281" t="n"/>
      <c r="D868" s="281" t="n"/>
      <c r="E868" s="281" t="n"/>
      <c r="F868" s="281" t="n"/>
      <c r="G868" s="281" t="n"/>
      <c r="H868" s="218" t="n"/>
    </row>
    <row r="869">
      <c r="A869" s="278" t="n"/>
      <c r="B869" s="279" t="n"/>
      <c r="C869" s="281" t="n"/>
      <c r="D869" s="281" t="n"/>
      <c r="E869" s="281" t="n"/>
      <c r="F869" s="281" t="n"/>
      <c r="G869" s="281" t="n"/>
      <c r="H869" s="218" t="n"/>
    </row>
    <row r="870">
      <c r="A870" s="278" t="n"/>
      <c r="B870" s="279" t="n"/>
      <c r="C870" s="281" t="n"/>
      <c r="D870" s="281" t="n"/>
      <c r="E870" s="281" t="n"/>
      <c r="F870" s="281" t="n"/>
      <c r="G870" s="281" t="n"/>
      <c r="H870" s="218" t="n"/>
    </row>
    <row r="871">
      <c r="A871" s="278" t="n"/>
      <c r="B871" s="279" t="n"/>
      <c r="C871" s="281" t="n"/>
      <c r="D871" s="281" t="n"/>
      <c r="E871" s="281" t="n"/>
      <c r="F871" s="281" t="n"/>
      <c r="G871" s="281" t="n"/>
      <c r="H871" s="218" t="n"/>
    </row>
    <row r="872">
      <c r="A872" s="278" t="n"/>
      <c r="B872" s="279" t="n"/>
      <c r="C872" s="281" t="n"/>
      <c r="D872" s="281" t="n"/>
      <c r="E872" s="281" t="n"/>
      <c r="F872" s="281" t="n"/>
      <c r="G872" s="281" t="n"/>
      <c r="H872" s="218" t="n"/>
    </row>
    <row r="873">
      <c r="A873" s="278" t="n"/>
      <c r="B873" s="279" t="n"/>
      <c r="C873" s="281" t="n"/>
      <c r="D873" s="281" t="n"/>
      <c r="E873" s="281" t="n"/>
      <c r="F873" s="281" t="n"/>
      <c r="G873" s="281" t="n"/>
      <c r="H873" s="218" t="n"/>
    </row>
    <row r="874">
      <c r="A874" s="278" t="n"/>
      <c r="B874" s="279" t="n"/>
      <c r="C874" s="281" t="n"/>
      <c r="D874" s="281" t="n"/>
      <c r="E874" s="281" t="n"/>
      <c r="F874" s="281" t="n"/>
      <c r="G874" s="281" t="n"/>
      <c r="H874" s="218" t="n"/>
    </row>
    <row r="875">
      <c r="A875" s="278" t="n"/>
      <c r="B875" s="279" t="n"/>
      <c r="C875" s="281" t="n"/>
      <c r="D875" s="281" t="n"/>
      <c r="E875" s="281" t="n"/>
      <c r="F875" s="281" t="n"/>
      <c r="G875" s="281" t="n"/>
      <c r="H875" s="218" t="n"/>
    </row>
    <row r="876">
      <c r="A876" s="278" t="n"/>
      <c r="B876" s="279" t="n"/>
      <c r="C876" s="281" t="n"/>
      <c r="D876" s="281" t="n"/>
      <c r="E876" s="281" t="n"/>
      <c r="F876" s="281" t="n"/>
      <c r="G876" s="281" t="n"/>
      <c r="H876" s="218" t="n"/>
    </row>
    <row r="877">
      <c r="A877" s="278" t="n"/>
      <c r="B877" s="279" t="n"/>
      <c r="C877" s="281" t="n"/>
      <c r="D877" s="281" t="n"/>
      <c r="E877" s="281" t="n"/>
      <c r="F877" s="281" t="n"/>
      <c r="G877" s="281" t="n"/>
      <c r="H877" s="218" t="n"/>
    </row>
    <row r="878">
      <c r="A878" s="278" t="n"/>
      <c r="B878" s="279" t="n"/>
      <c r="C878" s="281" t="n"/>
      <c r="D878" s="281" t="n"/>
      <c r="E878" s="281" t="n"/>
      <c r="F878" s="281" t="n"/>
      <c r="G878" s="281" t="n"/>
      <c r="H878" s="218" t="n"/>
    </row>
    <row r="879">
      <c r="A879" s="278" t="n"/>
      <c r="B879" s="279" t="n"/>
      <c r="C879" s="281" t="n"/>
      <c r="D879" s="281" t="n"/>
      <c r="E879" s="281" t="n"/>
      <c r="F879" s="281" t="n"/>
      <c r="G879" s="281" t="n"/>
      <c r="H879" s="218" t="n"/>
    </row>
    <row r="880">
      <c r="A880" s="278" t="n"/>
      <c r="B880" s="279" t="n"/>
      <c r="C880" s="281" t="n"/>
      <c r="D880" s="281" t="n"/>
      <c r="E880" s="281" t="n"/>
      <c r="F880" s="281" t="n"/>
      <c r="G880" s="281" t="n"/>
      <c r="H880" s="218" t="n"/>
    </row>
    <row r="881">
      <c r="A881" s="278" t="n"/>
      <c r="B881" s="279" t="n"/>
      <c r="C881" s="281" t="n"/>
      <c r="D881" s="281" t="n"/>
      <c r="E881" s="281" t="n"/>
      <c r="F881" s="281" t="n"/>
      <c r="G881" s="281" t="n"/>
      <c r="H881" s="218" t="n"/>
    </row>
    <row r="882">
      <c r="A882" s="278" t="n"/>
      <c r="B882" s="279" t="n"/>
      <c r="C882" s="281" t="n"/>
      <c r="D882" s="281" t="n"/>
      <c r="E882" s="281" t="n"/>
      <c r="F882" s="281" t="n"/>
      <c r="G882" s="281" t="n"/>
      <c r="H882" s="218" t="n"/>
    </row>
    <row r="883">
      <c r="A883" s="278" t="n"/>
      <c r="B883" s="279" t="n"/>
      <c r="C883" s="281" t="n"/>
      <c r="D883" s="281" t="n"/>
      <c r="E883" s="281" t="n"/>
      <c r="F883" s="281" t="n"/>
      <c r="G883" s="281" t="n"/>
      <c r="H883" s="218" t="n"/>
    </row>
    <row r="884">
      <c r="A884" s="278" t="n"/>
      <c r="B884" s="279" t="n"/>
      <c r="C884" s="281" t="n"/>
      <c r="D884" s="281" t="n"/>
      <c r="E884" s="281" t="n"/>
      <c r="F884" s="281" t="n"/>
      <c r="G884" s="281" t="n"/>
      <c r="H884" s="218" t="n"/>
    </row>
    <row r="885">
      <c r="A885" s="278" t="n"/>
      <c r="B885" s="279" t="n"/>
      <c r="C885" s="281" t="n"/>
      <c r="D885" s="281" t="n"/>
      <c r="E885" s="281" t="n"/>
      <c r="F885" s="281" t="n"/>
      <c r="G885" s="281" t="n"/>
      <c r="H885" s="218" t="n"/>
    </row>
    <row r="886">
      <c r="A886" s="278" t="n"/>
      <c r="B886" s="279" t="n"/>
      <c r="C886" s="281" t="n"/>
      <c r="D886" s="281" t="n"/>
      <c r="E886" s="281" t="n"/>
      <c r="F886" s="281" t="n"/>
      <c r="G886" s="281" t="n"/>
      <c r="H886" s="218" t="n"/>
    </row>
    <row r="887">
      <c r="A887" s="278" t="n"/>
      <c r="B887" s="279" t="n"/>
      <c r="C887" s="281" t="n"/>
      <c r="D887" s="281" t="n"/>
      <c r="E887" s="281" t="n"/>
      <c r="F887" s="281" t="n"/>
      <c r="G887" s="281" t="n"/>
      <c r="H887" s="218" t="n"/>
    </row>
    <row r="888">
      <c r="A888" s="278" t="n"/>
      <c r="B888" s="279" t="n"/>
      <c r="C888" s="281" t="n"/>
      <c r="D888" s="281" t="n"/>
      <c r="E888" s="281" t="n"/>
      <c r="F888" s="281" t="n"/>
      <c r="G888" s="281" t="n"/>
      <c r="H888" s="218" t="n"/>
    </row>
    <row r="889">
      <c r="A889" s="278" t="n"/>
      <c r="B889" s="279" t="n"/>
      <c r="C889" s="281" t="n"/>
      <c r="D889" s="281" t="n"/>
      <c r="E889" s="281" t="n"/>
      <c r="F889" s="281" t="n"/>
      <c r="G889" s="281" t="n"/>
      <c r="H889" s="218" t="n"/>
    </row>
    <row r="890">
      <c r="A890" s="278" t="n"/>
      <c r="B890" s="279" t="n"/>
      <c r="C890" s="281" t="n"/>
      <c r="D890" s="281" t="n"/>
      <c r="E890" s="281" t="n"/>
      <c r="F890" s="281" t="n"/>
      <c r="G890" s="281" t="n"/>
      <c r="H890" s="218" t="n"/>
    </row>
    <row r="891">
      <c r="A891" s="278" t="n"/>
      <c r="B891" s="279" t="n"/>
      <c r="C891" s="281" t="n"/>
      <c r="D891" s="281" t="n"/>
      <c r="E891" s="281" t="n"/>
      <c r="F891" s="281" t="n"/>
      <c r="G891" s="281" t="n"/>
      <c r="H891" s="218" t="n"/>
    </row>
    <row r="892">
      <c r="A892" s="278" t="n"/>
      <c r="B892" s="279" t="n"/>
      <c r="C892" s="281" t="n"/>
      <c r="D892" s="281" t="n"/>
      <c r="E892" s="281" t="n"/>
      <c r="F892" s="281" t="n"/>
      <c r="G892" s="281" t="n"/>
      <c r="H892" s="218" t="n"/>
    </row>
    <row r="893">
      <c r="A893" s="278" t="n"/>
      <c r="B893" s="279" t="n"/>
      <c r="C893" s="281" t="n"/>
      <c r="D893" s="281" t="n"/>
      <c r="E893" s="281" t="n"/>
      <c r="F893" s="281" t="n"/>
      <c r="G893" s="281" t="n"/>
      <c r="H893" s="218" t="n"/>
    </row>
    <row r="894">
      <c r="A894" s="278" t="n"/>
      <c r="B894" s="279" t="n"/>
      <c r="C894" s="281" t="n"/>
      <c r="D894" s="281" t="n"/>
      <c r="E894" s="281" t="n"/>
      <c r="F894" s="281" t="n"/>
      <c r="G894" s="281" t="n"/>
      <c r="H894" s="218" t="n"/>
    </row>
    <row r="895">
      <c r="A895" s="278" t="n"/>
      <c r="B895" s="279" t="n"/>
      <c r="C895" s="281" t="n"/>
      <c r="D895" s="281" t="n"/>
      <c r="E895" s="281" t="n"/>
      <c r="F895" s="281" t="n"/>
      <c r="G895" s="281" t="n"/>
      <c r="H895" s="218" t="n"/>
    </row>
    <row r="896">
      <c r="A896" s="278" t="n"/>
      <c r="B896" s="279" t="n"/>
      <c r="C896" s="281" t="n"/>
      <c r="D896" s="281" t="n"/>
      <c r="E896" s="281" t="n"/>
      <c r="F896" s="281" t="n"/>
      <c r="G896" s="281" t="n"/>
      <c r="H896" s="218" t="n"/>
    </row>
    <row r="897">
      <c r="A897" s="278" t="n"/>
      <c r="B897" s="279" t="n"/>
      <c r="C897" s="281" t="n"/>
      <c r="D897" s="281" t="n"/>
      <c r="E897" s="281" t="n"/>
      <c r="F897" s="281" t="n"/>
      <c r="G897" s="281" t="n"/>
      <c r="H897" s="218" t="n"/>
    </row>
    <row r="898">
      <c r="A898" s="278" t="n"/>
      <c r="B898" s="279" t="n"/>
      <c r="C898" s="281" t="n"/>
      <c r="D898" s="281" t="n"/>
      <c r="E898" s="281" t="n"/>
      <c r="F898" s="281" t="n"/>
      <c r="G898" s="281" t="n"/>
      <c r="H898" s="218" t="n"/>
    </row>
    <row r="899">
      <c r="A899" s="278" t="n"/>
      <c r="B899" s="279" t="n"/>
      <c r="C899" s="281" t="n"/>
      <c r="D899" s="281" t="n"/>
      <c r="E899" s="281" t="n"/>
      <c r="F899" s="281" t="n"/>
      <c r="G899" s="281" t="n"/>
      <c r="H899" s="218" t="n"/>
    </row>
    <row r="900">
      <c r="A900" s="278" t="n"/>
      <c r="B900" s="279" t="n"/>
      <c r="C900" s="281" t="n"/>
      <c r="D900" s="281" t="n"/>
      <c r="E900" s="281" t="n"/>
      <c r="F900" s="281" t="n"/>
      <c r="G900" s="281" t="n"/>
      <c r="H900" s="218" t="n"/>
    </row>
    <row r="901">
      <c r="A901" s="278" t="n"/>
      <c r="B901" s="279" t="n"/>
      <c r="C901" s="281" t="n"/>
      <c r="D901" s="281" t="n"/>
      <c r="E901" s="281" t="n"/>
      <c r="F901" s="281" t="n"/>
      <c r="G901" s="281" t="n"/>
      <c r="H901" s="218" t="n"/>
    </row>
    <row r="902">
      <c r="A902" s="278" t="n"/>
      <c r="B902" s="279" t="n"/>
      <c r="C902" s="281" t="n"/>
      <c r="D902" s="281" t="n"/>
      <c r="E902" s="281" t="n"/>
      <c r="F902" s="281" t="n"/>
      <c r="G902" s="281" t="n"/>
      <c r="H902" s="218" t="n"/>
    </row>
    <row r="903">
      <c r="A903" s="278" t="n"/>
      <c r="B903" s="279" t="n"/>
      <c r="C903" s="281" t="n"/>
      <c r="D903" s="281" t="n"/>
      <c r="E903" s="281" t="n"/>
      <c r="F903" s="281" t="n"/>
      <c r="G903" s="281" t="n"/>
      <c r="H903" s="218" t="n"/>
    </row>
    <row r="904">
      <c r="A904" s="278" t="n"/>
      <c r="B904" s="279" t="n"/>
      <c r="C904" s="281" t="n"/>
      <c r="D904" s="281" t="n"/>
      <c r="E904" s="281" t="n"/>
      <c r="F904" s="281" t="n"/>
      <c r="G904" s="281" t="n"/>
      <c r="H904" s="218" t="n"/>
    </row>
    <row r="905">
      <c r="A905" s="278" t="n"/>
      <c r="B905" s="279" t="n"/>
      <c r="C905" s="281" t="n"/>
      <c r="D905" s="281" t="n"/>
      <c r="E905" s="281" t="n"/>
      <c r="F905" s="281" t="n"/>
      <c r="G905" s="281" t="n"/>
      <c r="H905" s="218" t="n"/>
    </row>
    <row r="906">
      <c r="A906" s="278" t="n"/>
      <c r="B906" s="279" t="n"/>
      <c r="C906" s="281" t="n"/>
      <c r="D906" s="281" t="n"/>
      <c r="E906" s="281" t="n"/>
      <c r="F906" s="281" t="n"/>
      <c r="G906" s="281" t="n"/>
      <c r="H906" s="218" t="n"/>
    </row>
    <row r="907">
      <c r="A907" s="278" t="n"/>
      <c r="B907" s="279" t="n"/>
      <c r="C907" s="281" t="n"/>
      <c r="D907" s="281" t="n"/>
      <c r="E907" s="281" t="n"/>
      <c r="F907" s="281" t="n"/>
      <c r="G907" s="281" t="n"/>
      <c r="H907" s="218" t="n"/>
    </row>
    <row r="908">
      <c r="A908" s="278" t="n"/>
      <c r="B908" s="279" t="n"/>
      <c r="C908" s="281" t="n"/>
      <c r="D908" s="281" t="n"/>
      <c r="E908" s="281" t="n"/>
      <c r="F908" s="281" t="n"/>
      <c r="G908" s="281" t="n"/>
      <c r="H908" s="218" t="n"/>
    </row>
    <row r="909">
      <c r="A909" s="278" t="n"/>
      <c r="B909" s="279" t="n"/>
      <c r="C909" s="281" t="n"/>
      <c r="D909" s="281" t="n"/>
      <c r="E909" s="281" t="n"/>
      <c r="F909" s="281" t="n"/>
      <c r="G909" s="281" t="n"/>
      <c r="H909" s="218" t="n"/>
    </row>
    <row r="910">
      <c r="A910" s="278" t="n"/>
      <c r="B910" s="279" t="n"/>
      <c r="C910" s="281" t="n"/>
      <c r="D910" s="281" t="n"/>
      <c r="E910" s="281" t="n"/>
      <c r="F910" s="281" t="n"/>
      <c r="G910" s="281" t="n"/>
      <c r="H910" s="218" t="n"/>
    </row>
    <row r="911">
      <c r="A911" s="278" t="n"/>
      <c r="B911" s="279" t="n"/>
      <c r="C911" s="281" t="n"/>
      <c r="D911" s="281" t="n"/>
      <c r="E911" s="281" t="n"/>
      <c r="F911" s="281" t="n"/>
      <c r="G911" s="281" t="n"/>
      <c r="H911" s="218" t="n"/>
    </row>
    <row r="912">
      <c r="A912" s="278" t="n"/>
      <c r="B912" s="279" t="n"/>
      <c r="C912" s="281" t="n"/>
      <c r="D912" s="281" t="n"/>
      <c r="E912" s="281" t="n"/>
      <c r="F912" s="281" t="n"/>
      <c r="G912" s="281" t="n"/>
      <c r="H912" s="218" t="n"/>
    </row>
    <row r="913">
      <c r="A913" s="278" t="n"/>
      <c r="B913" s="279" t="n"/>
      <c r="C913" s="281" t="n"/>
      <c r="D913" s="281" t="n"/>
      <c r="E913" s="281" t="n"/>
      <c r="F913" s="281" t="n"/>
      <c r="G913" s="281" t="n"/>
      <c r="H913" s="218" t="n"/>
    </row>
    <row r="914">
      <c r="A914" s="278" t="n"/>
      <c r="B914" s="279" t="n"/>
      <c r="C914" s="281" t="n"/>
      <c r="D914" s="281" t="n"/>
      <c r="E914" s="281" t="n"/>
      <c r="F914" s="281" t="n"/>
      <c r="G914" s="281" t="n"/>
      <c r="H914" s="218" t="n"/>
    </row>
    <row r="915">
      <c r="A915" s="278" t="n"/>
      <c r="B915" s="279" t="n"/>
      <c r="C915" s="281" t="n"/>
      <c r="D915" s="281" t="n"/>
      <c r="E915" s="281" t="n"/>
      <c r="F915" s="281" t="n"/>
      <c r="G915" s="281" t="n"/>
      <c r="H915" s="218" t="n"/>
    </row>
    <row r="916">
      <c r="A916" s="278" t="n"/>
      <c r="B916" s="279" t="n"/>
      <c r="C916" s="281" t="n"/>
      <c r="D916" s="281" t="n"/>
      <c r="E916" s="281" t="n"/>
      <c r="F916" s="281" t="n"/>
      <c r="G916" s="281" t="n"/>
      <c r="H916" s="218" t="n"/>
    </row>
    <row r="917">
      <c r="A917" s="278" t="n"/>
      <c r="B917" s="279" t="n"/>
      <c r="C917" s="281" t="n"/>
      <c r="D917" s="281" t="n"/>
      <c r="E917" s="281" t="n"/>
      <c r="F917" s="281" t="n"/>
      <c r="G917" s="281" t="n"/>
      <c r="H917" s="218" t="n"/>
    </row>
    <row r="918">
      <c r="A918" s="278" t="n"/>
      <c r="B918" s="279" t="n"/>
      <c r="C918" s="281" t="n"/>
      <c r="D918" s="281" t="n"/>
      <c r="E918" s="281" t="n"/>
      <c r="F918" s="281" t="n"/>
      <c r="G918" s="281" t="n"/>
      <c r="H918" s="218" t="n"/>
    </row>
    <row r="919">
      <c r="A919" s="278" t="n"/>
      <c r="B919" s="279" t="n"/>
      <c r="C919" s="281" t="n"/>
      <c r="D919" s="281" t="n"/>
      <c r="E919" s="281" t="n"/>
      <c r="F919" s="281" t="n"/>
      <c r="G919" s="281" t="n"/>
      <c r="H919" s="218" t="n"/>
    </row>
    <row r="920">
      <c r="A920" s="278" t="n"/>
      <c r="B920" s="279" t="n"/>
      <c r="C920" s="281" t="n"/>
      <c r="D920" s="281" t="n"/>
      <c r="E920" s="281" t="n"/>
      <c r="F920" s="281" t="n"/>
      <c r="G920" s="281" t="n"/>
      <c r="H920" s="218" t="n"/>
    </row>
    <row r="921">
      <c r="A921" s="278" t="n"/>
      <c r="B921" s="279" t="n"/>
      <c r="C921" s="281" t="n"/>
      <c r="D921" s="281" t="n"/>
      <c r="E921" s="281" t="n"/>
      <c r="F921" s="281" t="n"/>
      <c r="G921" s="281" t="n"/>
      <c r="H921" s="218" t="n"/>
    </row>
    <row r="922">
      <c r="A922" s="278" t="n"/>
      <c r="B922" s="279" t="n"/>
      <c r="C922" s="281" t="n"/>
      <c r="D922" s="281" t="n"/>
      <c r="E922" s="281" t="n"/>
      <c r="F922" s="281" t="n"/>
      <c r="G922" s="281" t="n"/>
      <c r="H922" s="218" t="n"/>
    </row>
    <row r="923">
      <c r="A923" s="278" t="n"/>
      <c r="B923" s="279" t="n"/>
      <c r="C923" s="281" t="n"/>
      <c r="D923" s="281" t="n"/>
      <c r="E923" s="281" t="n"/>
      <c r="F923" s="281" t="n"/>
      <c r="G923" s="281" t="n"/>
      <c r="H923" s="218" t="n"/>
    </row>
    <row r="924">
      <c r="A924" s="278" t="n"/>
      <c r="B924" s="279" t="n"/>
      <c r="C924" s="281" t="n"/>
      <c r="D924" s="281" t="n"/>
      <c r="E924" s="281" t="n"/>
      <c r="F924" s="281" t="n"/>
      <c r="G924" s="281" t="n"/>
      <c r="H924" s="218" t="n"/>
    </row>
    <row r="925">
      <c r="A925" s="278" t="n"/>
      <c r="B925" s="279" t="n"/>
      <c r="C925" s="281" t="n"/>
      <c r="D925" s="281" t="n"/>
      <c r="E925" s="281" t="n"/>
      <c r="F925" s="281" t="n"/>
      <c r="G925" s="281" t="n"/>
      <c r="H925" s="218" t="n"/>
    </row>
    <row r="926">
      <c r="A926" s="278" t="n"/>
      <c r="B926" s="279" t="n"/>
      <c r="C926" s="281" t="n"/>
      <c r="D926" s="281" t="n"/>
      <c r="E926" s="281" t="n"/>
      <c r="F926" s="281" t="n"/>
      <c r="G926" s="281" t="n"/>
      <c r="H926" s="218" t="n"/>
    </row>
    <row r="927">
      <c r="A927" s="278" t="n"/>
      <c r="B927" s="279" t="n"/>
      <c r="C927" s="281" t="n"/>
      <c r="D927" s="281" t="n"/>
      <c r="E927" s="281" t="n"/>
      <c r="F927" s="281" t="n"/>
      <c r="G927" s="281" t="n"/>
      <c r="H927" s="218" t="n"/>
    </row>
    <row r="928">
      <c r="A928" s="278" t="n"/>
      <c r="B928" s="279" t="n"/>
      <c r="C928" s="281" t="n"/>
      <c r="D928" s="281" t="n"/>
      <c r="E928" s="281" t="n"/>
      <c r="F928" s="281" t="n"/>
      <c r="G928" s="281" t="n"/>
      <c r="H928" s="218" t="n"/>
    </row>
    <row r="929">
      <c r="A929" s="278" t="n"/>
      <c r="B929" s="279" t="n"/>
      <c r="C929" s="281" t="n"/>
      <c r="D929" s="281" t="n"/>
      <c r="E929" s="281" t="n"/>
      <c r="F929" s="281" t="n"/>
      <c r="G929" s="281" t="n"/>
      <c r="H929" s="218" t="n"/>
    </row>
    <row r="930">
      <c r="A930" s="278" t="n"/>
      <c r="B930" s="279" t="n"/>
      <c r="C930" s="281" t="n"/>
      <c r="D930" s="281" t="n"/>
      <c r="E930" s="281" t="n"/>
      <c r="F930" s="281" t="n"/>
      <c r="G930" s="281" t="n"/>
      <c r="H930" s="218" t="n"/>
    </row>
    <row r="931">
      <c r="A931" s="278" t="n"/>
      <c r="B931" s="279" t="n"/>
      <c r="C931" s="281" t="n"/>
      <c r="D931" s="281" t="n"/>
      <c r="E931" s="281" t="n"/>
      <c r="F931" s="281" t="n"/>
      <c r="G931" s="281" t="n"/>
      <c r="H931" s="218" t="n"/>
    </row>
    <row r="932">
      <c r="A932" s="278" t="n"/>
      <c r="B932" s="279" t="n"/>
      <c r="C932" s="281" t="n"/>
      <c r="D932" s="281" t="n"/>
      <c r="E932" s="281" t="n"/>
      <c r="F932" s="281" t="n"/>
      <c r="G932" s="281" t="n"/>
      <c r="H932" s="218" t="n"/>
    </row>
    <row r="933">
      <c r="A933" s="278" t="n"/>
      <c r="B933" s="279" t="n"/>
      <c r="C933" s="281" t="n"/>
      <c r="D933" s="281" t="n"/>
      <c r="E933" s="281" t="n"/>
      <c r="F933" s="281" t="n"/>
      <c r="G933" s="281" t="n"/>
      <c r="H933" s="218" t="n"/>
    </row>
    <row r="934">
      <c r="A934" s="278" t="n"/>
      <c r="B934" s="279" t="n"/>
      <c r="C934" s="281" t="n"/>
      <c r="D934" s="281" t="n"/>
      <c r="E934" s="281" t="n"/>
      <c r="F934" s="281" t="n"/>
      <c r="G934" s="281" t="n"/>
      <c r="H934" s="218" t="n"/>
    </row>
    <row r="935">
      <c r="A935" s="278" t="n"/>
      <c r="B935" s="279" t="n"/>
      <c r="C935" s="281" t="n"/>
      <c r="D935" s="281" t="n"/>
      <c r="E935" s="281" t="n"/>
      <c r="F935" s="281" t="n"/>
      <c r="G935" s="281" t="n"/>
      <c r="H935" s="218" t="n"/>
    </row>
    <row r="936">
      <c r="A936" s="278" t="n"/>
      <c r="B936" s="279" t="n"/>
      <c r="C936" s="281" t="n"/>
      <c r="D936" s="281" t="n"/>
      <c r="E936" s="281" t="n"/>
      <c r="F936" s="281" t="n"/>
      <c r="G936" s="281" t="n"/>
      <c r="H936" s="218" t="n"/>
    </row>
    <row r="937">
      <c r="A937" s="278" t="n"/>
      <c r="B937" s="279" t="n"/>
      <c r="C937" s="281" t="n"/>
      <c r="D937" s="281" t="n"/>
      <c r="E937" s="281" t="n"/>
      <c r="F937" s="281" t="n"/>
      <c r="G937" s="281" t="n"/>
      <c r="H937" s="218" t="n"/>
    </row>
    <row r="938">
      <c r="A938" s="278" t="n"/>
      <c r="B938" s="279" t="n"/>
      <c r="C938" s="281" t="n"/>
      <c r="D938" s="281" t="n"/>
      <c r="E938" s="281" t="n"/>
      <c r="F938" s="281" t="n"/>
      <c r="G938" s="281" t="n"/>
      <c r="H938" s="218" t="n"/>
    </row>
    <row r="939">
      <c r="A939" s="278" t="n"/>
      <c r="B939" s="279" t="n"/>
      <c r="C939" s="281" t="n"/>
      <c r="D939" s="281" t="n"/>
      <c r="E939" s="281" t="n"/>
      <c r="F939" s="281" t="n"/>
      <c r="G939" s="281" t="n"/>
      <c r="H939" s="218" t="n"/>
    </row>
    <row r="940">
      <c r="A940" s="278" t="n"/>
      <c r="B940" s="279" t="n"/>
      <c r="C940" s="281" t="n"/>
      <c r="D940" s="281" t="n"/>
      <c r="E940" s="281" t="n"/>
      <c r="F940" s="281" t="n"/>
      <c r="G940" s="281" t="n"/>
      <c r="H940" s="218" t="n"/>
    </row>
    <row r="941">
      <c r="A941" s="278" t="n"/>
      <c r="B941" s="279" t="n"/>
      <c r="C941" s="281" t="n"/>
      <c r="D941" s="281" t="n"/>
      <c r="E941" s="281" t="n"/>
      <c r="F941" s="281" t="n"/>
      <c r="G941" s="281" t="n"/>
      <c r="H941" s="218" t="n"/>
    </row>
    <row r="942">
      <c r="A942" s="278" t="n"/>
      <c r="B942" s="279" t="n"/>
      <c r="C942" s="281" t="n"/>
      <c r="D942" s="281" t="n"/>
      <c r="E942" s="281" t="n"/>
      <c r="F942" s="281" t="n"/>
      <c r="G942" s="281" t="n"/>
      <c r="H942" s="218" t="n"/>
    </row>
    <row r="943">
      <c r="A943" s="278" t="n"/>
      <c r="B943" s="279" t="n"/>
      <c r="C943" s="281" t="n"/>
      <c r="D943" s="281" t="n"/>
      <c r="E943" s="281" t="n"/>
      <c r="F943" s="281" t="n"/>
      <c r="G943" s="281" t="n"/>
      <c r="H943" s="218" t="n"/>
    </row>
    <row r="944">
      <c r="A944" s="278" t="n"/>
      <c r="B944" s="279" t="n"/>
      <c r="C944" s="281" t="n"/>
      <c r="D944" s="281" t="n"/>
      <c r="E944" s="281" t="n"/>
      <c r="F944" s="281" t="n"/>
      <c r="G944" s="281" t="n"/>
      <c r="H944" s="218" t="n"/>
    </row>
    <row r="945">
      <c r="A945" s="278" t="n"/>
      <c r="B945" s="279" t="n"/>
      <c r="C945" s="281" t="n"/>
      <c r="D945" s="281" t="n"/>
      <c r="E945" s="281" t="n"/>
      <c r="F945" s="281" t="n"/>
      <c r="G945" s="281" t="n"/>
      <c r="H945" s="218" t="n"/>
    </row>
    <row r="946">
      <c r="A946" s="278" t="n"/>
      <c r="B946" s="279" t="n"/>
      <c r="C946" s="281" t="n"/>
      <c r="D946" s="281" t="n"/>
      <c r="E946" s="281" t="n"/>
      <c r="F946" s="281" t="n"/>
      <c r="G946" s="281" t="n"/>
      <c r="H946" s="218" t="n"/>
    </row>
    <row r="947">
      <c r="A947" s="278" t="n"/>
      <c r="B947" s="279" t="n"/>
      <c r="C947" s="281" t="n"/>
      <c r="D947" s="281" t="n"/>
      <c r="E947" s="281" t="n"/>
      <c r="F947" s="281" t="n"/>
      <c r="G947" s="281" t="n"/>
      <c r="H947" s="218" t="n"/>
    </row>
    <row r="948">
      <c r="A948" s="278" t="n"/>
      <c r="B948" s="279" t="n"/>
      <c r="C948" s="281" t="n"/>
      <c r="D948" s="281" t="n"/>
      <c r="E948" s="281" t="n"/>
      <c r="F948" s="281" t="n"/>
      <c r="G948" s="281" t="n"/>
      <c r="H948" s="218" t="n"/>
    </row>
    <row r="949">
      <c r="A949" s="278" t="n"/>
      <c r="B949" s="279" t="n"/>
      <c r="C949" s="281" t="n"/>
      <c r="D949" s="281" t="n"/>
      <c r="E949" s="281" t="n"/>
      <c r="F949" s="281" t="n"/>
      <c r="G949" s="281" t="n"/>
      <c r="H949" s="218" t="n"/>
    </row>
    <row r="950">
      <c r="A950" s="278" t="n"/>
      <c r="B950" s="279" t="n"/>
      <c r="C950" s="281" t="n"/>
      <c r="D950" s="281" t="n"/>
      <c r="E950" s="281" t="n"/>
      <c r="F950" s="281" t="n"/>
      <c r="G950" s="281" t="n"/>
      <c r="H950" s="218" t="n"/>
    </row>
    <row r="951">
      <c r="A951" s="278" t="n"/>
      <c r="B951" s="279" t="n"/>
      <c r="C951" s="281" t="n"/>
      <c r="D951" s="281" t="n"/>
      <c r="E951" s="281" t="n"/>
      <c r="F951" s="281" t="n"/>
      <c r="G951" s="281" t="n"/>
      <c r="H951" s="218" t="n"/>
    </row>
    <row r="952">
      <c r="A952" s="278" t="n"/>
      <c r="B952" s="279" t="n"/>
      <c r="C952" s="281" t="n"/>
      <c r="D952" s="281" t="n"/>
      <c r="E952" s="281" t="n"/>
      <c r="F952" s="281" t="n"/>
      <c r="G952" s="281" t="n"/>
      <c r="H952" s="218" t="n"/>
    </row>
    <row r="953">
      <c r="A953" s="278" t="n"/>
      <c r="B953" s="279" t="n"/>
      <c r="C953" s="281" t="n"/>
      <c r="D953" s="281" t="n"/>
      <c r="E953" s="281" t="n"/>
      <c r="F953" s="281" t="n"/>
      <c r="G953" s="281" t="n"/>
      <c r="H953" s="218" t="n"/>
    </row>
    <row r="954">
      <c r="A954" s="278" t="n"/>
      <c r="B954" s="279" t="n"/>
      <c r="C954" s="281" t="n"/>
      <c r="D954" s="281" t="n"/>
      <c r="E954" s="281" t="n"/>
      <c r="F954" s="281" t="n"/>
      <c r="G954" s="281" t="n"/>
      <c r="H954" s="218" t="n"/>
    </row>
    <row r="955">
      <c r="A955" s="278" t="n"/>
      <c r="B955" s="279" t="n"/>
      <c r="C955" s="281" t="n"/>
      <c r="D955" s="281" t="n"/>
      <c r="E955" s="281" t="n"/>
      <c r="F955" s="281" t="n"/>
      <c r="G955" s="281" t="n"/>
      <c r="H955" s="218" t="n"/>
    </row>
    <row r="956">
      <c r="A956" s="278" t="n"/>
      <c r="B956" s="279" t="n"/>
      <c r="C956" s="281" t="n"/>
      <c r="D956" s="281" t="n"/>
      <c r="E956" s="281" t="n"/>
      <c r="F956" s="281" t="n"/>
      <c r="G956" s="281" t="n"/>
      <c r="H956" s="218" t="n"/>
    </row>
    <row r="957">
      <c r="A957" s="278" t="n"/>
      <c r="B957" s="279" t="n"/>
      <c r="C957" s="281" t="n"/>
      <c r="D957" s="281" t="n"/>
      <c r="E957" s="281" t="n"/>
      <c r="F957" s="281" t="n"/>
      <c r="G957" s="281" t="n"/>
      <c r="H957" s="218" t="n"/>
    </row>
    <row r="958">
      <c r="A958" s="278" t="n"/>
      <c r="B958" s="279" t="n"/>
      <c r="C958" s="281" t="n"/>
      <c r="D958" s="281" t="n"/>
      <c r="E958" s="281" t="n"/>
      <c r="F958" s="281" t="n"/>
      <c r="G958" s="281" t="n"/>
      <c r="H958" s="218" t="n"/>
    </row>
    <row r="959">
      <c r="A959" s="278" t="n"/>
      <c r="B959" s="279" t="n"/>
      <c r="C959" s="281" t="n"/>
      <c r="D959" s="281" t="n"/>
      <c r="E959" s="281" t="n"/>
      <c r="F959" s="281" t="n"/>
      <c r="G959" s="281" t="n"/>
      <c r="H959" s="218" t="n"/>
    </row>
    <row r="960">
      <c r="A960" s="278" t="n"/>
      <c r="B960" s="279" t="n"/>
      <c r="C960" s="281" t="n"/>
      <c r="D960" s="281" t="n"/>
      <c r="E960" s="281" t="n"/>
      <c r="F960" s="281" t="n"/>
      <c r="G960" s="281" t="n"/>
      <c r="H960" s="218" t="n"/>
    </row>
    <row r="961">
      <c r="A961" s="278" t="n"/>
      <c r="B961" s="279" t="n"/>
      <c r="C961" s="281" t="n"/>
      <c r="D961" s="281" t="n"/>
      <c r="E961" s="281" t="n"/>
      <c r="F961" s="281" t="n"/>
      <c r="G961" s="281" t="n"/>
      <c r="H961" s="218" t="n"/>
    </row>
    <row r="962">
      <c r="A962" s="278" t="n"/>
      <c r="B962" s="279" t="n"/>
      <c r="C962" s="281" t="n"/>
      <c r="D962" s="281" t="n"/>
      <c r="E962" s="281" t="n"/>
      <c r="F962" s="281" t="n"/>
      <c r="G962" s="281" t="n"/>
      <c r="H962" s="218" t="n"/>
    </row>
    <row r="963">
      <c r="A963" s="278" t="n"/>
      <c r="B963" s="279" t="n"/>
      <c r="C963" s="281" t="n"/>
      <c r="D963" s="281" t="n"/>
      <c r="E963" s="281" t="n"/>
      <c r="F963" s="281" t="n"/>
      <c r="G963" s="281" t="n"/>
      <c r="H963" s="218" t="n"/>
    </row>
    <row r="964">
      <c r="A964" s="278" t="n"/>
      <c r="B964" s="279" t="n"/>
      <c r="C964" s="281" t="n"/>
      <c r="D964" s="281" t="n"/>
      <c r="E964" s="281" t="n"/>
      <c r="F964" s="281" t="n"/>
      <c r="G964" s="281" t="n"/>
      <c r="H964" s="218" t="n"/>
    </row>
    <row r="965">
      <c r="A965" s="278" t="n"/>
      <c r="B965" s="279" t="n"/>
      <c r="C965" s="281" t="n"/>
      <c r="D965" s="281" t="n"/>
      <c r="E965" s="281" t="n"/>
      <c r="F965" s="281" t="n"/>
      <c r="G965" s="281" t="n"/>
      <c r="H965" s="218" t="n"/>
    </row>
    <row r="966">
      <c r="A966" s="278" t="n"/>
      <c r="B966" s="279" t="n"/>
      <c r="C966" s="281" t="n"/>
      <c r="D966" s="281" t="n"/>
      <c r="E966" s="281" t="n"/>
      <c r="F966" s="281" t="n"/>
      <c r="G966" s="281" t="n"/>
      <c r="H966" s="218" t="n"/>
    </row>
    <row r="967">
      <c r="A967" s="278" t="n"/>
      <c r="B967" s="279" t="n"/>
      <c r="C967" s="281" t="n"/>
      <c r="D967" s="281" t="n"/>
      <c r="E967" s="281" t="n"/>
      <c r="F967" s="281" t="n"/>
      <c r="G967" s="281" t="n"/>
      <c r="H967" s="218" t="n"/>
    </row>
    <row r="968">
      <c r="A968" s="278" t="n"/>
      <c r="B968" s="279" t="n"/>
      <c r="C968" s="281" t="n"/>
      <c r="D968" s="281" t="n"/>
      <c r="E968" s="281" t="n"/>
      <c r="F968" s="281" t="n"/>
      <c r="G968" s="281" t="n"/>
      <c r="H968" s="218" t="n"/>
    </row>
    <row r="969">
      <c r="A969" s="278" t="n"/>
      <c r="B969" s="279" t="n"/>
      <c r="C969" s="281" t="n"/>
      <c r="D969" s="281" t="n"/>
      <c r="E969" s="281" t="n"/>
      <c r="F969" s="281" t="n"/>
      <c r="G969" s="281" t="n"/>
      <c r="H969" s="218" t="n"/>
    </row>
    <row r="970">
      <c r="A970" s="278" t="n"/>
      <c r="B970" s="279" t="n"/>
      <c r="C970" s="281" t="n"/>
      <c r="D970" s="281" t="n"/>
      <c r="E970" s="281" t="n"/>
      <c r="F970" s="281" t="n"/>
      <c r="G970" s="281" t="n"/>
      <c r="H970" s="218" t="n"/>
    </row>
    <row r="971">
      <c r="A971" s="278" t="n"/>
      <c r="B971" s="279" t="n"/>
      <c r="C971" s="281" t="n"/>
      <c r="D971" s="281" t="n"/>
      <c r="E971" s="281" t="n"/>
      <c r="F971" s="281" t="n"/>
      <c r="G971" s="281" t="n"/>
      <c r="H971" s="218" t="n"/>
    </row>
    <row r="972">
      <c r="A972" s="278" t="n"/>
      <c r="B972" s="279" t="n"/>
      <c r="C972" s="281" t="n"/>
      <c r="D972" s="281" t="n"/>
      <c r="E972" s="281" t="n"/>
      <c r="F972" s="281" t="n"/>
      <c r="G972" s="281" t="n"/>
      <c r="H972" s="218" t="n"/>
    </row>
    <row r="973">
      <c r="A973" s="278" t="n"/>
      <c r="B973" s="279" t="n"/>
      <c r="C973" s="281" t="n"/>
      <c r="D973" s="281" t="n"/>
      <c r="E973" s="281" t="n"/>
      <c r="F973" s="281" t="n"/>
      <c r="G973" s="281" t="n"/>
      <c r="H973" s="218" t="n"/>
    </row>
    <row r="974">
      <c r="A974" s="278" t="n"/>
      <c r="B974" s="279" t="n"/>
      <c r="C974" s="281" t="n"/>
      <c r="D974" s="281" t="n"/>
      <c r="E974" s="281" t="n"/>
      <c r="F974" s="281" t="n"/>
      <c r="G974" s="281" t="n"/>
      <c r="H974" s="218" t="n"/>
    </row>
    <row r="975">
      <c r="A975" s="278" t="n"/>
      <c r="B975" s="279" t="n"/>
      <c r="C975" s="281" t="n"/>
      <c r="D975" s="281" t="n"/>
      <c r="E975" s="281" t="n"/>
      <c r="F975" s="281" t="n"/>
      <c r="G975" s="281" t="n"/>
      <c r="H975" s="218" t="n"/>
    </row>
    <row r="976">
      <c r="A976" s="278" t="n"/>
      <c r="B976" s="279" t="n"/>
      <c r="C976" s="281" t="n"/>
      <c r="D976" s="281" t="n"/>
      <c r="E976" s="281" t="n"/>
      <c r="F976" s="281" t="n"/>
      <c r="G976" s="281" t="n"/>
      <c r="H976" s="218" t="n"/>
    </row>
    <row r="977">
      <c r="A977" s="278" t="n"/>
      <c r="B977" s="279" t="n"/>
      <c r="C977" s="281" t="n"/>
      <c r="D977" s="281" t="n"/>
      <c r="E977" s="281" t="n"/>
      <c r="F977" s="281" t="n"/>
      <c r="G977" s="281" t="n"/>
      <c r="H977" s="218" t="n"/>
    </row>
    <row r="978">
      <c r="A978" s="278" t="n"/>
      <c r="B978" s="279" t="n"/>
      <c r="C978" s="281" t="n"/>
      <c r="D978" s="281" t="n"/>
      <c r="E978" s="281" t="n"/>
      <c r="F978" s="281" t="n"/>
      <c r="G978" s="281" t="n"/>
      <c r="H978" s="218" t="n"/>
    </row>
    <row r="979">
      <c r="A979" s="278" t="n"/>
      <c r="B979" s="279" t="n"/>
      <c r="C979" s="281" t="n"/>
      <c r="D979" s="281" t="n"/>
      <c r="E979" s="281" t="n"/>
      <c r="F979" s="281" t="n"/>
      <c r="G979" s="281" t="n"/>
      <c r="H979" s="218" t="n"/>
    </row>
    <row r="980">
      <c r="A980" s="278" t="n"/>
      <c r="B980" s="279" t="n"/>
      <c r="C980" s="281" t="n"/>
      <c r="D980" s="281" t="n"/>
      <c r="E980" s="281" t="n"/>
      <c r="F980" s="281" t="n"/>
      <c r="G980" s="281" t="n"/>
      <c r="H980" s="218" t="n"/>
    </row>
    <row r="981">
      <c r="A981" s="278" t="n"/>
      <c r="B981" s="279" t="n"/>
      <c r="C981" s="281" t="n"/>
      <c r="D981" s="281" t="n"/>
      <c r="E981" s="281" t="n"/>
      <c r="F981" s="281" t="n"/>
      <c r="G981" s="281" t="n"/>
      <c r="H981" s="218" t="n"/>
    </row>
    <row r="982">
      <c r="A982" s="278" t="n"/>
      <c r="B982" s="279" t="n"/>
      <c r="C982" s="281" t="n"/>
      <c r="D982" s="281" t="n"/>
      <c r="E982" s="281" t="n"/>
      <c r="F982" s="281" t="n"/>
      <c r="G982" s="281" t="n"/>
      <c r="H982" s="218" t="n"/>
    </row>
    <row r="983">
      <c r="A983" s="278" t="n"/>
      <c r="B983" s="279" t="n"/>
      <c r="C983" s="281" t="n"/>
      <c r="D983" s="281" t="n"/>
      <c r="E983" s="281" t="n"/>
      <c r="F983" s="281" t="n"/>
      <c r="G983" s="281" t="n"/>
      <c r="H983" s="218" t="n"/>
    </row>
    <row r="984">
      <c r="A984" s="278" t="n"/>
      <c r="B984" s="279" t="n"/>
      <c r="C984" s="281" t="n"/>
      <c r="D984" s="281" t="n"/>
      <c r="E984" s="281" t="n"/>
      <c r="F984" s="281" t="n"/>
      <c r="G984" s="281" t="n"/>
      <c r="H984" s="218" t="n"/>
    </row>
    <row r="985">
      <c r="A985" s="278" t="n"/>
      <c r="B985" s="279" t="n"/>
      <c r="C985" s="281" t="n"/>
      <c r="D985" s="281" t="n"/>
      <c r="E985" s="281" t="n"/>
      <c r="F985" s="281" t="n"/>
      <c r="G985" s="281" t="n"/>
      <c r="H985" s="218" t="n"/>
    </row>
    <row r="986">
      <c r="A986" s="278" t="n"/>
      <c r="B986" s="279" t="n"/>
      <c r="C986" s="281" t="n"/>
      <c r="D986" s="281" t="n"/>
      <c r="E986" s="281" t="n"/>
      <c r="F986" s="281" t="n"/>
      <c r="G986" s="281" t="n"/>
      <c r="H986" s="218" t="n"/>
    </row>
    <row r="987">
      <c r="A987" s="278" t="n"/>
      <c r="B987" s="279" t="n"/>
      <c r="C987" s="281" t="n"/>
      <c r="D987" s="281" t="n"/>
      <c r="E987" s="281" t="n"/>
      <c r="F987" s="281" t="n"/>
      <c r="G987" s="281" t="n"/>
      <c r="H987" s="218" t="n"/>
    </row>
    <row r="988">
      <c r="A988" s="278" t="n"/>
      <c r="B988" s="279" t="n"/>
      <c r="C988" s="281" t="n"/>
      <c r="D988" s="281" t="n"/>
      <c r="E988" s="281" t="n"/>
      <c r="F988" s="281" t="n"/>
      <c r="G988" s="281" t="n"/>
      <c r="H988" s="218" t="n"/>
    </row>
    <row r="989">
      <c r="A989" s="278" t="n"/>
      <c r="B989" s="279" t="n"/>
      <c r="C989" s="281" t="n"/>
      <c r="D989" s="281" t="n"/>
      <c r="E989" s="281" t="n"/>
      <c r="F989" s="281" t="n"/>
      <c r="G989" s="281" t="n"/>
      <c r="H989" s="218" t="n"/>
    </row>
    <row r="990">
      <c r="A990" s="278" t="n"/>
      <c r="B990" s="279" t="n"/>
      <c r="C990" s="281" t="n"/>
      <c r="D990" s="281" t="n"/>
      <c r="E990" s="281" t="n"/>
      <c r="F990" s="281" t="n"/>
      <c r="G990" s="281" t="n"/>
      <c r="H990" s="218" t="n"/>
    </row>
    <row r="991">
      <c r="A991" s="278" t="n"/>
      <c r="B991" s="279" t="n"/>
      <c r="C991" s="281" t="n"/>
      <c r="D991" s="281" t="n"/>
      <c r="E991" s="281" t="n"/>
      <c r="F991" s="281" t="n"/>
      <c r="G991" s="281" t="n"/>
      <c r="H991" s="218" t="n"/>
    </row>
    <row r="992">
      <c r="A992" s="278" t="n"/>
      <c r="B992" s="279" t="n"/>
      <c r="C992" s="281" t="n"/>
      <c r="D992" s="281" t="n"/>
      <c r="E992" s="281" t="n"/>
      <c r="F992" s="281" t="n"/>
      <c r="G992" s="281" t="n"/>
      <c r="H992" s="218" t="n"/>
    </row>
    <row r="993">
      <c r="A993" s="278" t="n"/>
      <c r="B993" s="279" t="n"/>
      <c r="C993" s="281" t="n"/>
      <c r="D993" s="281" t="n"/>
      <c r="E993" s="281" t="n"/>
      <c r="F993" s="281" t="n"/>
      <c r="G993" s="281" t="n"/>
      <c r="H993" s="218" t="n"/>
    </row>
    <row r="994">
      <c r="A994" s="278" t="n"/>
      <c r="B994" s="279" t="n"/>
      <c r="C994" s="281" t="n"/>
      <c r="D994" s="281" t="n"/>
      <c r="E994" s="281" t="n"/>
      <c r="F994" s="281" t="n"/>
      <c r="G994" s="281" t="n"/>
      <c r="H994" s="218" t="n"/>
    </row>
    <row r="995">
      <c r="A995" s="278" t="n"/>
      <c r="B995" s="279" t="n"/>
      <c r="C995" s="281" t="n"/>
      <c r="D995" s="281" t="n"/>
      <c r="E995" s="281" t="n"/>
      <c r="F995" s="281" t="n"/>
      <c r="G995" s="281" t="n"/>
      <c r="H995" s="218" t="n"/>
    </row>
    <row r="996">
      <c r="A996" s="278" t="n"/>
      <c r="B996" s="279" t="n"/>
      <c r="C996" s="281" t="n"/>
      <c r="D996" s="281" t="n"/>
      <c r="E996" s="281" t="n"/>
      <c r="F996" s="281" t="n"/>
      <c r="G996" s="281" t="n"/>
      <c r="H996" s="218" t="n"/>
    </row>
    <row r="997">
      <c r="A997" s="278" t="n"/>
      <c r="B997" s="279" t="n"/>
      <c r="C997" s="281" t="n"/>
      <c r="D997" s="281" t="n"/>
      <c r="E997" s="281" t="n"/>
      <c r="F997" s="281" t="n"/>
      <c r="G997" s="281" t="n"/>
      <c r="H997" s="218" t="n"/>
    </row>
    <row r="998">
      <c r="A998" s="278" t="n"/>
      <c r="B998" s="279" t="n"/>
      <c r="C998" s="281" t="n"/>
      <c r="D998" s="281" t="n"/>
      <c r="E998" s="281" t="n"/>
      <c r="F998" s="281" t="n"/>
      <c r="G998" s="281" t="n"/>
      <c r="H998" s="218" t="n"/>
    </row>
    <row r="999">
      <c r="A999" s="278" t="n"/>
      <c r="B999" s="279" t="n"/>
      <c r="C999" s="281" t="n"/>
      <c r="D999" s="281" t="n"/>
      <c r="E999" s="281" t="n"/>
      <c r="F999" s="281" t="n"/>
      <c r="G999" s="281" t="n"/>
      <c r="H999" s="218" t="n"/>
    </row>
  </sheetData>
  <mergeCells count="2">
    <mergeCell ref="A2:A3"/>
    <mergeCell ref="B2:B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AI997"/>
  <sheetViews>
    <sheetView tabSelected="1" workbookViewId="0">
      <pane xSplit="3" ySplit="3" topLeftCell="D101" activePane="bottomRight" state="frozen"/>
      <selection pane="topRight" activeCell="D1" sqref="D1"/>
      <selection pane="bottomLeft" activeCell="A4" sqref="A4"/>
      <selection pane="bottomRight" activeCell="D112" sqref="D112"/>
    </sheetView>
  </sheetViews>
  <sheetFormatPr baseColWidth="8" defaultColWidth="12.6640625" defaultRowHeight="15.75" customHeight="1"/>
  <cols>
    <col width="5.33203125" customWidth="1" style="405" min="1" max="1"/>
    <col width="16.6640625" customWidth="1" style="405" min="2" max="2"/>
    <col width="34" customWidth="1" style="405" min="10" max="10"/>
  </cols>
  <sheetData>
    <row r="1" ht="14.4" customHeight="1" s="405">
      <c r="A1" s="345" t="n"/>
      <c r="B1" s="248" t="n"/>
      <c r="C1" s="345" t="n"/>
      <c r="D1" s="8" t="n"/>
      <c r="E1" s="248" t="n"/>
      <c r="F1" s="345" t="n"/>
      <c r="G1" s="345" t="n"/>
      <c r="H1" s="345" t="n"/>
      <c r="I1" s="345" t="n"/>
      <c r="J1" s="345" t="n"/>
      <c r="K1" s="345" t="n"/>
      <c r="L1" s="345" t="n"/>
      <c r="M1" s="345" t="n"/>
      <c r="N1" s="345" t="n"/>
      <c r="O1" s="345" t="n"/>
      <c r="P1" s="9" t="n"/>
      <c r="Q1" s="9" t="n"/>
      <c r="R1" s="9" t="n"/>
      <c r="S1" s="9" t="n"/>
      <c r="T1" s="9" t="n"/>
      <c r="U1" s="9" t="n"/>
      <c r="V1" s="9" t="n"/>
      <c r="W1" s="9" t="n"/>
      <c r="X1" s="9" t="n"/>
      <c r="Y1" s="9" t="n"/>
      <c r="Z1" s="9" t="n"/>
      <c r="AA1" s="9" t="n"/>
      <c r="AB1" s="9" t="n"/>
      <c r="AC1" s="9" t="n"/>
      <c r="AD1" s="9" t="n"/>
      <c r="AE1" s="9" t="n"/>
      <c r="AF1" s="9" t="n"/>
      <c r="AG1" s="9" t="n"/>
      <c r="AH1" s="9" t="n"/>
      <c r="AI1" s="9" t="n"/>
    </row>
    <row r="2" ht="14.4" customHeight="1" s="405">
      <c r="A2" s="434" t="inlineStr">
        <is>
          <t>STT</t>
        </is>
      </c>
      <c r="B2" s="22" t="inlineStr">
        <is>
          <t>Số tài khoản</t>
        </is>
      </c>
      <c r="C2" s="212" t="inlineStr">
        <is>
          <t>Số Thẻ</t>
        </is>
      </c>
      <c r="D2" s="19" t="inlineStr">
        <is>
          <t>Số tiền chi tiêu hàng ngày theo đầu thẻ</t>
        </is>
      </c>
      <c r="E2" s="253" t="n"/>
      <c r="F2" s="23" t="n"/>
      <c r="G2" s="23" t="n"/>
      <c r="H2" s="23" t="n"/>
      <c r="I2" s="23" t="n"/>
      <c r="J2" s="23" t="n"/>
      <c r="K2" s="23" t="n"/>
      <c r="L2" s="23" t="n"/>
      <c r="M2" s="23" t="n"/>
      <c r="N2" s="23" t="n"/>
      <c r="O2" s="23" t="n"/>
      <c r="P2" s="23" t="n"/>
      <c r="Q2" s="23" t="n"/>
      <c r="R2" s="23" t="n"/>
      <c r="S2" s="23" t="n"/>
      <c r="T2" s="23" t="n"/>
      <c r="U2" s="23" t="n"/>
      <c r="V2" s="23" t="n"/>
      <c r="W2" s="23" t="n"/>
      <c r="X2" s="23" t="n"/>
      <c r="Y2" s="23" t="n"/>
      <c r="Z2" s="23" t="n"/>
      <c r="AA2" s="23" t="n"/>
      <c r="AB2" s="23" t="n"/>
      <c r="AC2" s="23" t="n"/>
      <c r="AD2" s="23" t="n"/>
      <c r="AE2" s="23" t="n"/>
      <c r="AF2" s="23" t="n"/>
      <c r="AG2" s="23" t="n"/>
      <c r="AH2" s="37" t="n"/>
      <c r="AI2" s="9" t="n"/>
    </row>
    <row r="3" ht="14.4" customHeight="1" s="405">
      <c r="A3" s="433" t="n"/>
      <c r="B3" s="433" t="n"/>
      <c r="C3" s="433" t="n"/>
      <c r="D3" s="41" t="n">
        <v>46204</v>
      </c>
      <c r="E3" s="41" t="n">
        <v>46205</v>
      </c>
      <c r="F3" s="41" t="n">
        <v>46206</v>
      </c>
      <c r="G3" s="41" t="n">
        <v>46207</v>
      </c>
      <c r="H3" s="41" t="n">
        <v>46208</v>
      </c>
      <c r="I3" s="41" t="n">
        <v>46209</v>
      </c>
      <c r="J3" s="41" t="n">
        <v>46210</v>
      </c>
      <c r="K3" s="41" t="n">
        <v>46211</v>
      </c>
      <c r="L3" s="41" t="n">
        <v>46212</v>
      </c>
      <c r="M3" s="41" t="n">
        <v>46213</v>
      </c>
      <c r="N3" s="41" t="n">
        <v>46214</v>
      </c>
      <c r="O3" s="41" t="n">
        <v>46215</v>
      </c>
      <c r="P3" s="41" t="n">
        <v>46216</v>
      </c>
      <c r="Q3" s="41" t="n">
        <v>46217</v>
      </c>
      <c r="R3" s="41" t="n">
        <v>46218</v>
      </c>
      <c r="S3" s="41" t="n">
        <v>46219</v>
      </c>
      <c r="T3" s="41" t="n">
        <v>46220</v>
      </c>
      <c r="U3" s="41" t="n">
        <v>46221</v>
      </c>
      <c r="V3" s="41" t="n">
        <v>46222</v>
      </c>
      <c r="W3" s="41" t="n">
        <v>46223</v>
      </c>
      <c r="X3" s="41" t="n">
        <v>46224</v>
      </c>
      <c r="Y3" s="41" t="n">
        <v>46225</v>
      </c>
      <c r="Z3" s="41" t="n">
        <v>46226</v>
      </c>
      <c r="AA3" s="41" t="n">
        <v>46227</v>
      </c>
      <c r="AB3" s="41" t="n">
        <v>46228</v>
      </c>
      <c r="AC3" s="41" t="n">
        <v>46229</v>
      </c>
      <c r="AD3" s="41" t="n">
        <v>46230</v>
      </c>
      <c r="AE3" s="41" t="n">
        <v>46231</v>
      </c>
      <c r="AF3" s="41" t="n">
        <v>46232</v>
      </c>
      <c r="AG3" s="41" t="n">
        <v>46233</v>
      </c>
      <c r="AH3" s="41" t="n">
        <v>46234</v>
      </c>
      <c r="AI3" s="9" t="n"/>
    </row>
    <row r="4" ht="14.4" customHeight="1" s="405">
      <c r="A4" s="347" t="n">
        <v>1</v>
      </c>
      <c r="B4" s="254" t="inlineStr">
        <is>
          <t>7923 - 065</t>
        </is>
      </c>
      <c r="C4" s="254" t="n">
        <v>7923</v>
      </c>
      <c r="D4" s="255" t="n">
        <v>5511690</v>
      </c>
      <c r="E4" s="270" t="n">
        <v>5613204</v>
      </c>
      <c r="F4" s="255" t="n">
        <v>7336395</v>
      </c>
      <c r="G4" s="257" t="n">
        <v>14795410</v>
      </c>
      <c r="H4" s="258" t="n">
        <v>1618843</v>
      </c>
      <c r="I4" s="259" t="n">
        <v>5384264</v>
      </c>
      <c r="J4" s="257" t="n">
        <v>12930578</v>
      </c>
      <c r="K4" s="257" t="n">
        <v>10244363</v>
      </c>
      <c r="L4" s="255" t="n">
        <v>2484540</v>
      </c>
      <c r="M4" s="257" t="n">
        <v>15731276</v>
      </c>
      <c r="N4" s="255" t="n">
        <v>9025924</v>
      </c>
      <c r="O4" s="255" t="n">
        <v>14703345</v>
      </c>
      <c r="P4" s="257" t="n">
        <v>14703345</v>
      </c>
      <c r="Q4" s="257" t="n">
        <v>14191580</v>
      </c>
      <c r="R4" s="255" t="n">
        <v>4156160</v>
      </c>
      <c r="S4" s="257" t="n">
        <v>12802073</v>
      </c>
      <c r="T4" s="260" t="n">
        <v>14191580</v>
      </c>
      <c r="U4" s="255" t="n">
        <v>14191580</v>
      </c>
      <c r="V4" s="257" t="n">
        <v>14191580</v>
      </c>
      <c r="W4" s="257" t="n">
        <v>11499414</v>
      </c>
      <c r="X4" s="261" t="n">
        <v>14191580</v>
      </c>
      <c r="Y4" s="261" t="n">
        <v>14191580</v>
      </c>
      <c r="Z4" s="257" t="n">
        <v>16185085</v>
      </c>
      <c r="AA4" s="262" t="n">
        <v>16185085</v>
      </c>
      <c r="AB4" s="263" t="n">
        <v>16185085</v>
      </c>
      <c r="AC4" s="262" t="n">
        <v>11499414</v>
      </c>
      <c r="AD4" s="262" t="n">
        <v>16185085</v>
      </c>
      <c r="AE4" s="265" t="n"/>
      <c r="AF4" s="262" t="n">
        <v>2024595</v>
      </c>
      <c r="AG4" s="263" t="n">
        <v>16185085</v>
      </c>
      <c r="AH4" s="262" t="n">
        <v>4766134</v>
      </c>
      <c r="AI4" s="76" t="n"/>
    </row>
    <row r="5" ht="14.4" customHeight="1" s="405">
      <c r="A5" s="347" t="n">
        <v>2</v>
      </c>
      <c r="B5" s="264" t="n"/>
      <c r="C5" s="325" t="n"/>
      <c r="D5" s="257" t="n">
        <v>5746165</v>
      </c>
      <c r="E5" s="270" t="n">
        <v>7990992</v>
      </c>
      <c r="F5" s="257" t="n">
        <v>7990992</v>
      </c>
      <c r="G5" s="257" t="n">
        <v>2733757</v>
      </c>
      <c r="H5" s="257" t="n">
        <v>12210187</v>
      </c>
      <c r="I5" s="257" t="n">
        <v>7776006</v>
      </c>
      <c r="J5" s="257" t="n">
        <v>9025924</v>
      </c>
      <c r="K5" s="257" t="n">
        <v>13921873</v>
      </c>
      <c r="L5" s="257" t="n">
        <v>10244363</v>
      </c>
      <c r="M5" s="257" t="n">
        <v>11504087</v>
      </c>
      <c r="N5" s="257" t="n">
        <v>4661418</v>
      </c>
      <c r="O5" s="265" t="n">
        <v>2098560</v>
      </c>
      <c r="P5" s="257" t="n">
        <v>9914329</v>
      </c>
      <c r="Q5" s="257" t="n">
        <v>9025924</v>
      </c>
      <c r="R5" s="257" t="n">
        <v>4364019</v>
      </c>
      <c r="S5" s="257" t="n">
        <v>14603420</v>
      </c>
      <c r="T5" s="257" t="n">
        <v>9025924</v>
      </c>
      <c r="U5" s="257" t="n">
        <v>14603420</v>
      </c>
      <c r="V5" s="257" t="n">
        <v>9025924</v>
      </c>
      <c r="W5" s="257" t="n"/>
      <c r="X5" s="257" t="n">
        <v>9025924</v>
      </c>
      <c r="Y5" s="257" t="n">
        <v>9025924</v>
      </c>
      <c r="Z5" s="262" t="n">
        <v>3750387</v>
      </c>
      <c r="AA5" s="262" t="n">
        <v>9025924</v>
      </c>
      <c r="AB5" s="263" t="n">
        <v>11499414</v>
      </c>
      <c r="AC5" s="263" t="n">
        <v>9025924</v>
      </c>
      <c r="AD5" s="262" t="n">
        <v>2062871</v>
      </c>
      <c r="AE5" s="262" t="n"/>
      <c r="AF5" s="262" t="n">
        <v>4049190</v>
      </c>
      <c r="AG5" s="263" t="n">
        <v>1130397</v>
      </c>
      <c r="AH5" s="262" t="n">
        <v>250468</v>
      </c>
      <c r="AI5" s="76" t="n"/>
    </row>
    <row r="6" ht="14.4" customHeight="1" s="405">
      <c r="A6" s="347" t="n">
        <v>3</v>
      </c>
      <c r="B6" s="264" t="n"/>
      <c r="C6" s="325" t="n"/>
      <c r="D6" s="257" t="n">
        <v>14216873</v>
      </c>
      <c r="E6" s="270" t="n">
        <v>17764992</v>
      </c>
      <c r="F6" s="257" t="n"/>
      <c r="G6" s="257" t="n">
        <v>12027381</v>
      </c>
      <c r="H6" s="257" t="n">
        <v>974840</v>
      </c>
      <c r="I6" s="257" t="n">
        <v>12262824</v>
      </c>
      <c r="J6" s="257" t="n">
        <v>5978921</v>
      </c>
      <c r="K6" s="257" t="n"/>
      <c r="L6" s="257" t="n">
        <v>9025924</v>
      </c>
      <c r="M6" s="257" t="n"/>
      <c r="N6" s="257" t="n">
        <v>10338551</v>
      </c>
      <c r="O6" s="257" t="n">
        <v>9914329</v>
      </c>
      <c r="P6" s="257" t="n"/>
      <c r="Q6" s="257" t="n">
        <v>11073477</v>
      </c>
      <c r="R6" s="257" t="n"/>
      <c r="S6" s="257" t="n">
        <v>1589213</v>
      </c>
      <c r="T6" s="257" t="n"/>
      <c r="U6" s="257" t="n"/>
      <c r="V6" s="257" t="n">
        <v>11499414</v>
      </c>
      <c r="W6" s="257" t="n"/>
      <c r="X6" s="257" t="n">
        <v>4329897</v>
      </c>
      <c r="Y6" s="265" t="n">
        <v>11499414</v>
      </c>
      <c r="Z6" s="265" t="n"/>
      <c r="AA6" s="262" t="n">
        <v>11499414</v>
      </c>
      <c r="AB6" s="265" t="n">
        <v>1860783</v>
      </c>
      <c r="AC6" s="267" t="n"/>
      <c r="AD6" s="267" t="n">
        <v>638116</v>
      </c>
      <c r="AE6" s="262" t="n"/>
      <c r="AF6" s="265" t="n">
        <v>8098380</v>
      </c>
      <c r="AG6" s="265" t="n">
        <v>2260795</v>
      </c>
      <c r="AH6" s="265" t="n">
        <v>1753281</v>
      </c>
      <c r="AI6" s="76" t="n"/>
    </row>
    <row r="7" ht="14.4" customHeight="1" s="405">
      <c r="A7" s="347" t="n">
        <v>4</v>
      </c>
      <c r="B7" s="264" t="n"/>
      <c r="C7" s="325" t="n"/>
      <c r="D7" s="257" t="n">
        <v>12380291</v>
      </c>
      <c r="E7" s="270" t="n">
        <v>8888615</v>
      </c>
      <c r="F7" s="257" t="n"/>
      <c r="G7" s="257" t="n"/>
      <c r="H7" s="257" t="n">
        <v>1949680</v>
      </c>
      <c r="I7" s="257" t="n">
        <v>9025924</v>
      </c>
      <c r="J7" s="257" t="n">
        <v>7776006</v>
      </c>
      <c r="K7" s="257" t="n"/>
      <c r="L7" s="257" t="n">
        <v>15731276</v>
      </c>
      <c r="M7" s="257" t="n"/>
      <c r="N7" s="257" t="n"/>
      <c r="O7" s="267" t="n"/>
      <c r="P7" s="257" t="n"/>
      <c r="Q7" s="257" t="n"/>
      <c r="R7" s="257" t="n"/>
      <c r="S7" s="257" t="n"/>
      <c r="T7" s="257" t="n"/>
      <c r="U7" s="257" t="n"/>
      <c r="V7" s="257" t="n">
        <v>3992240</v>
      </c>
      <c r="W7" s="257" t="n"/>
      <c r="X7" s="257" t="n">
        <v>11499414</v>
      </c>
      <c r="Y7" s="265" t="n"/>
      <c r="Z7" s="265" t="n"/>
      <c r="AA7" s="265" t="n">
        <v>1867786</v>
      </c>
      <c r="AB7" s="262" t="n"/>
      <c r="AC7" s="265" t="n"/>
      <c r="AD7" s="267" t="n"/>
      <c r="AE7" s="263" t="n"/>
      <c r="AF7" s="265" t="n">
        <v>2024596</v>
      </c>
      <c r="AG7" s="268" t="n">
        <v>11499414</v>
      </c>
      <c r="AH7" s="265" t="n">
        <v>16241259</v>
      </c>
      <c r="AI7" s="76" t="n"/>
    </row>
    <row r="8" ht="14.4" customHeight="1" s="405">
      <c r="A8" s="347" t="n">
        <v>5</v>
      </c>
      <c r="B8" s="264" t="n"/>
      <c r="C8" s="325" t="n"/>
      <c r="D8" s="257" t="n">
        <v>9347458</v>
      </c>
      <c r="E8" s="270" t="n"/>
      <c r="F8" s="257" t="n"/>
      <c r="G8" s="257" t="n"/>
      <c r="H8" s="257" t="n">
        <v>4255695</v>
      </c>
      <c r="I8" s="257" t="n"/>
      <c r="J8" s="257" t="n"/>
      <c r="K8" s="257" t="n"/>
      <c r="L8" s="257" t="n"/>
      <c r="M8" s="257" t="n"/>
      <c r="N8" s="257" t="n"/>
      <c r="O8" s="267" t="n"/>
      <c r="P8" s="257" t="n"/>
      <c r="Q8" s="257" t="n"/>
      <c r="R8" s="257" t="n"/>
      <c r="S8" s="257" t="n"/>
      <c r="T8" s="257" t="n"/>
      <c r="U8" s="257" t="n"/>
      <c r="V8" s="257" t="n"/>
      <c r="W8" s="257" t="n"/>
      <c r="X8" s="257" t="n"/>
      <c r="Y8" s="265" t="n"/>
      <c r="Z8" s="265" t="n"/>
      <c r="AA8" s="265" t="n"/>
      <c r="AB8" s="262" t="n"/>
      <c r="AC8" s="265" t="n"/>
      <c r="AD8" s="267" t="n"/>
      <c r="AE8" s="263" t="n"/>
      <c r="AF8" s="265" t="n">
        <v>1162438</v>
      </c>
      <c r="AG8" s="268" t="n">
        <v>5310315</v>
      </c>
      <c r="AH8" s="265" t="n">
        <v>6120332</v>
      </c>
      <c r="AI8" s="76" t="n"/>
    </row>
    <row r="9" ht="14.4" customHeight="1" s="405">
      <c r="A9" s="347" t="n">
        <v>6</v>
      </c>
      <c r="B9" s="264" t="n"/>
      <c r="C9" s="325" t="n"/>
      <c r="D9" s="257" t="n">
        <v>6652074</v>
      </c>
      <c r="E9" s="270" t="n"/>
      <c r="F9" s="257" t="n"/>
      <c r="G9" s="257" t="n"/>
      <c r="H9" s="257" t="n"/>
      <c r="I9" s="257" t="n"/>
      <c r="J9" s="257" t="n"/>
      <c r="K9" s="257" t="n"/>
      <c r="L9" s="257" t="n"/>
      <c r="M9" s="257" t="n"/>
      <c r="N9" s="257" t="n"/>
      <c r="O9" s="267" t="n"/>
      <c r="P9" s="257" t="n"/>
      <c r="Q9" s="257" t="n"/>
      <c r="R9" s="257" t="n"/>
      <c r="S9" s="257" t="n"/>
      <c r="T9" s="257" t="n"/>
      <c r="U9" s="257" t="n"/>
      <c r="V9" s="257" t="n"/>
      <c r="W9" s="257" t="n"/>
      <c r="X9" s="257" t="n"/>
      <c r="Y9" s="265" t="n"/>
      <c r="Z9" s="265" t="n"/>
      <c r="AA9" s="265" t="n"/>
      <c r="AB9" s="262" t="n"/>
      <c r="AC9" s="265" t="n"/>
      <c r="AD9" s="267" t="n"/>
      <c r="AE9" s="263" t="n"/>
      <c r="AF9" s="265" t="n">
        <v>2324876</v>
      </c>
      <c r="AG9" s="268" t="n">
        <v>663924</v>
      </c>
      <c r="AH9" s="265" t="n"/>
      <c r="AI9" s="76" t="n"/>
    </row>
    <row r="10" ht="14.4" customHeight="1" s="405">
      <c r="A10" s="347" t="n">
        <v>7</v>
      </c>
      <c r="B10" s="264" t="n"/>
      <c r="C10" s="325" t="n"/>
      <c r="D10" s="257" t="n">
        <v>15224</v>
      </c>
      <c r="E10" s="270" t="n"/>
      <c r="F10" s="257" t="n"/>
      <c r="G10" s="257" t="n"/>
      <c r="H10" s="257" t="n"/>
      <c r="I10" s="257" t="n"/>
      <c r="J10" s="257" t="n"/>
      <c r="K10" s="257" t="n"/>
      <c r="L10" s="257" t="n"/>
      <c r="M10" s="257" t="n"/>
      <c r="N10" s="257" t="n"/>
      <c r="O10" s="267" t="n"/>
      <c r="P10" s="257" t="n"/>
      <c r="Q10" s="257" t="n"/>
      <c r="R10" s="257" t="n"/>
      <c r="S10" s="257" t="n"/>
      <c r="T10" s="257" t="n"/>
      <c r="U10" s="257" t="n"/>
      <c r="V10" s="257" t="n"/>
      <c r="W10" s="257" t="n"/>
      <c r="X10" s="257" t="n"/>
      <c r="Y10" s="265" t="n"/>
      <c r="Z10" s="265" t="n"/>
      <c r="AA10" s="265" t="n"/>
      <c r="AB10" s="262" t="n"/>
      <c r="AC10" s="265" t="n"/>
      <c r="AD10" s="267" t="n"/>
      <c r="AE10" s="263" t="n"/>
      <c r="AF10" s="265" t="n">
        <v>4649753</v>
      </c>
      <c r="AG10" s="268" t="n">
        <v>4403337</v>
      </c>
      <c r="AH10" s="265" t="n"/>
      <c r="AI10" s="76" t="n"/>
    </row>
    <row r="11" ht="14.4" customHeight="1" s="405">
      <c r="A11" s="347" t="n">
        <v>8</v>
      </c>
      <c r="B11" s="264" t="n"/>
      <c r="C11" s="325" t="n"/>
      <c r="D11" s="257" t="n"/>
      <c r="E11" s="270" t="n"/>
      <c r="F11" s="257" t="n"/>
      <c r="G11" s="257" t="n"/>
      <c r="H11" s="257" t="n"/>
      <c r="I11" s="257" t="n"/>
      <c r="J11" s="257" t="n"/>
      <c r="K11" s="257" t="n"/>
      <c r="L11" s="257" t="n"/>
      <c r="M11" s="257" t="n"/>
      <c r="N11" s="257" t="n"/>
      <c r="O11" s="267" t="n"/>
      <c r="P11" s="257" t="n"/>
      <c r="Q11" s="257" t="n"/>
      <c r="R11" s="257" t="n"/>
      <c r="S11" s="257" t="n"/>
      <c r="T11" s="257" t="n"/>
      <c r="U11" s="257" t="n"/>
      <c r="V11" s="257" t="n"/>
      <c r="W11" s="257" t="n"/>
      <c r="X11" s="257" t="n"/>
      <c r="Y11" s="265" t="n"/>
      <c r="Z11" s="265" t="n"/>
      <c r="AA11" s="265" t="n"/>
      <c r="AB11" s="262" t="n"/>
      <c r="AC11" s="265" t="n"/>
      <c r="AD11" s="267" t="n"/>
      <c r="AE11" s="263" t="n"/>
      <c r="AF11" s="265" t="n">
        <v>1162444</v>
      </c>
      <c r="AG11" s="268" t="n"/>
      <c r="AH11" s="265" t="n"/>
      <c r="AI11" s="76" t="n"/>
    </row>
    <row r="12" ht="14.4" customHeight="1" s="405">
      <c r="A12" s="347" t="n">
        <v>9</v>
      </c>
      <c r="B12" s="264" t="n"/>
      <c r="C12" s="325" t="n"/>
      <c r="D12" s="257" t="n"/>
      <c r="E12" s="270" t="n"/>
      <c r="F12" s="257" t="n"/>
      <c r="G12" s="257" t="n"/>
      <c r="H12" s="257" t="n"/>
      <c r="I12" s="257" t="n"/>
      <c r="J12" s="257" t="n"/>
      <c r="K12" s="257" t="n"/>
      <c r="L12" s="257" t="n"/>
      <c r="M12" s="257" t="n"/>
      <c r="N12" s="257" t="n"/>
      <c r="O12" s="267" t="n"/>
      <c r="P12" s="257" t="n"/>
      <c r="Q12" s="257" t="n"/>
      <c r="R12" s="257" t="n"/>
      <c r="S12" s="257" t="n"/>
      <c r="T12" s="257" t="n"/>
      <c r="U12" s="257" t="n"/>
      <c r="V12" s="257" t="n"/>
      <c r="W12" s="257" t="n"/>
      <c r="X12" s="257" t="n"/>
      <c r="Y12" s="265" t="n"/>
      <c r="Z12" s="265" t="n"/>
      <c r="AA12" s="265" t="n"/>
      <c r="AB12" s="262" t="n"/>
      <c r="AC12" s="265" t="n"/>
      <c r="AD12" s="267" t="n"/>
      <c r="AE12" s="263" t="n"/>
      <c r="AF12" s="265" t="n">
        <v>1517286</v>
      </c>
      <c r="AG12" s="268" t="n"/>
      <c r="AH12" s="265" t="n"/>
      <c r="AI12" s="76" t="n"/>
    </row>
    <row r="13" ht="14.4" customHeight="1" s="405">
      <c r="A13" s="347" t="n">
        <v>10</v>
      </c>
      <c r="B13" s="264" t="n"/>
      <c r="C13" s="325" t="n"/>
      <c r="D13" s="257" t="n"/>
      <c r="E13" s="270" t="n"/>
      <c r="F13" s="257" t="n"/>
      <c r="G13" s="257" t="n"/>
      <c r="H13" s="257" t="n"/>
      <c r="I13" s="257" t="n"/>
      <c r="J13" s="257" t="n"/>
      <c r="K13" s="257" t="n"/>
      <c r="L13" s="257" t="n"/>
      <c r="M13" s="257" t="n"/>
      <c r="N13" s="257" t="n"/>
      <c r="O13" s="267" t="n"/>
      <c r="P13" s="257" t="n"/>
      <c r="Q13" s="257" t="n"/>
      <c r="R13" s="257" t="n"/>
      <c r="S13" s="257" t="n"/>
      <c r="T13" s="257" t="n"/>
      <c r="U13" s="257" t="n"/>
      <c r="V13" s="257" t="n"/>
      <c r="W13" s="257" t="n"/>
      <c r="X13" s="257" t="n"/>
      <c r="Y13" s="265" t="n"/>
      <c r="Z13" s="265" t="n"/>
      <c r="AA13" s="265" t="n"/>
      <c r="AB13" s="262" t="n"/>
      <c r="AC13" s="265" t="n"/>
      <c r="AD13" s="267" t="n"/>
      <c r="AE13" s="263" t="n"/>
      <c r="AF13" s="265" t="n">
        <v>3034572</v>
      </c>
      <c r="AG13" s="268" t="n"/>
      <c r="AH13" s="265" t="n"/>
      <c r="AI13" s="76" t="n"/>
    </row>
    <row r="14" ht="14.4" customHeight="1" s="405">
      <c r="A14" s="347" t="n">
        <v>11</v>
      </c>
      <c r="B14" s="264" t="n"/>
      <c r="C14" s="325" t="n"/>
      <c r="D14" s="257" t="n"/>
      <c r="E14" s="270" t="n"/>
      <c r="F14" s="257" t="n"/>
      <c r="G14" s="257" t="n"/>
      <c r="H14" s="257" t="n"/>
      <c r="I14" s="257" t="n"/>
      <c r="J14" s="257" t="n"/>
      <c r="K14" s="257" t="n"/>
      <c r="L14" s="257" t="n"/>
      <c r="M14" s="257" t="n"/>
      <c r="N14" s="257" t="n"/>
      <c r="O14" s="267" t="n"/>
      <c r="P14" s="257" t="n"/>
      <c r="Q14" s="257" t="n"/>
      <c r="R14" s="257" t="n"/>
      <c r="S14" s="257" t="n"/>
      <c r="T14" s="257" t="n"/>
      <c r="U14" s="257" t="n"/>
      <c r="V14" s="257" t="n"/>
      <c r="W14" s="257" t="n"/>
      <c r="X14" s="257" t="n"/>
      <c r="Y14" s="265" t="n"/>
      <c r="Z14" s="265" t="n"/>
      <c r="AA14" s="265" t="n"/>
      <c r="AB14" s="262" t="n"/>
      <c r="AC14" s="265" t="n"/>
      <c r="AD14" s="267" t="n"/>
      <c r="AE14" s="263" t="n"/>
      <c r="AF14" s="265" t="n">
        <v>6069144</v>
      </c>
      <c r="AG14" s="268" t="n"/>
      <c r="AH14" s="265" t="n"/>
      <c r="AI14" s="76" t="n"/>
    </row>
    <row r="15" ht="14.4" customHeight="1" s="405">
      <c r="A15" s="347" t="n">
        <v>12</v>
      </c>
      <c r="B15" s="264" t="n"/>
      <c r="C15" s="325" t="n"/>
      <c r="D15" s="257" t="n"/>
      <c r="E15" s="270" t="n"/>
      <c r="F15" s="257" t="n"/>
      <c r="G15" s="257" t="n"/>
      <c r="H15" s="257" t="n"/>
      <c r="I15" s="257" t="n"/>
      <c r="J15" s="257" t="n"/>
      <c r="K15" s="257" t="n"/>
      <c r="L15" s="257" t="n"/>
      <c r="M15" s="257" t="n"/>
      <c r="N15" s="257" t="n"/>
      <c r="O15" s="267" t="n"/>
      <c r="P15" s="257" t="n"/>
      <c r="Q15" s="257" t="n"/>
      <c r="R15" s="257" t="n"/>
      <c r="S15" s="257" t="n"/>
      <c r="T15" s="257" t="n"/>
      <c r="U15" s="257" t="n"/>
      <c r="V15" s="257" t="n"/>
      <c r="W15" s="257" t="n"/>
      <c r="X15" s="257" t="n"/>
      <c r="Y15" s="265" t="n"/>
      <c r="Z15" s="265" t="n"/>
      <c r="AA15" s="265" t="n"/>
      <c r="AB15" s="262" t="n"/>
      <c r="AC15" s="265" t="n"/>
      <c r="AD15" s="267" t="n"/>
      <c r="AE15" s="263" t="n"/>
      <c r="AF15" s="265" t="n">
        <v>1517291</v>
      </c>
      <c r="AG15" s="268" t="n"/>
      <c r="AH15" s="265" t="n"/>
      <c r="AI15" s="76" t="n"/>
    </row>
    <row r="16" ht="14.4" customHeight="1" s="405">
      <c r="A16" s="347" t="n">
        <v>13</v>
      </c>
      <c r="B16" s="264" t="n"/>
      <c r="C16" s="325" t="n"/>
      <c r="D16" s="257" t="n"/>
      <c r="E16" s="270" t="n"/>
      <c r="F16" s="257" t="n"/>
      <c r="G16" s="257" t="n"/>
      <c r="H16" s="257" t="n"/>
      <c r="I16" s="257" t="n"/>
      <c r="J16" s="257" t="n"/>
      <c r="K16" s="257" t="n"/>
      <c r="L16" s="257" t="n"/>
      <c r="M16" s="257" t="n"/>
      <c r="N16" s="257" t="n"/>
      <c r="O16" s="267" t="n"/>
      <c r="P16" s="257" t="n"/>
      <c r="Q16" s="257" t="n"/>
      <c r="R16" s="257" t="n"/>
      <c r="S16" s="257" t="n"/>
      <c r="T16" s="257" t="n"/>
      <c r="U16" s="257" t="n"/>
      <c r="V16" s="257" t="n"/>
      <c r="W16" s="257" t="n"/>
      <c r="X16" s="257" t="n"/>
      <c r="Y16" s="265" t="n"/>
      <c r="Z16" s="265" t="n"/>
      <c r="AA16" s="265" t="n"/>
      <c r="AB16" s="262" t="n"/>
      <c r="AC16" s="265" t="n"/>
      <c r="AD16" s="267" t="n"/>
      <c r="AE16" s="263" t="n"/>
      <c r="AF16" s="265" t="n"/>
      <c r="AG16" s="268" t="n"/>
      <c r="AH16" s="265" t="n"/>
      <c r="AI16" s="76" t="n"/>
    </row>
    <row r="17" ht="14.4" customHeight="1" s="405">
      <c r="A17" s="82" t="inlineStr">
        <is>
          <t>Tổng</t>
        </is>
      </c>
      <c r="B17" s="282" t="n"/>
      <c r="C17" s="83">
        <f>+D17+E17+F17+G17+H17+I17+J17+K17+L17+M17+N17+O17++P17+Q17+R17+S17+T17+U17+V17+W17+X17+Y17+Z17+AA17+AB17+AC17+AD17+AE17+AF17+AG17+AH17</f>
        <v/>
      </c>
      <c r="D17" s="83">
        <f>SUM(D4:D16) /1.1</f>
        <v/>
      </c>
      <c r="E17" s="282">
        <f>SUM(E4:E16) /1.1</f>
        <v/>
      </c>
      <c r="F17" s="83">
        <f>SUM(F4:F16) /1.1</f>
        <v/>
      </c>
      <c r="G17" s="83">
        <f>SUM(G4:G16) /1.1</f>
        <v/>
      </c>
      <c r="H17" s="83">
        <f>SUM(H4:H16) /1.1</f>
        <v/>
      </c>
      <c r="I17" s="83">
        <f>SUM(I4:I16) /1.1</f>
        <v/>
      </c>
      <c r="J17" s="83">
        <f>SUM(J4:J16) /1.1</f>
        <v/>
      </c>
      <c r="K17" s="83">
        <f>SUM(K4:K16) /1.1</f>
        <v/>
      </c>
      <c r="L17" s="83">
        <f>SUM(L4:L16) /1.1</f>
        <v/>
      </c>
      <c r="M17" s="83">
        <f>SUM(M4:M16) /1.1</f>
        <v/>
      </c>
      <c r="N17" s="83">
        <f>SUM(N4:N16) /1.1</f>
        <v/>
      </c>
      <c r="O17" s="83">
        <f>SUM(O4:O16) /1.1</f>
        <v/>
      </c>
      <c r="P17" s="83">
        <f>SUM(P4:P16) /1.1</f>
        <v/>
      </c>
      <c r="Q17" s="83">
        <f>SUM(Q4:Q16) /1.1</f>
        <v/>
      </c>
      <c r="R17" s="83">
        <f>SUM(R4:R16) /1.1</f>
        <v/>
      </c>
      <c r="S17" s="83">
        <f>SUM(S4:S16) /1.1</f>
        <v/>
      </c>
      <c r="T17" s="83">
        <f>SUM(T4:T16) /1.1</f>
        <v/>
      </c>
      <c r="U17" s="83">
        <f>SUM(U4:U16) /1.1</f>
        <v/>
      </c>
      <c r="V17" s="83">
        <f>SUM(V4:V16) /1.1</f>
        <v/>
      </c>
      <c r="W17" s="83">
        <f>SUM(W4:W16) /1.1</f>
        <v/>
      </c>
      <c r="X17" s="83">
        <f>SUM(X4:X16) /1.1</f>
        <v/>
      </c>
      <c r="Y17" s="83">
        <f>SUM(Y4:Y16) /1.1</f>
        <v/>
      </c>
      <c r="Z17" s="83">
        <f>SUM(Z4:Z16) /1.1</f>
        <v/>
      </c>
      <c r="AA17" s="83">
        <f>SUM(AA4:AA16) /1.1</f>
        <v/>
      </c>
      <c r="AB17" s="83">
        <f>SUM(AB4:AB16) /1.1</f>
        <v/>
      </c>
      <c r="AC17" s="83">
        <f>SUM(AC4:AC16) /1.1</f>
        <v/>
      </c>
      <c r="AD17" s="83">
        <f>SUM(AD4:AD16) /1.1</f>
        <v/>
      </c>
      <c r="AE17" s="83">
        <f>SUM(AE4:AE16) /1.1</f>
        <v/>
      </c>
      <c r="AF17" s="83">
        <f>SUM(AF4:AF16) /1.1</f>
        <v/>
      </c>
      <c r="AG17" s="83">
        <f>SUM(AG4:AG16) /1.1</f>
        <v/>
      </c>
      <c r="AH17" s="83">
        <f>SUM(AH4:AH16) /1.1</f>
        <v/>
      </c>
      <c r="AI17" s="76" t="n"/>
    </row>
    <row r="18" ht="24.75" customHeight="1" s="405">
      <c r="A18" s="283" t="inlineStr">
        <is>
          <t>Kế toán check Hóa đơn</t>
        </is>
      </c>
      <c r="B18" s="248" t="n"/>
      <c r="C18" s="345" t="n"/>
      <c r="D18" s="8" t="n"/>
      <c r="E18" s="248" t="n"/>
      <c r="F18" s="345" t="n"/>
      <c r="G18" s="345" t="n"/>
      <c r="H18" s="345" t="n"/>
      <c r="I18" s="345" t="n"/>
      <c r="J18" s="345" t="n"/>
      <c r="K18" s="345" t="n"/>
      <c r="L18" s="345" t="n"/>
      <c r="M18" s="345" t="n"/>
      <c r="N18" s="345" t="n"/>
      <c r="O18" s="345" t="n"/>
      <c r="P18" s="9" t="n"/>
      <c r="Q18" s="9" t="n"/>
      <c r="R18" s="9" t="n"/>
      <c r="S18" s="9" t="n"/>
      <c r="T18" s="9" t="n"/>
      <c r="U18" s="9" t="n"/>
      <c r="V18" s="9" t="n"/>
      <c r="W18" s="9" t="n"/>
      <c r="X18" s="9" t="n"/>
      <c r="Y18" s="9" t="n"/>
      <c r="Z18" s="9" t="n"/>
      <c r="AA18" s="9" t="n"/>
      <c r="AB18" s="9" t="n"/>
      <c r="AC18" s="9" t="n"/>
      <c r="AD18" s="9" t="n"/>
      <c r="AE18" s="9" t="n"/>
      <c r="AF18" s="9" t="n"/>
      <c r="AG18" s="9" t="n"/>
      <c r="AH18" s="9" t="n"/>
      <c r="AI18" s="9" t="n"/>
    </row>
    <row r="19" ht="24.75" customHeight="1" s="405">
      <c r="A19" s="284" t="inlineStr">
        <is>
          <t>Chênh lệch</t>
        </is>
      </c>
      <c r="B19" s="248" t="n"/>
      <c r="C19" s="345" t="n"/>
      <c r="D19" s="113">
        <f>D17-D18</f>
        <v/>
      </c>
      <c r="E19" s="285">
        <f>E17-E18</f>
        <v/>
      </c>
      <c r="F19" s="113">
        <f>F17-F18</f>
        <v/>
      </c>
      <c r="G19" s="113">
        <f>G17-G18</f>
        <v/>
      </c>
      <c r="H19" s="113">
        <f>H17-H18</f>
        <v/>
      </c>
      <c r="I19" s="113">
        <f>I17-I18</f>
        <v/>
      </c>
      <c r="J19" s="113">
        <f>J17-J18</f>
        <v/>
      </c>
      <c r="K19" s="113">
        <f>K17-K18</f>
        <v/>
      </c>
      <c r="L19" s="113">
        <f>L17-L18</f>
        <v/>
      </c>
      <c r="M19" s="113">
        <f>M17-M18</f>
        <v/>
      </c>
      <c r="N19" s="113">
        <f>N17-N18</f>
        <v/>
      </c>
      <c r="O19" s="113">
        <f>O17-O18</f>
        <v/>
      </c>
      <c r="P19" s="113">
        <f>P17-P18</f>
        <v/>
      </c>
      <c r="Q19" s="113">
        <f>Q17-Q18</f>
        <v/>
      </c>
      <c r="R19" s="113">
        <f>R17-R18</f>
        <v/>
      </c>
      <c r="S19" s="113">
        <f>S17-S18</f>
        <v/>
      </c>
      <c r="T19" s="113">
        <f>T17-T18</f>
        <v/>
      </c>
      <c r="U19" s="113">
        <f>U17-U18</f>
        <v/>
      </c>
      <c r="V19" s="113">
        <f>V17-V18</f>
        <v/>
      </c>
      <c r="W19" s="113">
        <f>W17-W18</f>
        <v/>
      </c>
      <c r="X19" s="113">
        <f>X17-X18</f>
        <v/>
      </c>
      <c r="Y19" s="113">
        <f>Y17-Y18</f>
        <v/>
      </c>
      <c r="Z19" s="113">
        <f>Z17-Z18</f>
        <v/>
      </c>
      <c r="AA19" s="113">
        <f>AA17-AA18</f>
        <v/>
      </c>
      <c r="AB19" s="113">
        <f>AB17-AB18</f>
        <v/>
      </c>
      <c r="AC19" s="113">
        <f>AC17-AC18</f>
        <v/>
      </c>
      <c r="AD19" s="113">
        <f>AD17-AD18</f>
        <v/>
      </c>
      <c r="AE19" s="113">
        <f>AE17-AE18</f>
        <v/>
      </c>
      <c r="AF19" s="113">
        <f>AF17-AF18</f>
        <v/>
      </c>
      <c r="AG19" s="113">
        <f>AG17-AG18</f>
        <v/>
      </c>
      <c r="AH19" s="113">
        <f>AH17-AH18</f>
        <v/>
      </c>
      <c r="AI19" s="9" t="n"/>
    </row>
    <row r="20" ht="13.2" customHeight="1" s="405">
      <c r="B20" s="218" t="n"/>
      <c r="E20" s="218" t="n"/>
    </row>
    <row r="21" ht="13.2" customHeight="1" s="405">
      <c r="B21" s="218" t="n"/>
      <c r="E21" s="218" t="n"/>
    </row>
    <row r="22" ht="13.8" customHeight="1" s="405">
      <c r="B22" s="286" t="inlineStr">
        <is>
          <t>Facebook Billing</t>
        </is>
      </c>
      <c r="D22" s="118" t="n"/>
      <c r="E22" s="218" t="n"/>
    </row>
    <row r="23" ht="31.2" customHeight="1" s="405">
      <c r="B23" s="119" t="inlineStr">
        <is>
          <t>Ngày thanh toán</t>
        </is>
      </c>
      <c r="C23" s="119" t="inlineStr">
        <is>
          <t>Phương thức TT</t>
        </is>
      </c>
      <c r="D23" s="119" t="inlineStr">
        <is>
          <t>Số tham chiếu thẻ</t>
        </is>
      </c>
      <c r="E23" s="120" t="inlineStr">
        <is>
          <t>Số tiền</t>
        </is>
      </c>
      <c r="G23" s="287" t="inlineStr">
        <is>
          <t xml:space="preserve">Link thư mục ảnh hóa đơn </t>
        </is>
      </c>
      <c r="I23" s="288" t="inlineStr">
        <is>
          <t>https://drive.google.com/drive/folders/1KxKUAAoEgDO60LcR79CJ55uehYCleDOu?usp=sharing</t>
        </is>
      </c>
      <c r="J23" t="inlineStr">
        <is>
          <t>Ten tab nguon</t>
        </is>
      </c>
    </row>
    <row r="24" ht="13.2" customHeight="1" s="405">
      <c r="B24" s="289" t="n">
        <v>46204</v>
      </c>
      <c r="C24" s="290" t="inlineStr">
        <is>
          <t>Visa ···· 7923</t>
        </is>
      </c>
      <c r="D24" s="290" t="inlineStr">
        <is>
          <t>ACAGSV97J2</t>
        </is>
      </c>
      <c r="E24" s="291" t="n">
        <v>6652074</v>
      </c>
      <c r="F24" s="449" t="inlineStr">
        <is>
          <t>1 Tháng 7, 2026</t>
        </is>
      </c>
      <c r="G24" s="450" t="n">
        <v>6652074</v>
      </c>
      <c r="H24" s="188" t="inlineStr">
        <is>
          <t>Visa ···· 7923</t>
        </is>
      </c>
      <c r="I24" s="188" t="inlineStr">
        <is>
          <t>ACAGSV97J2</t>
        </is>
      </c>
      <c r="J24" s="188" t="inlineStr">
        <is>
          <t>Trang tính13</t>
        </is>
      </c>
    </row>
    <row r="25" ht="13.2" customHeight="1" s="405">
      <c r="B25" s="292" t="n">
        <v>46204</v>
      </c>
      <c r="C25" s="293" t="inlineStr">
        <is>
          <t>Visa ···· 7923</t>
        </is>
      </c>
      <c r="D25" s="293" t="inlineStr">
        <is>
          <t>HRZ34WZGX2</t>
        </is>
      </c>
      <c r="E25" s="294" t="n">
        <v>5511690</v>
      </c>
      <c r="F25" s="451" t="inlineStr">
        <is>
          <t>1 Tháng 7, 2026</t>
        </is>
      </c>
      <c r="G25" s="452" t="n">
        <v>5511690</v>
      </c>
      <c r="H25" s="127" t="inlineStr">
        <is>
          <t>Visa ···· 7923</t>
        </is>
      </c>
      <c r="I25" s="127" t="inlineStr">
        <is>
          <t>HRZ34WZGX2</t>
        </is>
      </c>
      <c r="J25" s="127" t="inlineStr">
        <is>
          <t>Trang tính5</t>
        </is>
      </c>
    </row>
    <row r="26" ht="13.2" customHeight="1" s="405">
      <c r="B26" s="292" t="n">
        <v>46204</v>
      </c>
      <c r="C26" s="293" t="inlineStr">
        <is>
          <t>Visa ···· 7923</t>
        </is>
      </c>
      <c r="D26" s="293" t="inlineStr">
        <is>
          <t>Q2UD6VVHX2</t>
        </is>
      </c>
      <c r="E26" s="294" t="n">
        <v>5746165</v>
      </c>
      <c r="F26" s="451" t="inlineStr">
        <is>
          <t>1 Tháng 7, 2026</t>
        </is>
      </c>
      <c r="G26" s="452" t="n">
        <v>5746165</v>
      </c>
      <c r="H26" s="127" t="inlineStr">
        <is>
          <t>Visa ···· 7923</t>
        </is>
      </c>
      <c r="I26" s="127" t="inlineStr">
        <is>
          <t>Q2UD6VVHX2</t>
        </is>
      </c>
      <c r="J26" s="127" t="inlineStr">
        <is>
          <t>Trang tính5</t>
        </is>
      </c>
    </row>
    <row r="27" ht="13.2" customHeight="1" s="405">
      <c r="B27" s="292" t="n">
        <v>46205</v>
      </c>
      <c r="C27" s="293" t="inlineStr">
        <is>
          <t>Visa ···· 7923</t>
        </is>
      </c>
      <c r="D27" s="293" t="inlineStr">
        <is>
          <t>YGZ2LV5HX2</t>
        </is>
      </c>
      <c r="E27" s="294" t="n">
        <v>5613204</v>
      </c>
      <c r="F27" s="451" t="inlineStr">
        <is>
          <t>2 Tháng 7, 2026</t>
        </is>
      </c>
      <c r="G27" s="452" t="n">
        <v>5613204</v>
      </c>
      <c r="H27" s="127" t="inlineStr">
        <is>
          <t>Visa ···· 7923</t>
        </is>
      </c>
      <c r="I27" s="127" t="inlineStr">
        <is>
          <t>YGZ2LV5HX2</t>
        </is>
      </c>
      <c r="J27" s="127" t="inlineStr">
        <is>
          <t>Trang tính5</t>
        </is>
      </c>
    </row>
    <row r="28" ht="13.2" customHeight="1" s="405">
      <c r="B28" s="292" t="n">
        <v>46205</v>
      </c>
      <c r="C28" s="293" t="inlineStr">
        <is>
          <t>Visa ···· 7923</t>
        </is>
      </c>
      <c r="D28" s="293" t="inlineStr">
        <is>
          <t>D8LPAVVHX2</t>
        </is>
      </c>
      <c r="E28" s="294" t="n">
        <v>7990992</v>
      </c>
      <c r="F28" s="451" t="inlineStr">
        <is>
          <t>2 Tháng 7, 2026</t>
        </is>
      </c>
      <c r="G28" s="452" t="n">
        <v>7990992</v>
      </c>
      <c r="H28" s="127" t="inlineStr">
        <is>
          <t>Visa ···· 7923</t>
        </is>
      </c>
      <c r="I28" s="127" t="inlineStr">
        <is>
          <t>D8LPAVVHX2</t>
        </is>
      </c>
      <c r="J28" s="127" t="inlineStr">
        <is>
          <t>Trang tính5</t>
        </is>
      </c>
    </row>
    <row r="29" ht="13.2" customHeight="1" s="405">
      <c r="B29" s="292" t="n">
        <v>46206</v>
      </c>
      <c r="C29" s="293" t="inlineStr">
        <is>
          <t>Visa ···· 7923</t>
        </is>
      </c>
      <c r="D29" s="293" t="inlineStr">
        <is>
          <t>8PGASYRHX2</t>
        </is>
      </c>
      <c r="E29" s="294" t="n">
        <v>7990992</v>
      </c>
      <c r="F29" s="451" t="inlineStr">
        <is>
          <t>3 Tháng 7, 2026</t>
        </is>
      </c>
      <c r="G29" s="452" t="n">
        <v>7990992</v>
      </c>
      <c r="H29" s="127" t="inlineStr">
        <is>
          <t>Visa ···· 7923</t>
        </is>
      </c>
      <c r="I29" s="127" t="inlineStr">
        <is>
          <t>8PGASYRHX2</t>
        </is>
      </c>
      <c r="J29" s="127" t="inlineStr">
        <is>
          <t>Trang tính5</t>
        </is>
      </c>
    </row>
    <row r="30" ht="13.2" customHeight="1" s="405">
      <c r="B30" s="292" t="n">
        <v>46208</v>
      </c>
      <c r="C30" s="293" t="inlineStr">
        <is>
          <t>Visa ···· 7923</t>
        </is>
      </c>
      <c r="D30" s="293" t="inlineStr">
        <is>
          <t>3CHDWV5HX2</t>
        </is>
      </c>
      <c r="E30" s="294" t="n">
        <v>12210187</v>
      </c>
      <c r="F30" s="451" t="inlineStr">
        <is>
          <t>5 Tháng 7, 2026</t>
        </is>
      </c>
      <c r="G30" s="452" t="n">
        <v>12210187</v>
      </c>
      <c r="H30" s="127" t="inlineStr">
        <is>
          <t>Visa ···· 7923</t>
        </is>
      </c>
      <c r="I30" s="127" t="inlineStr">
        <is>
          <t>3CHDWV5HX2</t>
        </is>
      </c>
      <c r="J30" s="127" t="inlineStr">
        <is>
          <t>Trang tính5</t>
        </is>
      </c>
    </row>
    <row r="31" ht="13.2" customHeight="1" s="405">
      <c r="B31" s="292" t="n">
        <v>46208</v>
      </c>
      <c r="C31" s="293" t="inlineStr">
        <is>
          <t>Visa ···· 7923</t>
        </is>
      </c>
      <c r="D31" s="293" t="inlineStr">
        <is>
          <t>8ZMGZYRHX2</t>
        </is>
      </c>
      <c r="E31" s="294" t="n">
        <v>974840</v>
      </c>
      <c r="F31" s="451" t="inlineStr">
        <is>
          <t>5 Tháng 7, 2026</t>
        </is>
      </c>
      <c r="G31" s="452" t="n">
        <v>974840</v>
      </c>
      <c r="H31" s="127" t="inlineStr">
        <is>
          <t>Visa ···· 7923</t>
        </is>
      </c>
      <c r="I31" s="127" t="inlineStr">
        <is>
          <t>8ZMGZYRHX2</t>
        </is>
      </c>
      <c r="J31" s="127" t="inlineStr">
        <is>
          <t>Trang tính5</t>
        </is>
      </c>
    </row>
    <row r="32" ht="13.2" customHeight="1" s="405">
      <c r="B32" s="292" t="n">
        <v>46208</v>
      </c>
      <c r="C32" s="293" t="inlineStr">
        <is>
          <t>Visa ···· 7923</t>
        </is>
      </c>
      <c r="D32" s="293" t="inlineStr">
        <is>
          <t>N8RR7WVGX2</t>
        </is>
      </c>
      <c r="E32" s="294" t="n">
        <v>1949680</v>
      </c>
      <c r="F32" s="451" t="inlineStr">
        <is>
          <t>5 Tháng 7, 2026</t>
        </is>
      </c>
      <c r="G32" s="452" t="n">
        <v>1949680</v>
      </c>
      <c r="H32" s="127" t="inlineStr">
        <is>
          <t>Visa ···· 7923</t>
        </is>
      </c>
      <c r="I32" s="127" t="inlineStr">
        <is>
          <t>N8RR7WVGX2</t>
        </is>
      </c>
      <c r="J32" s="127" t="inlineStr">
        <is>
          <t>Trang tính5</t>
        </is>
      </c>
    </row>
    <row r="33" ht="13.2" customHeight="1" s="405">
      <c r="B33" s="292" t="n">
        <v>46209</v>
      </c>
      <c r="C33" s="293" t="inlineStr">
        <is>
          <t>Visa ···· 7923</t>
        </is>
      </c>
      <c r="D33" s="293" t="inlineStr">
        <is>
          <t>BF5D5W9HX2</t>
        </is>
      </c>
      <c r="E33" s="294" t="n">
        <v>5384264</v>
      </c>
      <c r="F33" s="451" t="inlineStr">
        <is>
          <t>6 Tháng 7, 2026</t>
        </is>
      </c>
      <c r="G33" s="452" t="n">
        <v>5384264</v>
      </c>
      <c r="H33" s="127" t="inlineStr">
        <is>
          <t>Visa ···· 7923</t>
        </is>
      </c>
      <c r="I33" s="127" t="inlineStr">
        <is>
          <t>BF5D5W9HX2</t>
        </is>
      </c>
      <c r="J33" s="127" t="inlineStr">
        <is>
          <t>Trang tính5</t>
        </is>
      </c>
    </row>
    <row r="34" ht="13.2" customHeight="1" s="405">
      <c r="B34" s="292" t="n">
        <v>46209</v>
      </c>
      <c r="C34" s="293" t="inlineStr">
        <is>
          <t>Visa ···· 7923</t>
        </is>
      </c>
      <c r="D34" s="293" t="inlineStr">
        <is>
          <t>83XVQVVHX2</t>
        </is>
      </c>
      <c r="E34" s="294" t="n">
        <v>7776006</v>
      </c>
      <c r="F34" s="451" t="inlineStr">
        <is>
          <t>6 Tháng 7, 2026</t>
        </is>
      </c>
      <c r="G34" s="452" t="n">
        <v>7776006</v>
      </c>
      <c r="H34" s="127" t="inlineStr">
        <is>
          <t>Visa ···· 7923</t>
        </is>
      </c>
      <c r="I34" s="127" t="inlineStr">
        <is>
          <t>83XVQVVHX2</t>
        </is>
      </c>
      <c r="J34" s="127" t="inlineStr">
        <is>
          <t>Trang tính5</t>
        </is>
      </c>
    </row>
    <row r="35" ht="13.2" customHeight="1" s="405">
      <c r="B35" s="292" t="n">
        <v>46210</v>
      </c>
      <c r="C35" s="293" t="inlineStr">
        <is>
          <t>Visa ···· 7923</t>
        </is>
      </c>
      <c r="D35" s="293" t="inlineStr">
        <is>
          <t>7C8P9W9HX2</t>
        </is>
      </c>
      <c r="E35" s="294" t="n">
        <v>7776006</v>
      </c>
      <c r="F35" s="451" t="inlineStr">
        <is>
          <t>7 Tháng 7, 2026</t>
        </is>
      </c>
      <c r="G35" s="452" t="n">
        <v>7776006</v>
      </c>
      <c r="H35" s="127" t="inlineStr">
        <is>
          <t>Visa ···· 7923</t>
        </is>
      </c>
      <c r="I35" s="127" t="inlineStr">
        <is>
          <t>7C8P9W9HX2</t>
        </is>
      </c>
      <c r="J35" s="127" t="inlineStr">
        <is>
          <t>Trang tính5</t>
        </is>
      </c>
    </row>
    <row r="36" ht="13.2" customHeight="1" s="405">
      <c r="B36" s="292" t="n">
        <v>46211</v>
      </c>
      <c r="C36" s="293" t="inlineStr">
        <is>
          <t>Visa ···· 7923</t>
        </is>
      </c>
      <c r="D36" s="293" t="inlineStr">
        <is>
          <t>FQNH9W5HX2</t>
        </is>
      </c>
      <c r="E36" s="294" t="n">
        <v>10244363</v>
      </c>
      <c r="F36" s="451" t="inlineStr">
        <is>
          <t>8 Tháng 7, 2026</t>
        </is>
      </c>
      <c r="G36" s="452" t="n">
        <v>10244363</v>
      </c>
      <c r="H36" s="127" t="inlineStr">
        <is>
          <t>Visa ···· 7923</t>
        </is>
      </c>
      <c r="I36" s="127" t="inlineStr">
        <is>
          <t>FQNH9W5HX2</t>
        </is>
      </c>
      <c r="J36" s="127" t="inlineStr">
        <is>
          <t>Trang tính5</t>
        </is>
      </c>
    </row>
    <row r="37" ht="13.2" customHeight="1" s="405">
      <c r="B37" s="292" t="n">
        <v>46212</v>
      </c>
      <c r="C37" s="293" t="inlineStr">
        <is>
          <t>Visa ···· 7923</t>
        </is>
      </c>
      <c r="D37" s="293" t="inlineStr">
        <is>
          <t>UL3GDZRHX2</t>
        </is>
      </c>
      <c r="E37" s="294" t="n">
        <v>10244363</v>
      </c>
      <c r="F37" s="451" t="inlineStr">
        <is>
          <t>9 Tháng 7, 2026</t>
        </is>
      </c>
      <c r="G37" s="452" t="n">
        <v>10244363</v>
      </c>
      <c r="H37" s="127" t="inlineStr">
        <is>
          <t>Visa ···· 7923</t>
        </is>
      </c>
      <c r="I37" s="127" t="inlineStr">
        <is>
          <t>UL3GDZRHX2</t>
        </is>
      </c>
      <c r="J37" s="127" t="inlineStr">
        <is>
          <t>Trang tính5</t>
        </is>
      </c>
    </row>
    <row r="38" ht="13.2" customHeight="1" s="405">
      <c r="B38" s="292" t="n">
        <v>46213</v>
      </c>
      <c r="C38" s="293" t="inlineStr">
        <is>
          <t>Visa ···· 7923</t>
        </is>
      </c>
      <c r="D38" s="293" t="inlineStr">
        <is>
          <t>DER23XZGX2</t>
        </is>
      </c>
      <c r="E38" s="294" t="n">
        <v>11504087</v>
      </c>
      <c r="F38" s="451" t="inlineStr">
        <is>
          <t>10 Tháng 7, 2026</t>
        </is>
      </c>
      <c r="G38" s="452" t="n">
        <v>11504087</v>
      </c>
      <c r="H38" s="127" t="inlineStr">
        <is>
          <t>Visa ···· 7923</t>
        </is>
      </c>
      <c r="I38" s="127" t="inlineStr">
        <is>
          <t>DER23XZGX2</t>
        </is>
      </c>
      <c r="J38" s="127" t="inlineStr">
        <is>
          <t>Trang tính5</t>
        </is>
      </c>
    </row>
    <row r="39" ht="13.2" customHeight="1" s="405">
      <c r="B39" s="292" t="n">
        <v>46214</v>
      </c>
      <c r="C39" s="293" t="inlineStr">
        <is>
          <t>Visa ···· 7923</t>
        </is>
      </c>
      <c r="D39" s="293" t="inlineStr">
        <is>
          <t>WK5V7WVHX2</t>
        </is>
      </c>
      <c r="E39" s="294" t="n">
        <v>10338551</v>
      </c>
      <c r="F39" s="451" t="inlineStr">
        <is>
          <t>11 Tháng 7, 2026</t>
        </is>
      </c>
      <c r="G39" s="452" t="n">
        <v>10338551</v>
      </c>
      <c r="H39" s="127" t="inlineStr">
        <is>
          <t>Visa ···· 7923</t>
        </is>
      </c>
      <c r="I39" s="127" t="inlineStr">
        <is>
          <t>WK5V7WVHX2</t>
        </is>
      </c>
      <c r="J39" s="127" t="inlineStr">
        <is>
          <t>Trang tính5</t>
        </is>
      </c>
    </row>
    <row r="40" ht="13.2" customHeight="1" s="405">
      <c r="B40" s="292" t="n">
        <v>46215</v>
      </c>
      <c r="C40" s="293" t="inlineStr">
        <is>
          <t>Visa ···· 7923</t>
        </is>
      </c>
      <c r="D40" s="293" t="inlineStr">
        <is>
          <t>NAG33YHHX2</t>
        </is>
      </c>
      <c r="E40" s="294" t="n">
        <v>9914329</v>
      </c>
      <c r="F40" s="451" t="inlineStr">
        <is>
          <t>12 Tháng 7, 2026</t>
        </is>
      </c>
      <c r="G40" s="452" t="n">
        <v>9914329</v>
      </c>
      <c r="H40" s="127" t="inlineStr">
        <is>
          <t>Visa ···· 7923</t>
        </is>
      </c>
      <c r="I40" s="127" t="inlineStr">
        <is>
          <t>NAG33YHHX2</t>
        </is>
      </c>
      <c r="J40" s="127" t="inlineStr">
        <is>
          <t>Trang tính5</t>
        </is>
      </c>
    </row>
    <row r="41" ht="13.2" customHeight="1" s="405">
      <c r="B41" s="292" t="n">
        <v>46216</v>
      </c>
      <c r="C41" s="293" t="inlineStr">
        <is>
          <t>Visa ···· 7923</t>
        </is>
      </c>
      <c r="D41" s="293" t="inlineStr">
        <is>
          <t>JUR62XVGX2</t>
        </is>
      </c>
      <c r="E41" s="294" t="n">
        <v>9914329</v>
      </c>
      <c r="F41" s="451" t="inlineStr">
        <is>
          <t>13 Tháng 7, 2026</t>
        </is>
      </c>
      <c r="G41" s="452" t="n">
        <v>9914329</v>
      </c>
      <c r="H41" s="127" t="inlineStr">
        <is>
          <t>Visa ···· 7923</t>
        </is>
      </c>
      <c r="I41" s="127" t="inlineStr">
        <is>
          <t>JUR62XVGX2</t>
        </is>
      </c>
      <c r="J41" s="127" t="inlineStr">
        <is>
          <t>Trang tính5</t>
        </is>
      </c>
    </row>
    <row r="42" ht="13.2" customHeight="1" s="405">
      <c r="B42" s="292" t="n">
        <v>46217</v>
      </c>
      <c r="C42" s="293" t="inlineStr">
        <is>
          <t>Visa ···· 7923</t>
        </is>
      </c>
      <c r="D42" s="293" t="inlineStr">
        <is>
          <t>VXAG5XVGX2</t>
        </is>
      </c>
      <c r="E42" s="294" t="n">
        <v>11073477</v>
      </c>
      <c r="F42" s="451" t="inlineStr">
        <is>
          <t>14 Tháng 7, 2026</t>
        </is>
      </c>
      <c r="G42" s="452" t="n">
        <v>11073477</v>
      </c>
      <c r="H42" s="127" t="inlineStr">
        <is>
          <t>Visa ···· 7923</t>
        </is>
      </c>
      <c r="I42" s="127" t="inlineStr">
        <is>
          <t>VXAG5XVGX2</t>
        </is>
      </c>
      <c r="J42" s="127" t="inlineStr">
        <is>
          <t>Trang tính5</t>
        </is>
      </c>
    </row>
    <row r="43" ht="13.2" customHeight="1" s="405">
      <c r="B43" s="292" t="n">
        <v>46219</v>
      </c>
      <c r="C43" s="293" t="inlineStr">
        <is>
          <t>Visa ···· 7923</t>
        </is>
      </c>
      <c r="D43" s="293" t="inlineStr">
        <is>
          <t>D4HKGYHHX2</t>
        </is>
      </c>
      <c r="E43" s="294" t="n">
        <v>14603420</v>
      </c>
      <c r="F43" s="451" t="inlineStr">
        <is>
          <t>16 Tháng 7, 2026</t>
        </is>
      </c>
      <c r="G43" s="452" t="n">
        <v>14603420</v>
      </c>
      <c r="H43" s="127" t="inlineStr">
        <is>
          <t>Visa ···· 7923</t>
        </is>
      </c>
      <c r="I43" s="127" t="inlineStr">
        <is>
          <t>D4HKGYHHX2</t>
        </is>
      </c>
      <c r="J43" s="127" t="inlineStr">
        <is>
          <t>Trang tính5</t>
        </is>
      </c>
    </row>
    <row r="44" ht="13.2" customHeight="1" s="405">
      <c r="B44" s="292" t="n">
        <v>46221</v>
      </c>
      <c r="C44" s="293" t="inlineStr">
        <is>
          <t>Visa ···· 7923</t>
        </is>
      </c>
      <c r="D44" s="293" t="inlineStr">
        <is>
          <t>UVV3A2NHX4</t>
        </is>
      </c>
      <c r="E44" s="294" t="n">
        <v>14603420</v>
      </c>
      <c r="F44" s="451" t="inlineStr">
        <is>
          <t>18 Tháng 7, 2026</t>
        </is>
      </c>
      <c r="G44" s="452" t="n">
        <v>14603420</v>
      </c>
      <c r="H44" s="127" t="inlineStr">
        <is>
          <t>Visa ···· 7923</t>
        </is>
      </c>
      <c r="I44" s="127" t="inlineStr">
        <is>
          <t>UVV3A2NHX4</t>
        </is>
      </c>
      <c r="J44" s="127" t="inlineStr">
        <is>
          <t>Trang tính5</t>
        </is>
      </c>
    </row>
    <row r="45" ht="13.2" customHeight="1" s="405">
      <c r="B45" s="292" t="n">
        <v>46222</v>
      </c>
      <c r="C45" s="293" t="inlineStr">
        <is>
          <t>Visa ···· 7923</t>
        </is>
      </c>
      <c r="D45" s="293" t="inlineStr">
        <is>
          <t>7Q7FZXZGX2</t>
        </is>
      </c>
      <c r="E45" s="294" t="n">
        <v>11499414</v>
      </c>
      <c r="F45" s="451" t="inlineStr">
        <is>
          <t>19 Tháng 7, 2026</t>
        </is>
      </c>
      <c r="G45" s="452" t="n">
        <v>11499414</v>
      </c>
      <c r="H45" s="127" t="inlineStr">
        <is>
          <t>Visa ···· 7923</t>
        </is>
      </c>
      <c r="I45" s="127" t="inlineStr">
        <is>
          <t>7Q7FZXZGX2</t>
        </is>
      </c>
      <c r="J45" s="127" t="inlineStr">
        <is>
          <t>Trang tính5</t>
        </is>
      </c>
    </row>
    <row r="46" ht="13.2" customHeight="1" s="405">
      <c r="B46" s="292" t="n">
        <v>46223</v>
      </c>
      <c r="C46" s="293" t="inlineStr">
        <is>
          <t>Visa ···· 7923</t>
        </is>
      </c>
      <c r="D46" s="293" t="inlineStr">
        <is>
          <t>RYE25YZGX2</t>
        </is>
      </c>
      <c r="E46" s="294" t="n">
        <v>11499414</v>
      </c>
      <c r="F46" s="451" t="inlineStr">
        <is>
          <t>20 Tháng 7, 2026</t>
        </is>
      </c>
      <c r="G46" s="452" t="n">
        <v>11499414</v>
      </c>
      <c r="H46" s="127" t="inlineStr">
        <is>
          <t>Visa ···· 7923</t>
        </is>
      </c>
      <c r="I46" s="127" t="inlineStr">
        <is>
          <t>RYE25YZGX2</t>
        </is>
      </c>
      <c r="J46" s="127" t="inlineStr">
        <is>
          <t>Trang tính5</t>
        </is>
      </c>
    </row>
    <row r="47" ht="13.2" customHeight="1" s="405">
      <c r="B47" s="292" t="n">
        <v>46224</v>
      </c>
      <c r="C47" s="293" t="inlineStr">
        <is>
          <t>Visa ···· 7923</t>
        </is>
      </c>
      <c r="D47" s="293" t="inlineStr">
        <is>
          <t>ANA29YZGX2</t>
        </is>
      </c>
      <c r="E47" s="294" t="n">
        <v>11499414</v>
      </c>
      <c r="F47" s="451" t="inlineStr">
        <is>
          <t>21 Tháng 7, 2026</t>
        </is>
      </c>
      <c r="G47" s="452" t="n">
        <v>11499414</v>
      </c>
      <c r="H47" s="127" t="inlineStr">
        <is>
          <t>Visa ···· 7923</t>
        </is>
      </c>
      <c r="I47" s="127" t="inlineStr">
        <is>
          <t>ANA29YZGX2</t>
        </is>
      </c>
      <c r="J47" s="127" t="inlineStr">
        <is>
          <t>Trang tính5</t>
        </is>
      </c>
    </row>
    <row r="48" ht="13.2" customHeight="1" s="405">
      <c r="B48" s="292" t="n">
        <v>46225</v>
      </c>
      <c r="C48" s="293" t="inlineStr">
        <is>
          <t>Visa ···· 7923</t>
        </is>
      </c>
      <c r="D48" s="293" t="inlineStr">
        <is>
          <t>T9ZDVX9HX2</t>
        </is>
      </c>
      <c r="E48" s="294" t="n">
        <v>11499414</v>
      </c>
      <c r="F48" s="451" t="inlineStr">
        <is>
          <t>22 Tháng 7, 2026</t>
        </is>
      </c>
      <c r="G48" s="452" t="n">
        <v>11499414</v>
      </c>
      <c r="H48" s="127" t="inlineStr">
        <is>
          <t>Visa ···· 7923</t>
        </is>
      </c>
      <c r="I48" s="127" t="inlineStr">
        <is>
          <t>T9ZDVX9HX2</t>
        </is>
      </c>
      <c r="J48" s="127" t="inlineStr">
        <is>
          <t>Trang tính5</t>
        </is>
      </c>
    </row>
    <row r="49" ht="13.2" customHeight="1" s="405">
      <c r="B49" s="292" t="n">
        <v>46227</v>
      </c>
      <c r="C49" s="293" t="inlineStr">
        <is>
          <t>Visa ···· 7923</t>
        </is>
      </c>
      <c r="D49" s="293" t="inlineStr">
        <is>
          <t>LQT8XX5HX2</t>
        </is>
      </c>
      <c r="E49" s="294" t="n">
        <v>11499414</v>
      </c>
      <c r="F49" s="451" t="inlineStr">
        <is>
          <t>24 Tháng 7, 2026</t>
        </is>
      </c>
      <c r="G49" s="452" t="n">
        <v>11499414</v>
      </c>
      <c r="H49" s="127" t="inlineStr">
        <is>
          <t>Visa ···· 7923</t>
        </is>
      </c>
      <c r="I49" s="127" t="inlineStr">
        <is>
          <t>LQT8XX5HX2</t>
        </is>
      </c>
      <c r="J49" s="127" t="inlineStr">
        <is>
          <t>Trang tính5</t>
        </is>
      </c>
    </row>
    <row r="50" ht="13.2" customHeight="1" s="405">
      <c r="B50" s="292" t="n">
        <v>46228</v>
      </c>
      <c r="C50" s="293" t="inlineStr">
        <is>
          <t>Visa ···· 7923</t>
        </is>
      </c>
      <c r="D50" s="293" t="inlineStr">
        <is>
          <t>QKRN43NHX4</t>
        </is>
      </c>
      <c r="E50" s="294" t="n">
        <v>11499414</v>
      </c>
      <c r="F50" s="451" t="inlineStr">
        <is>
          <t>25 Tháng 7, 2026</t>
        </is>
      </c>
      <c r="G50" s="452" t="n">
        <v>11499414</v>
      </c>
      <c r="H50" s="127" t="inlineStr">
        <is>
          <t>Visa ···· 7923</t>
        </is>
      </c>
      <c r="I50" s="127" t="inlineStr">
        <is>
          <t>QKRN43NHX4</t>
        </is>
      </c>
      <c r="J50" s="127" t="inlineStr">
        <is>
          <t>Trang tính5</t>
        </is>
      </c>
    </row>
    <row r="51" ht="13.2" customHeight="1" s="405">
      <c r="B51" s="292" t="n">
        <v>46229</v>
      </c>
      <c r="C51" s="293" t="inlineStr">
        <is>
          <t>Visa ···· 7923</t>
        </is>
      </c>
      <c r="D51" s="293" t="inlineStr">
        <is>
          <t>SAMMEYDHX2</t>
        </is>
      </c>
      <c r="E51" s="294" t="n">
        <v>11499414</v>
      </c>
      <c r="F51" s="451" t="inlineStr">
        <is>
          <t>26 Tháng 7, 2026</t>
        </is>
      </c>
      <c r="G51" s="452" t="n">
        <v>11499414</v>
      </c>
      <c r="H51" s="127" t="inlineStr">
        <is>
          <t>Visa ···· 7923</t>
        </is>
      </c>
      <c r="I51" s="127" t="inlineStr">
        <is>
          <t>SAMMEYDHX2</t>
        </is>
      </c>
      <c r="J51" s="127" t="inlineStr">
        <is>
          <t>Trang tính5</t>
        </is>
      </c>
    </row>
    <row r="52" ht="13.2" customHeight="1" s="405">
      <c r="B52" s="292" t="n">
        <v>46232</v>
      </c>
      <c r="C52" s="293" t="inlineStr">
        <is>
          <t>Visa ···· 7923</t>
        </is>
      </c>
      <c r="D52" s="293" t="inlineStr">
        <is>
          <t>FKWYKY9HX2</t>
        </is>
      </c>
      <c r="E52" s="294" t="n">
        <v>1517286</v>
      </c>
      <c r="F52" s="451" t="inlineStr">
        <is>
          <t>29 Tháng 7, 2026</t>
        </is>
      </c>
      <c r="G52" s="452" t="n">
        <v>1517286</v>
      </c>
      <c r="H52" s="127" t="inlineStr">
        <is>
          <t>Visa ···· 7923</t>
        </is>
      </c>
      <c r="I52" s="127" t="inlineStr">
        <is>
          <t>FKWYKY9HX2</t>
        </is>
      </c>
      <c r="J52" s="127" t="inlineStr">
        <is>
          <t>Trang tính5</t>
        </is>
      </c>
    </row>
    <row r="53" ht="13.2" customHeight="1" s="405">
      <c r="B53" s="292" t="n">
        <v>46232</v>
      </c>
      <c r="C53" s="293" t="inlineStr">
        <is>
          <t>Visa ···· 7923</t>
        </is>
      </c>
      <c r="D53" s="293" t="inlineStr">
        <is>
          <t>BCXHQYDHX2</t>
        </is>
      </c>
      <c r="E53" s="294" t="n">
        <v>3034572</v>
      </c>
      <c r="F53" s="451" t="inlineStr">
        <is>
          <t>29 Tháng 7, 2026</t>
        </is>
      </c>
      <c r="G53" s="452" t="n">
        <v>3034572</v>
      </c>
      <c r="H53" s="127" t="inlineStr">
        <is>
          <t>Visa ···· 7923</t>
        </is>
      </c>
      <c r="I53" s="127" t="inlineStr">
        <is>
          <t>BCXHQYDHX2</t>
        </is>
      </c>
      <c r="J53" s="127" t="inlineStr">
        <is>
          <t>Trang tính5</t>
        </is>
      </c>
    </row>
    <row r="54" ht="13.2" customHeight="1" s="405">
      <c r="B54" s="292" t="n">
        <v>46232</v>
      </c>
      <c r="C54" s="293" t="inlineStr">
        <is>
          <t>Visa ···· 7923</t>
        </is>
      </c>
      <c r="D54" s="293" t="inlineStr">
        <is>
          <t>TANYVZHHX2</t>
        </is>
      </c>
      <c r="E54" s="294" t="n">
        <v>6069144</v>
      </c>
      <c r="F54" s="451" t="inlineStr">
        <is>
          <t>29 Tháng 7, 2026</t>
        </is>
      </c>
      <c r="G54" s="452" t="n">
        <v>6069144</v>
      </c>
      <c r="H54" s="127" t="inlineStr">
        <is>
          <t>Visa ···· 7923</t>
        </is>
      </c>
      <c r="I54" s="127" t="inlineStr">
        <is>
          <t>TANYVZHHX2</t>
        </is>
      </c>
      <c r="J54" s="127" t="inlineStr">
        <is>
          <t>Trang tính5</t>
        </is>
      </c>
    </row>
    <row r="55" ht="13.2" customHeight="1" s="405">
      <c r="B55" s="292" t="n">
        <v>46232</v>
      </c>
      <c r="C55" s="293" t="inlineStr">
        <is>
          <t>Visa ···· 7923</t>
        </is>
      </c>
      <c r="D55" s="293" t="inlineStr">
        <is>
          <t>2JNYVZHHX2</t>
        </is>
      </c>
      <c r="E55" s="294" t="n">
        <v>1517291</v>
      </c>
      <c r="F55" s="451" t="inlineStr">
        <is>
          <t>29 Tháng 7, 2026</t>
        </is>
      </c>
      <c r="G55" s="452" t="n">
        <v>1517291</v>
      </c>
      <c r="H55" s="127" t="inlineStr">
        <is>
          <t>Visa ···· 7923</t>
        </is>
      </c>
      <c r="I55" s="127" t="inlineStr">
        <is>
          <t>2JNYVZHHX2</t>
        </is>
      </c>
      <c r="J55" s="127" t="inlineStr">
        <is>
          <t>Trang tính5</t>
        </is>
      </c>
    </row>
    <row r="56" ht="13.2" customHeight="1" s="405">
      <c r="B56" s="292" t="n">
        <v>46233</v>
      </c>
      <c r="C56" s="293" t="inlineStr">
        <is>
          <t>Visa ···· 7923</t>
        </is>
      </c>
      <c r="D56" s="293" t="inlineStr">
        <is>
          <t>N3A8QY9HX2</t>
        </is>
      </c>
      <c r="E56" s="294" t="n">
        <v>11499414</v>
      </c>
      <c r="F56" s="451" t="inlineStr">
        <is>
          <t>30 Tháng 7, 2026</t>
        </is>
      </c>
      <c r="G56" s="452" t="n">
        <v>11499414</v>
      </c>
      <c r="H56" s="127" t="inlineStr">
        <is>
          <t>Visa ···· 7923</t>
        </is>
      </c>
      <c r="I56" s="127" t="inlineStr">
        <is>
          <t>N3A8QY9HX2</t>
        </is>
      </c>
      <c r="J56" s="127" t="inlineStr">
        <is>
          <t>Trang tính5</t>
        </is>
      </c>
    </row>
    <row r="57" ht="13.2" customHeight="1" s="405">
      <c r="B57" s="292" t="n">
        <v>46233</v>
      </c>
      <c r="C57" s="293" t="inlineStr">
        <is>
          <t>Visa ···· 7923</t>
        </is>
      </c>
      <c r="D57" s="293" t="inlineStr">
        <is>
          <t>297NVYDHX2</t>
        </is>
      </c>
      <c r="E57" s="294" t="n">
        <v>5310315</v>
      </c>
      <c r="F57" s="451" t="inlineStr">
        <is>
          <t>30 Tháng 7, 2026</t>
        </is>
      </c>
      <c r="G57" s="452" t="n">
        <v>5310315</v>
      </c>
      <c r="H57" s="127" t="inlineStr">
        <is>
          <t>Visa ···· 7923</t>
        </is>
      </c>
      <c r="I57" s="127" t="inlineStr">
        <is>
          <t>297NVYDHX2</t>
        </is>
      </c>
      <c r="J57" s="127" t="inlineStr">
        <is>
          <t>Trang tính5</t>
        </is>
      </c>
    </row>
    <row r="58" ht="13.2" customHeight="1" s="405">
      <c r="B58" s="292" t="n">
        <v>46233</v>
      </c>
      <c r="C58" s="293" t="inlineStr">
        <is>
          <t>Visa ···· 7923</t>
        </is>
      </c>
      <c r="D58" s="293" t="inlineStr">
        <is>
          <t>M69EQ3NHX4</t>
        </is>
      </c>
      <c r="E58" s="294" t="n">
        <v>663924</v>
      </c>
      <c r="F58" s="451" t="inlineStr">
        <is>
          <t>30 Tháng 7, 2026</t>
        </is>
      </c>
      <c r="G58" s="452" t="n">
        <v>663924</v>
      </c>
      <c r="H58" s="127" t="inlineStr">
        <is>
          <t>Visa ···· 7923</t>
        </is>
      </c>
      <c r="I58" s="127" t="inlineStr">
        <is>
          <t>M69EQ3NHX4</t>
        </is>
      </c>
      <c r="J58" s="127" t="inlineStr">
        <is>
          <t>Trang tính5</t>
        </is>
      </c>
    </row>
    <row r="59" ht="13.2" customHeight="1" s="405">
      <c r="B59" s="292" t="n">
        <v>46234</v>
      </c>
      <c r="C59" s="293" t="inlineStr">
        <is>
          <t>Visa ···· 7923</t>
        </is>
      </c>
      <c r="D59" s="293" t="inlineStr">
        <is>
          <t>TELCFYVHX2</t>
        </is>
      </c>
      <c r="E59" s="294" t="n">
        <v>4766134</v>
      </c>
      <c r="F59" s="451" t="inlineStr">
        <is>
          <t>31 Tháng 7, 2026</t>
        </is>
      </c>
      <c r="G59" s="452" t="n">
        <v>4766134</v>
      </c>
      <c r="H59" s="127" t="inlineStr">
        <is>
          <t>Visa ···· 7923</t>
        </is>
      </c>
      <c r="I59" s="127" t="inlineStr">
        <is>
          <t>TELCFYVHX2</t>
        </is>
      </c>
      <c r="J59" s="127" t="inlineStr">
        <is>
          <t>Trang tính5</t>
        </is>
      </c>
    </row>
    <row r="60" ht="13.2" customHeight="1" s="405">
      <c r="B60" s="295" t="n">
        <v>46204</v>
      </c>
      <c r="C60" s="296" t="inlineStr">
        <is>
          <t>Visa ···· 7923</t>
        </is>
      </c>
      <c r="D60" s="296" t="inlineStr">
        <is>
          <t>HMPTDVZ6U2</t>
        </is>
      </c>
      <c r="E60" s="297" t="n">
        <v>14216873</v>
      </c>
      <c r="F60" s="453" t="n">
        <v>46204</v>
      </c>
      <c r="G60" s="454" t="n">
        <v>14216873</v>
      </c>
      <c r="H60" s="455" t="inlineStr">
        <is>
          <t>Visa ···· 7923</t>
        </is>
      </c>
      <c r="I60" s="455" t="inlineStr">
        <is>
          <t>HMPTDVZ6U2</t>
        </is>
      </c>
      <c r="J60" s="455" t="inlineStr">
        <is>
          <t>Hoàng Anh ADS 01 (6803316976993</t>
        </is>
      </c>
    </row>
    <row r="61" ht="13.2" customHeight="1" s="405">
      <c r="B61" s="295" t="n">
        <v>46204</v>
      </c>
      <c r="C61" s="296" t="inlineStr">
        <is>
          <t>Visa ···· 7923</t>
        </is>
      </c>
      <c r="D61" s="296" t="inlineStr">
        <is>
          <t>7ZTGYVH7U2</t>
        </is>
      </c>
      <c r="E61" s="297" t="n">
        <v>12380291</v>
      </c>
      <c r="F61" s="453" t="n">
        <v>46204</v>
      </c>
      <c r="G61" s="454" t="n">
        <v>12380291</v>
      </c>
      <c r="H61" s="455" t="inlineStr">
        <is>
          <t>Visa ···· 7923</t>
        </is>
      </c>
      <c r="I61" s="455" t="inlineStr">
        <is>
          <t>7ZTGYVH7U2</t>
        </is>
      </c>
      <c r="J61" s="455" t="inlineStr">
        <is>
          <t>Hoàng Anh ADS 01 (6803316976993</t>
        </is>
      </c>
    </row>
    <row r="62" ht="13.2" customHeight="1" s="405">
      <c r="B62" s="295" t="n">
        <v>46205</v>
      </c>
      <c r="C62" s="296" t="inlineStr">
        <is>
          <t>Visa ···· 7923</t>
        </is>
      </c>
      <c r="D62" s="296" t="inlineStr">
        <is>
          <t>F6ZPEVV6U2</t>
        </is>
      </c>
      <c r="E62" s="297" t="n">
        <v>17764992</v>
      </c>
      <c r="F62" s="453" t="n">
        <v>46205</v>
      </c>
      <c r="G62" s="454" t="n">
        <v>17764992</v>
      </c>
      <c r="H62" s="455" t="inlineStr">
        <is>
          <t>Visa ···· 7923</t>
        </is>
      </c>
      <c r="I62" s="455" t="inlineStr">
        <is>
          <t>F6ZPEVV6U2</t>
        </is>
      </c>
      <c r="J62" s="455" t="inlineStr">
        <is>
          <t>Hoàng Anh ADS 01 (6803316976993</t>
        </is>
      </c>
    </row>
    <row r="63" ht="13.2" customHeight="1" s="405">
      <c r="B63" s="295" t="n">
        <v>46206</v>
      </c>
      <c r="C63" s="296" t="inlineStr">
        <is>
          <t>Visa ···· 7923</t>
        </is>
      </c>
      <c r="D63" s="296" t="inlineStr">
        <is>
          <t>VXEVUUD7U2</t>
        </is>
      </c>
      <c r="E63" s="297" t="n">
        <v>7336395</v>
      </c>
      <c r="F63" s="453" t="n">
        <v>46206</v>
      </c>
      <c r="G63" s="454" t="n">
        <v>7336395</v>
      </c>
      <c r="H63" s="455" t="inlineStr">
        <is>
          <t>Visa ···· 7923</t>
        </is>
      </c>
      <c r="I63" s="455" t="inlineStr">
        <is>
          <t>VXEVUUD7U2</t>
        </is>
      </c>
      <c r="J63" s="455" t="inlineStr">
        <is>
          <t>Hoàng Anh ADS 01 (6803316976993</t>
        </is>
      </c>
    </row>
    <row r="64" ht="13.2" customHeight="1" s="405">
      <c r="B64" s="295" t="n">
        <v>46207</v>
      </c>
      <c r="C64" s="296" t="inlineStr">
        <is>
          <t>Visa ···· 7923</t>
        </is>
      </c>
      <c r="D64" s="296" t="inlineStr">
        <is>
          <t>NBGJYWR6U2</t>
        </is>
      </c>
      <c r="E64" s="297" t="n">
        <v>14795410</v>
      </c>
      <c r="F64" s="453" t="n">
        <v>46207</v>
      </c>
      <c r="G64" s="454" t="n">
        <v>14795410</v>
      </c>
      <c r="H64" s="455" t="inlineStr">
        <is>
          <t>Visa ···· 7923</t>
        </is>
      </c>
      <c r="I64" s="455" t="inlineStr">
        <is>
          <t>NBGJYWR6U2</t>
        </is>
      </c>
      <c r="J64" s="455" t="inlineStr">
        <is>
          <t>Hoàng Anh ADS 01 (6803316976993</t>
        </is>
      </c>
    </row>
    <row r="65" ht="13.2" customHeight="1" s="405">
      <c r="B65" s="295" t="n">
        <v>46207</v>
      </c>
      <c r="C65" s="296" t="inlineStr">
        <is>
          <t>Visa ···· 7923</t>
        </is>
      </c>
      <c r="D65" s="296" t="inlineStr">
        <is>
          <t>DBFDHW97U2</t>
        </is>
      </c>
      <c r="E65" s="297" t="n">
        <v>2733757</v>
      </c>
      <c r="F65" s="453" t="n">
        <v>46207</v>
      </c>
      <c r="G65" s="454" t="n">
        <v>2733757</v>
      </c>
      <c r="H65" s="455" t="inlineStr">
        <is>
          <t>Visa ···· 7923</t>
        </is>
      </c>
      <c r="I65" s="455" t="inlineStr">
        <is>
          <t>DBFDHW97U2</t>
        </is>
      </c>
      <c r="J65" s="455" t="inlineStr">
        <is>
          <t>Hoàng Anh ADS 01 (6803316976993</t>
        </is>
      </c>
    </row>
    <row r="66" ht="13.2" customHeight="1" s="405">
      <c r="B66" s="295" t="n">
        <v>46208</v>
      </c>
      <c r="C66" s="296" t="inlineStr">
        <is>
          <t>Visa ···· 7923</t>
        </is>
      </c>
      <c r="D66" s="296" t="inlineStr">
        <is>
          <t>ANP3QVV6U2</t>
        </is>
      </c>
      <c r="E66" s="297" t="n">
        <v>1618843</v>
      </c>
      <c r="F66" s="453" t="n">
        <v>46208</v>
      </c>
      <c r="G66" s="454" t="n">
        <v>1618843</v>
      </c>
      <c r="H66" s="455" t="inlineStr">
        <is>
          <t>Visa ···· 7923</t>
        </is>
      </c>
      <c r="I66" s="455" t="inlineStr">
        <is>
          <t>ANP3QVV6U2</t>
        </is>
      </c>
      <c r="J66" s="455" t="inlineStr">
        <is>
          <t>Hoàng Anh ADS 01 (6803316976993</t>
        </is>
      </c>
    </row>
    <row r="67" ht="13.2" customHeight="1" s="405">
      <c r="B67" s="295" t="n">
        <v>46209</v>
      </c>
      <c r="C67" s="296" t="inlineStr">
        <is>
          <t>Visa ···· 7923</t>
        </is>
      </c>
      <c r="D67" s="296" t="inlineStr">
        <is>
          <t>H4CHSVV6U2</t>
        </is>
      </c>
      <c r="E67" s="297" t="n">
        <v>12262824</v>
      </c>
      <c r="F67" s="453" t="n">
        <v>46209</v>
      </c>
      <c r="G67" s="454" t="n">
        <v>12262824</v>
      </c>
      <c r="H67" s="455" t="inlineStr">
        <is>
          <t>Visa ···· 7923</t>
        </is>
      </c>
      <c r="I67" s="455" t="inlineStr">
        <is>
          <t>H4CHSVV6U2</t>
        </is>
      </c>
      <c r="J67" s="455" t="inlineStr">
        <is>
          <t>Hoàng Anh ADS 01 (6803316976993</t>
        </is>
      </c>
    </row>
    <row r="68" ht="13.2" customHeight="1" s="405">
      <c r="B68" s="295" t="n">
        <v>46210</v>
      </c>
      <c r="C68" s="296" t="inlineStr">
        <is>
          <t>Visa ···· 7923</t>
        </is>
      </c>
      <c r="D68" s="296" t="inlineStr">
        <is>
          <t>8BSWSW97U2</t>
        </is>
      </c>
      <c r="E68" s="297" t="n">
        <v>12930578</v>
      </c>
      <c r="F68" s="453" t="n">
        <v>46210</v>
      </c>
      <c r="G68" s="454" t="n">
        <v>12930578</v>
      </c>
      <c r="H68" s="455" t="inlineStr">
        <is>
          <t>Visa ···· 7923</t>
        </is>
      </c>
      <c r="I68" s="455" t="inlineStr">
        <is>
          <t>8BSWSW97U2</t>
        </is>
      </c>
      <c r="J68" s="455" t="inlineStr">
        <is>
          <t>Hoàng Anh ADS 01 (6803316976993</t>
        </is>
      </c>
    </row>
    <row r="69" ht="13.2" customHeight="1" s="405">
      <c r="B69" s="295" t="n">
        <v>46211</v>
      </c>
      <c r="C69" s="296" t="inlineStr">
        <is>
          <t>Visa ···· 7923</t>
        </is>
      </c>
      <c r="D69" s="296" t="inlineStr">
        <is>
          <t>ULLJDWM7U2</t>
        </is>
      </c>
      <c r="E69" s="297" t="n">
        <v>13921873</v>
      </c>
      <c r="F69" s="453" t="n">
        <v>46211</v>
      </c>
      <c r="G69" s="454" t="n">
        <v>13921873</v>
      </c>
      <c r="H69" s="455" t="inlineStr">
        <is>
          <t>Visa ···· 7923</t>
        </is>
      </c>
      <c r="I69" s="455" t="inlineStr">
        <is>
          <t>ULLJDWM7U2</t>
        </is>
      </c>
      <c r="J69" s="455" t="inlineStr">
        <is>
          <t>Hoàng Anh ADS 01 (6803316976993</t>
        </is>
      </c>
    </row>
    <row r="70" ht="13.2" customHeight="1" s="405">
      <c r="B70" s="295" t="n">
        <v>46212</v>
      </c>
      <c r="C70" s="296" t="inlineStr">
        <is>
          <t>Visa ···· 7923</t>
        </is>
      </c>
      <c r="D70" s="296" t="inlineStr">
        <is>
          <t>6YQJSWH7U2</t>
        </is>
      </c>
      <c r="E70" s="297" t="n">
        <v>15731276</v>
      </c>
      <c r="F70" s="453" t="n">
        <v>46212</v>
      </c>
      <c r="G70" s="454" t="n">
        <v>15731276</v>
      </c>
      <c r="H70" s="455" t="inlineStr">
        <is>
          <t>Visa ···· 7923</t>
        </is>
      </c>
      <c r="I70" s="455" t="inlineStr">
        <is>
          <t>6YQJSWH7U2</t>
        </is>
      </c>
      <c r="J70" s="455" t="inlineStr">
        <is>
          <t>Hoàng Anh ADS 01 (6803316976993</t>
        </is>
      </c>
    </row>
    <row r="71" ht="13.2" customHeight="1" s="405">
      <c r="B71" s="295" t="n">
        <v>46213</v>
      </c>
      <c r="C71" s="296" t="inlineStr">
        <is>
          <t>Visa ···· 7923</t>
        </is>
      </c>
      <c r="D71" s="296" t="inlineStr">
        <is>
          <t>53HCWWH7U2</t>
        </is>
      </c>
      <c r="E71" s="297" t="n">
        <v>15731276</v>
      </c>
      <c r="F71" s="453" t="n">
        <v>46213</v>
      </c>
      <c r="G71" s="454" t="n">
        <v>15731276</v>
      </c>
      <c r="H71" s="455" t="inlineStr">
        <is>
          <t>Visa ···· 7923</t>
        </is>
      </c>
      <c r="I71" s="455" t="inlineStr">
        <is>
          <t>53HCWWH7U2</t>
        </is>
      </c>
      <c r="J71" s="455" t="inlineStr">
        <is>
          <t>Hoàng Anh ADS 01 (6803316976993</t>
        </is>
      </c>
    </row>
    <row r="72" ht="13.2" customHeight="1" s="405">
      <c r="B72" s="295" t="n">
        <v>46215</v>
      </c>
      <c r="C72" s="296" t="inlineStr">
        <is>
          <t>Visa ···· 7923</t>
        </is>
      </c>
      <c r="D72" s="296" t="inlineStr">
        <is>
          <t>8BJSQVD7U2</t>
        </is>
      </c>
      <c r="E72" s="297" t="n">
        <v>14703345</v>
      </c>
      <c r="F72" s="453" t="n">
        <v>46215</v>
      </c>
      <c r="G72" s="454" t="n">
        <v>14703345</v>
      </c>
      <c r="H72" s="455" t="inlineStr">
        <is>
          <t>Visa ···· 7923</t>
        </is>
      </c>
      <c r="I72" s="455" t="inlineStr">
        <is>
          <t>8BJSQVD7U2</t>
        </is>
      </c>
      <c r="J72" s="455" t="inlineStr">
        <is>
          <t>Hoàng Anh ADS 01 (6803316976993</t>
        </is>
      </c>
    </row>
    <row r="73" ht="13.2" customHeight="1" s="405">
      <c r="B73" s="295" t="n">
        <v>46216</v>
      </c>
      <c r="C73" s="296" t="inlineStr">
        <is>
          <t>Visa ···· 7923</t>
        </is>
      </c>
      <c r="D73" s="296" t="inlineStr">
        <is>
          <t>GS3D8XH7U2</t>
        </is>
      </c>
      <c r="E73" s="297" t="n">
        <v>14703345</v>
      </c>
      <c r="F73" s="453" t="n">
        <v>46216</v>
      </c>
      <c r="G73" s="454" t="n">
        <v>14703345</v>
      </c>
      <c r="H73" s="455" t="inlineStr">
        <is>
          <t>Visa ···· 7923</t>
        </is>
      </c>
      <c r="I73" s="455" t="inlineStr">
        <is>
          <t>GS3D8XH7U2</t>
        </is>
      </c>
      <c r="J73" s="455" t="inlineStr">
        <is>
          <t>Hoàng Anh ADS 01 (6803316976993</t>
        </is>
      </c>
    </row>
    <row r="74" ht="13.2" customHeight="1" s="405">
      <c r="B74" s="295" t="n">
        <v>46217</v>
      </c>
      <c r="C74" s="296" t="inlineStr">
        <is>
          <t>Visa ···· 7923</t>
        </is>
      </c>
      <c r="D74" s="296" t="inlineStr">
        <is>
          <t>5EJFSWZ6U2</t>
        </is>
      </c>
      <c r="E74" s="297" t="n">
        <v>14191580</v>
      </c>
      <c r="F74" s="453" t="n">
        <v>46217</v>
      </c>
      <c r="G74" s="454" t="n">
        <v>14191580</v>
      </c>
      <c r="H74" s="455" t="inlineStr">
        <is>
          <t>Visa ···· 7923</t>
        </is>
      </c>
      <c r="I74" s="455" t="inlineStr">
        <is>
          <t>5EJFSWZ6U2</t>
        </is>
      </c>
      <c r="J74" s="455" t="inlineStr">
        <is>
          <t>Hoàng Anh ADS 01 (6803316976993</t>
        </is>
      </c>
    </row>
    <row r="75" ht="13.2" customHeight="1" s="405">
      <c r="B75" s="295" t="n">
        <v>46219</v>
      </c>
      <c r="C75" s="296" t="inlineStr">
        <is>
          <t>Visa ···· 7923</t>
        </is>
      </c>
      <c r="D75" s="296" t="inlineStr">
        <is>
          <t>L2XYSWV6U2</t>
        </is>
      </c>
      <c r="E75" s="297" t="n">
        <v>12802073</v>
      </c>
      <c r="F75" s="453" t="n">
        <v>46219</v>
      </c>
      <c r="G75" s="454" t="n">
        <v>12802073</v>
      </c>
      <c r="H75" s="455" t="inlineStr">
        <is>
          <t>Visa ···· 7923</t>
        </is>
      </c>
      <c r="I75" s="455" t="inlineStr">
        <is>
          <t>L2XYSWV6U2</t>
        </is>
      </c>
      <c r="J75" s="455" t="inlineStr">
        <is>
          <t>Hoàng Anh ADS 01 (6803316976993</t>
        </is>
      </c>
    </row>
    <row r="76" ht="13.2" customHeight="1" s="405">
      <c r="B76" s="295" t="n">
        <v>46220</v>
      </c>
      <c r="C76" s="296" t="inlineStr">
        <is>
          <t>Visa ···· 7923</t>
        </is>
      </c>
      <c r="D76" s="296" t="inlineStr">
        <is>
          <t>N7XEBYR6U2</t>
        </is>
      </c>
      <c r="E76" s="297" t="n">
        <v>14191580</v>
      </c>
      <c r="F76" s="453" t="n">
        <v>46220</v>
      </c>
      <c r="G76" s="454" t="n">
        <v>14191580</v>
      </c>
      <c r="H76" s="455" t="inlineStr">
        <is>
          <t>Visa ···· 7923</t>
        </is>
      </c>
      <c r="I76" s="455" t="inlineStr">
        <is>
          <t>N7XEBYR6U2</t>
        </is>
      </c>
      <c r="J76" s="455" t="inlineStr">
        <is>
          <t>Hoàng Anh ADS 01 (6803316976993</t>
        </is>
      </c>
    </row>
    <row r="77" ht="13.2" customHeight="1" s="405">
      <c r="B77" s="295" t="n">
        <v>46221</v>
      </c>
      <c r="C77" s="296" t="inlineStr">
        <is>
          <t>Visa ···· 7923</t>
        </is>
      </c>
      <c r="D77" s="296" t="inlineStr">
        <is>
          <t>STKQEWD7U2</t>
        </is>
      </c>
      <c r="E77" s="297" t="n">
        <v>14191580</v>
      </c>
      <c r="F77" s="453" t="n">
        <v>46221</v>
      </c>
      <c r="G77" s="454" t="n">
        <v>14191580</v>
      </c>
      <c r="H77" s="455" t="inlineStr">
        <is>
          <t>Visa ···· 7923</t>
        </is>
      </c>
      <c r="I77" s="455" t="inlineStr">
        <is>
          <t>STKQEWD7U2</t>
        </is>
      </c>
      <c r="J77" s="455" t="inlineStr">
        <is>
          <t>Hoàng Anh ADS 01 (6803316976993</t>
        </is>
      </c>
    </row>
    <row r="78" ht="13.2" customHeight="1" s="405">
      <c r="B78" s="295" t="n">
        <v>46222</v>
      </c>
      <c r="C78" s="296" t="inlineStr">
        <is>
          <t>Visa ···· 7923</t>
        </is>
      </c>
      <c r="D78" s="296" t="inlineStr">
        <is>
          <t>RQB9VXH7U2</t>
        </is>
      </c>
      <c r="E78" s="297" t="n">
        <v>14191580</v>
      </c>
      <c r="F78" s="453" t="n">
        <v>46222</v>
      </c>
      <c r="G78" s="454" t="n">
        <v>14191580</v>
      </c>
      <c r="H78" s="455" t="inlineStr">
        <is>
          <t>Visa ···· 7923</t>
        </is>
      </c>
      <c r="I78" s="455" t="inlineStr">
        <is>
          <t>RQB9VXH7U2</t>
        </is>
      </c>
      <c r="J78" s="455" t="inlineStr">
        <is>
          <t>Hoàng Anh ADS 01 (6803316976993</t>
        </is>
      </c>
    </row>
    <row r="79" ht="13.2" customHeight="1" s="405">
      <c r="B79" s="295" t="n">
        <v>46224</v>
      </c>
      <c r="C79" s="296" t="inlineStr">
        <is>
          <t>Visa ···· 7923</t>
        </is>
      </c>
      <c r="D79" s="296" t="inlineStr">
        <is>
          <t>3D2K8Y97U2</t>
        </is>
      </c>
      <c r="E79" s="297" t="n">
        <v>14191580</v>
      </c>
      <c r="F79" s="453" t="n">
        <v>46224</v>
      </c>
      <c r="G79" s="454" t="n">
        <v>14191580</v>
      </c>
      <c r="H79" s="455" t="inlineStr">
        <is>
          <t>Visa ···· 7923</t>
        </is>
      </c>
      <c r="I79" s="455" t="inlineStr">
        <is>
          <t>3D2K8Y97U2</t>
        </is>
      </c>
      <c r="J79" s="455" t="inlineStr">
        <is>
          <t>Hoàng Anh ADS 01 (6803316976993</t>
        </is>
      </c>
    </row>
    <row r="80" ht="13.2" customHeight="1" s="405">
      <c r="B80" s="295" t="n">
        <v>46225</v>
      </c>
      <c r="C80" s="296" t="inlineStr">
        <is>
          <t>Visa ···· 7923</t>
        </is>
      </c>
      <c r="D80" s="296" t="inlineStr">
        <is>
          <t>FJHLTWD7U2</t>
        </is>
      </c>
      <c r="E80" s="297" t="n">
        <v>14191580</v>
      </c>
      <c r="F80" s="453" t="n">
        <v>46225</v>
      </c>
      <c r="G80" s="454" t="n">
        <v>14191580</v>
      </c>
      <c r="H80" s="455" t="inlineStr">
        <is>
          <t>Visa ···· 7923</t>
        </is>
      </c>
      <c r="I80" s="455" t="inlineStr">
        <is>
          <t>FJHLTWD7U2</t>
        </is>
      </c>
      <c r="J80" s="455" t="inlineStr">
        <is>
          <t>Hoàng Anh ADS 01 (6803316976993</t>
        </is>
      </c>
    </row>
    <row r="81" ht="13.2" customHeight="1" s="405">
      <c r="B81" s="295" t="n">
        <v>46226</v>
      </c>
      <c r="C81" s="296" t="inlineStr">
        <is>
          <t>Visa ···· 7923</t>
        </is>
      </c>
      <c r="D81" s="296" t="inlineStr">
        <is>
          <t>8G9UYYR6U2</t>
        </is>
      </c>
      <c r="E81" s="297" t="n">
        <v>16185085</v>
      </c>
      <c r="F81" s="453" t="n">
        <v>46226</v>
      </c>
      <c r="G81" s="454" t="n">
        <v>16185085</v>
      </c>
      <c r="H81" s="455" t="inlineStr">
        <is>
          <t>Visa ···· 7923</t>
        </is>
      </c>
      <c r="I81" s="455" t="inlineStr">
        <is>
          <t>8G9UYYR6U2</t>
        </is>
      </c>
      <c r="J81" s="455" t="inlineStr">
        <is>
          <t>Hoàng Anh ADS 01 (6803316976993</t>
        </is>
      </c>
    </row>
    <row r="82" ht="13.2" customHeight="1" s="405">
      <c r="B82" s="295" t="n">
        <v>46227</v>
      </c>
      <c r="C82" s="296" t="inlineStr">
        <is>
          <t>Visa ···· 7923</t>
        </is>
      </c>
      <c r="D82" s="296" t="inlineStr">
        <is>
          <t>WAJF5ZR6U2</t>
        </is>
      </c>
      <c r="E82" s="297" t="n">
        <v>16185085</v>
      </c>
      <c r="F82" s="453" t="n">
        <v>46227</v>
      </c>
      <c r="G82" s="454" t="n">
        <v>16185085</v>
      </c>
      <c r="H82" s="455" t="inlineStr">
        <is>
          <t>Visa ···· 7923</t>
        </is>
      </c>
      <c r="I82" s="455" t="inlineStr">
        <is>
          <t>WAJF5ZR6U2</t>
        </is>
      </c>
      <c r="J82" s="455" t="inlineStr">
        <is>
          <t>Hoàng Anh ADS 01 (6803316976993</t>
        </is>
      </c>
    </row>
    <row r="83" ht="13.2" customHeight="1" s="405">
      <c r="B83" s="295" t="n">
        <v>46228</v>
      </c>
      <c r="C83" s="296" t="inlineStr">
        <is>
          <t>Visa ···· 7923</t>
        </is>
      </c>
      <c r="D83" s="296" t="inlineStr">
        <is>
          <t>CXW79XD7U2</t>
        </is>
      </c>
      <c r="E83" s="297" t="n">
        <v>16185085</v>
      </c>
      <c r="F83" s="453" t="n">
        <v>46228</v>
      </c>
      <c r="G83" s="454" t="n">
        <v>16185085</v>
      </c>
      <c r="H83" s="455" t="inlineStr">
        <is>
          <t>Visa ···· 7923</t>
        </is>
      </c>
      <c r="I83" s="455" t="inlineStr">
        <is>
          <t>CXW79XD7U2</t>
        </is>
      </c>
      <c r="J83" s="455" t="inlineStr">
        <is>
          <t>Hoàng Anh ADS 01 (6803316976993</t>
        </is>
      </c>
    </row>
    <row r="84" ht="13.2" customHeight="1" s="405">
      <c r="B84" s="295" t="n">
        <v>46230</v>
      </c>
      <c r="C84" s="296" t="inlineStr">
        <is>
          <t>Visa ···· 7923</t>
        </is>
      </c>
      <c r="D84" s="296" t="inlineStr">
        <is>
          <t>V4C6JYM6U2</t>
        </is>
      </c>
      <c r="E84" s="297" t="n">
        <v>16185085</v>
      </c>
      <c r="F84" s="453" t="n">
        <v>46230</v>
      </c>
      <c r="G84" s="454" t="n">
        <v>16185085</v>
      </c>
      <c r="H84" s="455" t="inlineStr">
        <is>
          <t>Visa ···· 7923</t>
        </is>
      </c>
      <c r="I84" s="455" t="inlineStr">
        <is>
          <t>V4C6JYM6U2</t>
        </is>
      </c>
      <c r="J84" s="455" t="inlineStr">
        <is>
          <t>Hoàng Anh ADS 01 (6803316976993</t>
        </is>
      </c>
    </row>
    <row r="85" ht="13.2" customHeight="1" s="405">
      <c r="B85" s="295" t="n">
        <v>46232</v>
      </c>
      <c r="C85" s="296" t="inlineStr">
        <is>
          <t>Visa ···· 7923</t>
        </is>
      </c>
      <c r="D85" s="296" t="inlineStr">
        <is>
          <t>MQD3MZR6U2</t>
        </is>
      </c>
      <c r="E85" s="297" t="n">
        <v>2024595</v>
      </c>
      <c r="F85" s="453" t="n">
        <v>46232</v>
      </c>
      <c r="G85" s="454" t="n">
        <v>2024595</v>
      </c>
      <c r="H85" s="455" t="inlineStr">
        <is>
          <t>Visa ···· 7923</t>
        </is>
      </c>
      <c r="I85" s="455" t="inlineStr">
        <is>
          <t>MQD3MZR6U2</t>
        </is>
      </c>
      <c r="J85" s="455" t="inlineStr">
        <is>
          <t>Hoàng Anh ADS 01 (6803316976993</t>
        </is>
      </c>
    </row>
    <row r="86" ht="13.2" customHeight="1" s="405">
      <c r="B86" s="295" t="n">
        <v>46232</v>
      </c>
      <c r="C86" s="296" t="inlineStr">
        <is>
          <t>Visa ···· 7923</t>
        </is>
      </c>
      <c r="D86" s="296" t="inlineStr">
        <is>
          <t>2XTJ5Z97U2</t>
        </is>
      </c>
      <c r="E86" s="297" t="n">
        <v>4049190</v>
      </c>
      <c r="F86" s="453" t="n">
        <v>46232</v>
      </c>
      <c r="G86" s="454" t="n">
        <v>4049190</v>
      </c>
      <c r="H86" s="455" t="inlineStr">
        <is>
          <t>Visa ···· 7923</t>
        </is>
      </c>
      <c r="I86" s="455" t="inlineStr">
        <is>
          <t>2XTJ5Z97U2</t>
        </is>
      </c>
      <c r="J86" s="455" t="inlineStr">
        <is>
          <t>Hoàng Anh ADS 01 (6803316976993</t>
        </is>
      </c>
    </row>
    <row r="87" ht="13.2" customHeight="1" s="405">
      <c r="B87" s="295" t="n">
        <v>46232</v>
      </c>
      <c r="C87" s="296" t="inlineStr">
        <is>
          <t>Visa ···· 7923</t>
        </is>
      </c>
      <c r="D87" s="296" t="inlineStr">
        <is>
          <t>SY67PX57U2</t>
        </is>
      </c>
      <c r="E87" s="297" t="n">
        <v>8098380</v>
      </c>
      <c r="F87" s="453" t="n">
        <v>46232</v>
      </c>
      <c r="G87" s="454" t="n">
        <v>8098380</v>
      </c>
      <c r="H87" s="455" t="inlineStr">
        <is>
          <t>Visa ···· 7923</t>
        </is>
      </c>
      <c r="I87" s="455" t="inlineStr">
        <is>
          <t>SY67PX57U2</t>
        </is>
      </c>
      <c r="J87" s="455" t="inlineStr">
        <is>
          <t>Hoàng Anh ADS 01 (6803316976993</t>
        </is>
      </c>
    </row>
    <row r="88" ht="13.2" customHeight="1" s="405">
      <c r="B88" s="295" t="n">
        <v>46232</v>
      </c>
      <c r="C88" s="296" t="inlineStr">
        <is>
          <t>Visa ···· 7923</t>
        </is>
      </c>
      <c r="D88" s="296" t="inlineStr">
        <is>
          <t>XAC2RYM6U2</t>
        </is>
      </c>
      <c r="E88" s="297" t="n">
        <v>2024596</v>
      </c>
      <c r="F88" s="453" t="n">
        <v>46232</v>
      </c>
      <c r="G88" s="454" t="n">
        <v>2024596</v>
      </c>
      <c r="H88" s="455" t="inlineStr">
        <is>
          <t>Visa ···· 7923</t>
        </is>
      </c>
      <c r="I88" s="455" t="inlineStr">
        <is>
          <t>XAC2RYM6U2</t>
        </is>
      </c>
      <c r="J88" s="455" t="inlineStr">
        <is>
          <t>Hoàng Anh ADS 01 (6803316976993</t>
        </is>
      </c>
    </row>
    <row r="89" ht="13.2" customHeight="1" s="405">
      <c r="B89" s="295" t="n">
        <v>46233</v>
      </c>
      <c r="C89" s="296" t="inlineStr">
        <is>
          <t>Visa ···· 7923</t>
        </is>
      </c>
      <c r="D89" s="296" t="inlineStr">
        <is>
          <t>F7P3WYM6U2</t>
        </is>
      </c>
      <c r="E89" s="297" t="n">
        <v>16185085</v>
      </c>
      <c r="F89" s="453" t="n">
        <v>46233</v>
      </c>
      <c r="G89" s="454" t="n">
        <v>16185085</v>
      </c>
      <c r="H89" s="455" t="inlineStr">
        <is>
          <t>Visa ···· 7923</t>
        </is>
      </c>
      <c r="I89" s="455" t="inlineStr">
        <is>
          <t>F7P3WYM6U2</t>
        </is>
      </c>
      <c r="J89" s="455" t="inlineStr">
        <is>
          <t>Hoàng Anh ADS 01 (6803316976993</t>
        </is>
      </c>
    </row>
    <row r="90" ht="13.2" customHeight="1" s="405">
      <c r="B90" s="295" t="n">
        <v>46234</v>
      </c>
      <c r="C90" s="296" t="inlineStr">
        <is>
          <t>Visa ···· 7923</t>
        </is>
      </c>
      <c r="D90" s="296" t="inlineStr">
        <is>
          <t>7KBMFZ97U2</t>
        </is>
      </c>
      <c r="E90" s="297" t="n">
        <v>16241259</v>
      </c>
      <c r="F90" s="453" t="n">
        <v>46234</v>
      </c>
      <c r="G90" s="454" t="n">
        <v>16241259</v>
      </c>
      <c r="H90" s="455" t="inlineStr">
        <is>
          <t>Visa ···· 7923</t>
        </is>
      </c>
      <c r="I90" s="455" t="inlineStr">
        <is>
          <t>7KBMFZ97U2</t>
        </is>
      </c>
      <c r="J90" s="455" t="inlineStr">
        <is>
          <t>Hoàng Anh ADS 01 (6803316976993</t>
        </is>
      </c>
    </row>
    <row r="91" ht="13.2" customHeight="1" s="405">
      <c r="B91" s="308" t="n">
        <v>46204</v>
      </c>
      <c r="C91" s="309" t="inlineStr">
        <is>
          <t>Visa ···· 7923</t>
        </is>
      </c>
      <c r="D91" s="309" t="inlineStr">
        <is>
          <t>TCEKMVM7U2</t>
        </is>
      </c>
      <c r="E91" s="310" t="n">
        <v>9347458</v>
      </c>
      <c r="F91" s="456" t="n">
        <v>46204</v>
      </c>
      <c r="G91" s="457" t="n">
        <v>9347458</v>
      </c>
      <c r="H91" s="88" t="inlineStr">
        <is>
          <t>Visa ···· 7923</t>
        </is>
      </c>
      <c r="I91" s="88" t="inlineStr">
        <is>
          <t>TCEKMVM7U2</t>
        </is>
      </c>
      <c r="J91" s="88" t="inlineStr">
        <is>
          <t>Hoàng Anh ADS 02 (1282995733019</t>
        </is>
      </c>
    </row>
    <row r="92" ht="13.2" customHeight="1" s="405">
      <c r="B92" s="308" t="n">
        <v>46205</v>
      </c>
      <c r="C92" s="309" t="inlineStr">
        <is>
          <t>Visa ···· 7923</t>
        </is>
      </c>
      <c r="D92" s="309" t="inlineStr">
        <is>
          <t>2VX42WH7U2</t>
        </is>
      </c>
      <c r="E92" s="310" t="n">
        <v>8888615</v>
      </c>
      <c r="F92" s="456" t="n">
        <v>46205</v>
      </c>
      <c r="G92" s="457" t="n">
        <v>8888615</v>
      </c>
      <c r="H92" s="88" t="inlineStr">
        <is>
          <t>Visa ···· 7923</t>
        </is>
      </c>
      <c r="I92" s="88" t="inlineStr">
        <is>
          <t>2VX42WH7U2</t>
        </is>
      </c>
      <c r="J92" s="88" t="inlineStr">
        <is>
          <t>Hoàng Anh ADS 02 (1282995733019</t>
        </is>
      </c>
    </row>
    <row r="93" ht="13.2" customHeight="1" s="405">
      <c r="B93" s="308" t="n">
        <v>46207</v>
      </c>
      <c r="C93" s="309" t="inlineStr">
        <is>
          <t>Visa ···· 7923</t>
        </is>
      </c>
      <c r="D93" s="309" t="inlineStr">
        <is>
          <t>LV6FYUD7U2</t>
        </is>
      </c>
      <c r="E93" s="310" t="n">
        <v>12027381</v>
      </c>
      <c r="F93" s="456" t="n">
        <v>46207</v>
      </c>
      <c r="G93" s="457" t="n">
        <v>12027381</v>
      </c>
      <c r="H93" s="88" t="inlineStr">
        <is>
          <t>Visa ···· 7923</t>
        </is>
      </c>
      <c r="I93" s="88" t="inlineStr">
        <is>
          <t>LV6FYUD7U2</t>
        </is>
      </c>
      <c r="J93" s="88" t="inlineStr">
        <is>
          <t>Hoàng Anh ADS 02 (1282995733019</t>
        </is>
      </c>
    </row>
    <row r="94" ht="13.2" customHeight="1" s="405">
      <c r="B94" s="308" t="n">
        <v>46209</v>
      </c>
      <c r="C94" s="309" t="inlineStr">
        <is>
          <t>Visa ···· 7923</t>
        </is>
      </c>
      <c r="D94" s="309" t="inlineStr">
        <is>
          <t>WRYW8V57U2</t>
        </is>
      </c>
      <c r="E94" s="310" t="n">
        <v>9025924</v>
      </c>
      <c r="F94" s="456" t="n">
        <v>46209</v>
      </c>
      <c r="G94" s="457" t="n">
        <v>9025924</v>
      </c>
      <c r="H94" s="88" t="inlineStr">
        <is>
          <t>Visa ···· 7923</t>
        </is>
      </c>
      <c r="I94" s="88" t="inlineStr">
        <is>
          <t>WRYW8V57U2</t>
        </is>
      </c>
      <c r="J94" s="88" t="inlineStr">
        <is>
          <t>Hoàng Anh ADS 02 (1282995733019</t>
        </is>
      </c>
    </row>
    <row r="95" ht="13.2" customHeight="1" s="405">
      <c r="B95" s="308" t="n">
        <v>46210</v>
      </c>
      <c r="C95" s="309" t="inlineStr">
        <is>
          <t>Visa ···· 7923</t>
        </is>
      </c>
      <c r="D95" s="309" t="inlineStr">
        <is>
          <t>H75WBXR6U2</t>
        </is>
      </c>
      <c r="E95" s="310" t="n">
        <v>9025924</v>
      </c>
      <c r="F95" s="456" t="n">
        <v>46210</v>
      </c>
      <c r="G95" s="457" t="n">
        <v>9025924</v>
      </c>
      <c r="H95" s="88" t="inlineStr">
        <is>
          <t>Visa ···· 7923</t>
        </is>
      </c>
      <c r="I95" s="88" t="inlineStr">
        <is>
          <t>H75WBXR6U2</t>
        </is>
      </c>
      <c r="J95" s="88" t="inlineStr">
        <is>
          <t>Hoàng Anh ADS 02 (1282995733019</t>
        </is>
      </c>
    </row>
    <row r="96" ht="13.2" customHeight="1" s="405">
      <c r="B96" s="308" t="n">
        <v>46212</v>
      </c>
      <c r="C96" s="309" t="inlineStr">
        <is>
          <t>Visa ···· 7923</t>
        </is>
      </c>
      <c r="D96" s="309" t="inlineStr">
        <is>
          <t>WWP72X97U2</t>
        </is>
      </c>
      <c r="E96" s="310" t="n">
        <v>9025924</v>
      </c>
      <c r="F96" s="456" t="n">
        <v>46212</v>
      </c>
      <c r="G96" s="457" t="n">
        <v>9025924</v>
      </c>
      <c r="H96" s="88" t="inlineStr">
        <is>
          <t>Visa ···· 7923</t>
        </is>
      </c>
      <c r="I96" s="88" t="inlineStr">
        <is>
          <t>WWP72X97U2</t>
        </is>
      </c>
      <c r="J96" s="88" t="inlineStr">
        <is>
          <t>Hoàng Anh ADS 02 (1282995733019</t>
        </is>
      </c>
    </row>
    <row r="97" ht="13.2" customHeight="1" s="405">
      <c r="B97" s="308" t="n">
        <v>46214</v>
      </c>
      <c r="C97" s="309" t="inlineStr">
        <is>
          <t>Visa ···· 7923</t>
        </is>
      </c>
      <c r="D97" s="309" t="inlineStr">
        <is>
          <t>F9T3QWM7U2</t>
        </is>
      </c>
      <c r="E97" s="310" t="n">
        <v>9025924</v>
      </c>
      <c r="F97" s="456" t="n">
        <v>46214</v>
      </c>
      <c r="G97" s="457" t="n">
        <v>9025924</v>
      </c>
      <c r="H97" s="88" t="inlineStr">
        <is>
          <t>Visa ···· 7923</t>
        </is>
      </c>
      <c r="I97" s="88" t="inlineStr">
        <is>
          <t>F9T3QWM7U2</t>
        </is>
      </c>
      <c r="J97" s="88" t="inlineStr">
        <is>
          <t>Hoàng Anh ADS 02 (1282995733019</t>
        </is>
      </c>
    </row>
    <row r="98" ht="13.2" customHeight="1" s="405">
      <c r="B98" s="308" t="n">
        <v>46217</v>
      </c>
      <c r="C98" s="309" t="inlineStr">
        <is>
          <t>Visa ···· 7923</t>
        </is>
      </c>
      <c r="D98" s="309" t="inlineStr">
        <is>
          <t>5GXYYWM7U2</t>
        </is>
      </c>
      <c r="E98" s="310" t="n">
        <v>9025924</v>
      </c>
      <c r="F98" s="456" t="n">
        <v>46217</v>
      </c>
      <c r="G98" s="457" t="n">
        <v>9025924</v>
      </c>
      <c r="H98" s="88" t="inlineStr">
        <is>
          <t>Visa ···· 7923</t>
        </is>
      </c>
      <c r="I98" s="88" t="inlineStr">
        <is>
          <t>5GXYYWM7U2</t>
        </is>
      </c>
      <c r="J98" s="88" t="inlineStr">
        <is>
          <t>Hoàng Anh ADS 02 (1282995733019</t>
        </is>
      </c>
    </row>
    <row r="99" ht="13.2" customHeight="1" s="405">
      <c r="B99" s="308" t="n">
        <v>46218</v>
      </c>
      <c r="C99" s="309" t="inlineStr">
        <is>
          <t>Visa ···· 7923</t>
        </is>
      </c>
      <c r="D99" s="309" t="inlineStr">
        <is>
          <t>X4Q4LX97U2</t>
        </is>
      </c>
      <c r="E99" s="310" t="n">
        <v>4156160</v>
      </c>
      <c r="F99" s="456" t="n">
        <v>46218</v>
      </c>
      <c r="G99" s="457" t="n">
        <v>4156160</v>
      </c>
      <c r="H99" s="88" t="inlineStr">
        <is>
          <t>Visa ···· 7923</t>
        </is>
      </c>
      <c r="I99" s="88" t="inlineStr">
        <is>
          <t>X4Q4LX97U2</t>
        </is>
      </c>
      <c r="J99" s="88" t="inlineStr">
        <is>
          <t>Hoàng Anh ADS 02 (1282995733019</t>
        </is>
      </c>
    </row>
    <row r="100" ht="13.2" customHeight="1" s="405">
      <c r="B100" s="308" t="n">
        <v>46220</v>
      </c>
      <c r="C100" s="309" t="inlineStr">
        <is>
          <t>Visa ···· 7923</t>
        </is>
      </c>
      <c r="D100" s="309" t="inlineStr">
        <is>
          <t>9NL8TX97U2</t>
        </is>
      </c>
      <c r="E100" s="310" t="n">
        <v>9025924</v>
      </c>
      <c r="F100" s="456" t="n">
        <v>46220</v>
      </c>
      <c r="G100" s="457" t="n">
        <v>9025924</v>
      </c>
      <c r="H100" s="88" t="inlineStr">
        <is>
          <t>Visa ···· 7923</t>
        </is>
      </c>
      <c r="I100" s="88" t="inlineStr">
        <is>
          <t>9NL8TX97U2</t>
        </is>
      </c>
      <c r="J100" s="88" t="inlineStr">
        <is>
          <t>Hoàng Anh ADS 02 (1282995733019</t>
        </is>
      </c>
    </row>
    <row r="101" ht="13.2" customHeight="1" s="405">
      <c r="B101" s="308" t="n">
        <v>46222</v>
      </c>
      <c r="C101" s="309" t="inlineStr">
        <is>
          <t>Visa ···· 7923</t>
        </is>
      </c>
      <c r="D101" s="309" t="inlineStr">
        <is>
          <t>KBLWTXH7U2</t>
        </is>
      </c>
      <c r="E101" s="310" t="n">
        <v>9025924</v>
      </c>
      <c r="F101" s="456" t="n">
        <v>46222</v>
      </c>
      <c r="G101" s="457" t="n">
        <v>9025924</v>
      </c>
      <c r="H101" s="88" t="inlineStr">
        <is>
          <t>Visa ···· 7923</t>
        </is>
      </c>
      <c r="I101" s="88" t="inlineStr">
        <is>
          <t>KBLWTXH7U2</t>
        </is>
      </c>
      <c r="J101" s="88" t="inlineStr">
        <is>
          <t>Hoàng Anh ADS 02 (1282995733019</t>
        </is>
      </c>
    </row>
    <row r="102" ht="13.2" customHeight="1" s="405">
      <c r="B102" s="308" t="n">
        <v>46224</v>
      </c>
      <c r="C102" s="309" t="inlineStr">
        <is>
          <t>Visa ···· 7923</t>
        </is>
      </c>
      <c r="D102" s="309" t="inlineStr">
        <is>
          <t>UN9D8Y97U2</t>
        </is>
      </c>
      <c r="E102" s="310" t="n">
        <v>9025924</v>
      </c>
      <c r="F102" s="456" t="n">
        <v>46224</v>
      </c>
      <c r="G102" s="457" t="n">
        <v>9025924</v>
      </c>
      <c r="H102" s="88" t="inlineStr">
        <is>
          <t>Visa ···· 7923</t>
        </is>
      </c>
      <c r="I102" s="88" t="inlineStr">
        <is>
          <t>UN9D8Y97U2</t>
        </is>
      </c>
      <c r="J102" s="88" t="inlineStr">
        <is>
          <t>Hoàng Anh ADS 02 (1282995733019</t>
        </is>
      </c>
    </row>
    <row r="103" ht="13.2" customHeight="1" s="405">
      <c r="B103" s="308" t="n">
        <v>46225</v>
      </c>
      <c r="C103" s="309" t="inlineStr">
        <is>
          <t>Visa ···· 7923</t>
        </is>
      </c>
      <c r="D103" s="309" t="inlineStr">
        <is>
          <t>RCV67YH7U2</t>
        </is>
      </c>
      <c r="E103" s="310" t="n">
        <v>9025924</v>
      </c>
      <c r="F103" s="456" t="n">
        <v>46225</v>
      </c>
      <c r="G103" s="457" t="n">
        <v>9025924</v>
      </c>
      <c r="H103" s="88" t="inlineStr">
        <is>
          <t>Visa ···· 7923</t>
        </is>
      </c>
      <c r="I103" s="88" t="inlineStr">
        <is>
          <t>RCV67YH7U2</t>
        </is>
      </c>
      <c r="J103" s="88" t="inlineStr">
        <is>
          <t>Hoàng Anh ADS 02 (1282995733019</t>
        </is>
      </c>
    </row>
    <row r="104" ht="13.2" customHeight="1" s="405">
      <c r="B104" s="308" t="n">
        <v>46227</v>
      </c>
      <c r="C104" s="309" t="inlineStr">
        <is>
          <t>Visa ···· 7923</t>
        </is>
      </c>
      <c r="D104" s="309" t="inlineStr">
        <is>
          <t>9XQG8YM6U2</t>
        </is>
      </c>
      <c r="E104" s="310" t="n">
        <v>9025924</v>
      </c>
      <c r="F104" s="456" t="n">
        <v>46227</v>
      </c>
      <c r="G104" s="457" t="n">
        <v>9025924</v>
      </c>
      <c r="H104" s="88" t="inlineStr">
        <is>
          <t>Visa ···· 7923</t>
        </is>
      </c>
      <c r="I104" s="88" t="inlineStr">
        <is>
          <t>9XQG8YM6U2</t>
        </is>
      </c>
      <c r="J104" s="88" t="inlineStr">
        <is>
          <t>Hoàng Anh ADS 02 (1282995733019</t>
        </is>
      </c>
    </row>
    <row r="105" ht="13.2" customHeight="1" s="405">
      <c r="B105" s="308" t="n">
        <v>46229</v>
      </c>
      <c r="C105" s="309" t="inlineStr">
        <is>
          <t>Visa ···· 7923</t>
        </is>
      </c>
      <c r="D105" s="309" t="inlineStr">
        <is>
          <t>N9X2DX57U2</t>
        </is>
      </c>
      <c r="E105" s="310" t="n">
        <v>9025924</v>
      </c>
      <c r="F105" s="456" t="n">
        <v>46229</v>
      </c>
      <c r="G105" s="457" t="n">
        <v>9025924</v>
      </c>
      <c r="H105" s="88" t="inlineStr">
        <is>
          <t>Visa ···· 7923</t>
        </is>
      </c>
      <c r="I105" s="88" t="inlineStr">
        <is>
          <t>N9X2DX57U2</t>
        </is>
      </c>
      <c r="J105" s="88" t="inlineStr">
        <is>
          <t>Hoàng Anh ADS 02 (1282995733019</t>
        </is>
      </c>
    </row>
    <row r="106" ht="13.2" customHeight="1" s="405">
      <c r="B106" s="308" t="n">
        <v>46232</v>
      </c>
      <c r="C106" s="309" t="inlineStr">
        <is>
          <t>Visa ···· 7923</t>
        </is>
      </c>
      <c r="D106" s="309" t="inlineStr">
        <is>
          <t>QNWUWYH7U2</t>
        </is>
      </c>
      <c r="E106" s="310" t="n">
        <v>1162438</v>
      </c>
      <c r="F106" s="456" t="n">
        <v>46232</v>
      </c>
      <c r="G106" s="457" t="n">
        <v>1162438</v>
      </c>
      <c r="H106" s="88" t="inlineStr">
        <is>
          <t>Visa ···· 7923</t>
        </is>
      </c>
      <c r="I106" s="88" t="inlineStr">
        <is>
          <t>QNWUWYH7U2</t>
        </is>
      </c>
      <c r="J106" s="88" t="inlineStr">
        <is>
          <t>Hoàng Anh ADS 02 (1282995733019</t>
        </is>
      </c>
    </row>
    <row r="107" ht="13.2" customHeight="1" s="405">
      <c r="B107" s="308" t="n">
        <v>46232</v>
      </c>
      <c r="C107" s="309" t="inlineStr">
        <is>
          <t>Visa ···· 7923</t>
        </is>
      </c>
      <c r="D107" s="309" t="inlineStr">
        <is>
          <t>X342DYZ6U2</t>
        </is>
      </c>
      <c r="E107" s="310" t="n">
        <v>2324876</v>
      </c>
      <c r="F107" s="456" t="n">
        <v>46232</v>
      </c>
      <c r="G107" s="457" t="n">
        <v>2324876</v>
      </c>
      <c r="H107" s="88" t="inlineStr">
        <is>
          <t>Visa ···· 7923</t>
        </is>
      </c>
      <c r="I107" s="88" t="inlineStr">
        <is>
          <t>X342DYZ6U2</t>
        </is>
      </c>
      <c r="J107" s="88" t="inlineStr">
        <is>
          <t>Hoàng Anh ADS 02 (1282995733019</t>
        </is>
      </c>
    </row>
    <row r="108" ht="13.2" customHeight="1" s="405">
      <c r="B108" s="308" t="n">
        <v>46232</v>
      </c>
      <c r="C108" s="309" t="inlineStr">
        <is>
          <t>Visa ···· 7923</t>
        </is>
      </c>
      <c r="D108" s="309" t="inlineStr">
        <is>
          <t>PSUWLYM7U2</t>
        </is>
      </c>
      <c r="E108" s="310" t="n">
        <v>4649753</v>
      </c>
      <c r="F108" s="456" t="n">
        <v>46232</v>
      </c>
      <c r="G108" s="457" t="n">
        <v>4649753</v>
      </c>
      <c r="H108" s="88" t="inlineStr">
        <is>
          <t>Visa ···· 7923</t>
        </is>
      </c>
      <c r="I108" s="88" t="inlineStr">
        <is>
          <t>PSUWLYM7U2</t>
        </is>
      </c>
      <c r="J108" s="88" t="inlineStr">
        <is>
          <t>Hoàng Anh ADS 02 (1282995733019</t>
        </is>
      </c>
    </row>
    <row r="109" ht="13.2" customHeight="1" s="405">
      <c r="B109" s="308" t="n">
        <v>46232</v>
      </c>
      <c r="C109" s="309" t="inlineStr">
        <is>
          <t>Visa ···· 7923</t>
        </is>
      </c>
      <c r="D109" s="309" t="inlineStr">
        <is>
          <t>DFX3RYM6U2</t>
        </is>
      </c>
      <c r="E109" s="310" t="n">
        <v>1162444</v>
      </c>
      <c r="F109" s="456" t="n">
        <v>46232</v>
      </c>
      <c r="G109" s="457" t="n">
        <v>1162444</v>
      </c>
      <c r="H109" s="88" t="inlineStr">
        <is>
          <t>Visa ···· 7923</t>
        </is>
      </c>
      <c r="I109" s="88" t="inlineStr">
        <is>
          <t>DFX3RYM6U2</t>
        </is>
      </c>
      <c r="J109" s="88" t="inlineStr">
        <is>
          <t>Hoàng Anh ADS 02 (1282995733019</t>
        </is>
      </c>
    </row>
    <row r="110" ht="13.2" customHeight="1" s="405">
      <c r="B110" s="308" t="n">
        <v>46233</v>
      </c>
      <c r="C110" s="309" t="inlineStr">
        <is>
          <t>Visa ···· 7923</t>
        </is>
      </c>
      <c r="D110" s="309" t="inlineStr">
        <is>
          <t>6HT94ZH7U2</t>
        </is>
      </c>
      <c r="E110" s="310" t="n">
        <v>1130397</v>
      </c>
      <c r="F110" s="456" t="n">
        <v>46233</v>
      </c>
      <c r="G110" s="457" t="n">
        <v>1130397</v>
      </c>
      <c r="H110" s="88" t="inlineStr">
        <is>
          <t>Visa ···· 7923</t>
        </is>
      </c>
      <c r="I110" s="88" t="inlineStr">
        <is>
          <t>6HT94ZH7U2</t>
        </is>
      </c>
      <c r="J110" s="88" t="inlineStr">
        <is>
          <t>Hoàng Anh ADS 02 (1282995733019</t>
        </is>
      </c>
    </row>
    <row r="111" ht="13.2" customHeight="1" s="405">
      <c r="B111" s="308" t="n">
        <v>46233</v>
      </c>
      <c r="C111" s="309" t="inlineStr">
        <is>
          <t>Visa ···· 7923</t>
        </is>
      </c>
      <c r="D111" s="309" t="inlineStr">
        <is>
          <t>TY6LUX57U2</t>
        </is>
      </c>
      <c r="E111" s="310" t="n">
        <v>2260795</v>
      </c>
      <c r="F111" s="456" t="n">
        <v>46233</v>
      </c>
      <c r="G111" s="457" t="n">
        <v>2260795</v>
      </c>
      <c r="H111" s="88" t="inlineStr">
        <is>
          <t>Visa ···· 7923</t>
        </is>
      </c>
      <c r="I111" s="88" t="inlineStr">
        <is>
          <t>TY6LUX57U2</t>
        </is>
      </c>
      <c r="J111" s="88" t="inlineStr">
        <is>
          <t>Hoàng Anh ADS 02 (1282995733019</t>
        </is>
      </c>
    </row>
    <row r="112" ht="13.2" customHeight="1" s="405">
      <c r="B112" s="308" t="n">
        <v>46234</v>
      </c>
      <c r="C112" s="309" t="inlineStr">
        <is>
          <t>Visa ···· 7923</t>
        </is>
      </c>
      <c r="D112" s="309" t="inlineStr">
        <is>
          <t>NEK8ZX57U2</t>
        </is>
      </c>
      <c r="E112" s="310" t="n">
        <v>6120332</v>
      </c>
      <c r="F112" s="456" t="n">
        <v>46234</v>
      </c>
      <c r="G112" s="457" t="n">
        <v>6120332</v>
      </c>
      <c r="H112" s="88" t="inlineStr">
        <is>
          <t>Visa ···· 7923</t>
        </is>
      </c>
      <c r="I112" s="88" t="inlineStr">
        <is>
          <t>NEK8ZX57U2</t>
        </is>
      </c>
      <c r="J112" s="88" t="inlineStr">
        <is>
          <t>Hoàng Anh ADS 02 (1282995733019</t>
        </is>
      </c>
    </row>
    <row r="113" ht="13.2" customHeight="1" s="405">
      <c r="B113" s="314" t="n">
        <v>46204</v>
      </c>
      <c r="C113" s="315" t="inlineStr">
        <is>
          <t>Visa ···· 2156</t>
        </is>
      </c>
      <c r="D113" s="315" t="inlineStr">
        <is>
          <t>AVB3CVDQE2</t>
        </is>
      </c>
      <c r="E113" s="316" t="n">
        <v>15224</v>
      </c>
      <c r="F113" s="458" t="n"/>
      <c r="G113" s="459" t="n"/>
      <c r="H113" s="14" t="n"/>
      <c r="I113" s="14" t="n"/>
      <c r="J113" s="14" t="n"/>
    </row>
    <row r="114" ht="13.2" customHeight="1" s="405">
      <c r="B114" s="314" t="n">
        <v>46208</v>
      </c>
      <c r="C114" s="315" t="inlineStr">
        <is>
          <t>Visa ···· 7923</t>
        </is>
      </c>
      <c r="D114" s="315" t="inlineStr">
        <is>
          <t>23XTGWVPE2</t>
        </is>
      </c>
      <c r="E114" s="316" t="n">
        <v>4255695</v>
      </c>
      <c r="F114" s="458" t="n"/>
      <c r="G114" s="459" t="n"/>
      <c r="H114" s="14" t="n"/>
      <c r="I114" s="14" t="n"/>
      <c r="J114" s="14" t="n"/>
    </row>
    <row r="115" ht="13.2" customHeight="1" s="405">
      <c r="B115" s="314" t="n">
        <v>46210</v>
      </c>
      <c r="C115" s="315" t="inlineStr">
        <is>
          <t>Visa ···· 7923</t>
        </is>
      </c>
      <c r="D115" s="315" t="inlineStr">
        <is>
          <t>2SRD4XMPE2</t>
        </is>
      </c>
      <c r="E115" s="316" t="n">
        <v>5978921</v>
      </c>
      <c r="F115" s="458" t="n"/>
      <c r="G115" s="459" t="n"/>
      <c r="H115" s="14" t="n"/>
      <c r="I115" s="14" t="n"/>
      <c r="J115" s="14" t="n"/>
    </row>
    <row r="116" ht="13.2" customHeight="1" s="405">
      <c r="B116" s="314" t="n">
        <v>46212</v>
      </c>
      <c r="C116" s="315" t="inlineStr">
        <is>
          <t>Visa ···· 7923</t>
        </is>
      </c>
      <c r="D116" s="315" t="inlineStr">
        <is>
          <t>M8WFDWRPE2</t>
        </is>
      </c>
      <c r="E116" s="316" t="n">
        <v>2484540</v>
      </c>
      <c r="F116" s="458" t="n"/>
      <c r="G116" s="459" t="n"/>
      <c r="H116" s="14" t="n"/>
      <c r="I116" s="14" t="n"/>
      <c r="J116" s="14" t="n"/>
    </row>
    <row r="117" ht="13.2" customHeight="1" s="405">
      <c r="B117" s="314" t="n">
        <v>46214</v>
      </c>
      <c r="C117" s="315" t="inlineStr">
        <is>
          <t>Visa ···· 7923</t>
        </is>
      </c>
      <c r="D117" s="315" t="inlineStr">
        <is>
          <t>SS7AFWDPE2</t>
        </is>
      </c>
      <c r="E117" s="316" t="n">
        <v>4661418</v>
      </c>
      <c r="F117" s="458" t="n"/>
      <c r="G117" s="459" t="n"/>
      <c r="H117" s="14" t="n"/>
      <c r="I117" s="14" t="n"/>
      <c r="J117" s="14" t="n"/>
    </row>
    <row r="118" ht="13.2" customHeight="1" s="405">
      <c r="B118" s="314" t="n">
        <v>46215</v>
      </c>
      <c r="C118" s="315" t="inlineStr">
        <is>
          <t>Visa ···· 7923</t>
        </is>
      </c>
      <c r="D118" s="315" t="inlineStr">
        <is>
          <t>HRBTJWDPE2</t>
        </is>
      </c>
      <c r="E118" s="316" t="n">
        <v>2098560</v>
      </c>
      <c r="F118" s="458" t="n"/>
      <c r="G118" s="459" t="n"/>
      <c r="H118" s="14" t="n"/>
      <c r="I118" s="14" t="n"/>
      <c r="J118" s="14" t="n"/>
    </row>
    <row r="119" ht="13.2" customHeight="1" s="405">
      <c r="B119" s="314" t="n">
        <v>46218</v>
      </c>
      <c r="C119" s="315" t="inlineStr">
        <is>
          <t>Visa ···· 7923</t>
        </is>
      </c>
      <c r="D119" s="315" t="inlineStr">
        <is>
          <t>VAMJQWDQE2</t>
        </is>
      </c>
      <c r="E119" s="316" t="n">
        <v>4364019</v>
      </c>
      <c r="F119" s="458" t="n"/>
      <c r="G119" s="459" t="n"/>
      <c r="H119" s="14" t="n"/>
      <c r="I119" s="14" t="n"/>
      <c r="J119" s="14" t="n"/>
    </row>
    <row r="120" ht="13.2" customHeight="1" s="405">
      <c r="B120" s="314" t="n">
        <v>46219</v>
      </c>
      <c r="C120" s="315" t="inlineStr">
        <is>
          <t>Visa ···· 7923</t>
        </is>
      </c>
      <c r="D120" s="315" t="inlineStr">
        <is>
          <t>PFSPTWHPE2</t>
        </is>
      </c>
      <c r="E120" s="316" t="n">
        <v>1589213</v>
      </c>
      <c r="F120" s="458" t="n"/>
      <c r="G120" s="459" t="n"/>
      <c r="H120" s="14" t="n"/>
      <c r="I120" s="14" t="n"/>
      <c r="J120" s="14" t="n"/>
    </row>
    <row r="121" ht="13.2" customHeight="1" s="405">
      <c r="B121" s="314" t="n">
        <v>46222</v>
      </c>
      <c r="C121" s="315" t="inlineStr">
        <is>
          <t>Visa ···· 7923</t>
        </is>
      </c>
      <c r="D121" s="315" t="inlineStr">
        <is>
          <t>LKX35XHPE2</t>
        </is>
      </c>
      <c r="E121" s="316" t="n">
        <v>3992240</v>
      </c>
      <c r="F121" s="458" t="n"/>
      <c r="G121" s="459" t="n"/>
      <c r="H121" s="14" t="n"/>
      <c r="I121" s="14" t="n"/>
      <c r="J121" s="14" t="n"/>
    </row>
    <row r="122" ht="13.2" customHeight="1" s="405">
      <c r="B122" s="314" t="n">
        <v>46224</v>
      </c>
      <c r="C122" s="315" t="inlineStr">
        <is>
          <t>Visa ···· 7923</t>
        </is>
      </c>
      <c r="D122" s="315" t="inlineStr">
        <is>
          <t>TKPDLWZPE2</t>
        </is>
      </c>
      <c r="E122" s="316" t="n">
        <v>4329897</v>
      </c>
      <c r="F122" s="458" t="n"/>
      <c r="G122" s="459" t="n"/>
      <c r="H122" s="14" t="n"/>
      <c r="I122" s="14" t="n"/>
      <c r="J122" s="14" t="n"/>
    </row>
    <row r="123" ht="13.2" customHeight="1" s="405">
      <c r="B123" s="314" t="n">
        <v>46226</v>
      </c>
      <c r="C123" s="315" t="inlineStr">
        <is>
          <t>Visa ···· 7923</t>
        </is>
      </c>
      <c r="D123" s="315" t="inlineStr">
        <is>
          <t>AJ5VDYVPE2</t>
        </is>
      </c>
      <c r="E123" s="316" t="n">
        <v>3750387</v>
      </c>
      <c r="F123" s="458" t="n"/>
      <c r="G123" s="459" t="n"/>
      <c r="H123" s="14" t="n"/>
      <c r="I123" s="14" t="n"/>
      <c r="J123" s="14" t="n"/>
    </row>
    <row r="124" ht="13.2" customHeight="1" s="405">
      <c r="B124" s="314" t="n">
        <v>46227</v>
      </c>
      <c r="C124" s="315" t="inlineStr">
        <is>
          <t>Visa ···· 7923</t>
        </is>
      </c>
      <c r="D124" s="315" t="inlineStr">
        <is>
          <t>JLT4RXDQE2</t>
        </is>
      </c>
      <c r="E124" s="316" t="n">
        <v>1867786</v>
      </c>
      <c r="F124" s="458" t="n"/>
      <c r="G124" s="459" t="n"/>
      <c r="H124" s="14" t="n"/>
      <c r="I124" s="14" t="n"/>
      <c r="J124" s="14" t="n"/>
    </row>
    <row r="125" ht="13.2" customHeight="1" s="405">
      <c r="B125" s="314" t="n">
        <v>46228</v>
      </c>
      <c r="C125" s="315" t="inlineStr">
        <is>
          <t>Visa ···· 7923</t>
        </is>
      </c>
      <c r="D125" s="315" t="inlineStr">
        <is>
          <t>UXSHJX5QE2</t>
        </is>
      </c>
      <c r="E125" s="316" t="n">
        <v>1860783</v>
      </c>
      <c r="F125" s="458" t="n"/>
      <c r="G125" s="459" t="n"/>
      <c r="H125" s="14" t="n"/>
      <c r="I125" s="14" t="n"/>
      <c r="J125" s="14" t="n"/>
    </row>
    <row r="126" ht="13.2" customHeight="1" s="405">
      <c r="B126" s="314" t="n">
        <v>46230</v>
      </c>
      <c r="C126" s="315" t="inlineStr">
        <is>
          <t>Visa ···· 7923</t>
        </is>
      </c>
      <c r="D126" s="315" t="inlineStr">
        <is>
          <t>AXH6ZXHPE2</t>
        </is>
      </c>
      <c r="E126" s="316" t="n">
        <v>2062871</v>
      </c>
      <c r="F126" s="458" t="n"/>
      <c r="G126" s="459" t="n"/>
      <c r="H126" s="14" t="n"/>
      <c r="I126" s="14" t="n"/>
      <c r="J126" s="14" t="n"/>
    </row>
    <row r="127" ht="13.2" customHeight="1" s="405">
      <c r="B127" s="314" t="n">
        <v>46230</v>
      </c>
      <c r="C127" s="315" t="inlineStr">
        <is>
          <t>Visa ···· 7923</t>
        </is>
      </c>
      <c r="D127" s="315" t="inlineStr">
        <is>
          <t>ALDV9XZPE2</t>
        </is>
      </c>
      <c r="E127" s="316" t="n">
        <v>638116</v>
      </c>
      <c r="F127" s="458" t="n"/>
      <c r="G127" s="459" t="n"/>
      <c r="H127" s="14" t="n"/>
      <c r="I127" s="14" t="n"/>
      <c r="J127" s="14" t="n"/>
    </row>
    <row r="128" ht="13.2" customHeight="1" s="405">
      <c r="B128" s="314" t="n">
        <v>46233</v>
      </c>
      <c r="C128" s="315" t="inlineStr">
        <is>
          <t>Visa ···· 7923</t>
        </is>
      </c>
      <c r="D128" s="315" t="inlineStr">
        <is>
          <t>8ZJHDYDQE2</t>
        </is>
      </c>
      <c r="E128" s="316" t="n">
        <v>4403337</v>
      </c>
      <c r="F128" s="458" t="n"/>
      <c r="G128" s="459" t="n"/>
      <c r="H128" s="14" t="n"/>
      <c r="I128" s="14" t="n"/>
      <c r="J128" s="14" t="n"/>
    </row>
    <row r="129" ht="13.2" customHeight="1" s="405">
      <c r="B129" s="314" t="n">
        <v>46234</v>
      </c>
      <c r="C129" s="315" t="inlineStr">
        <is>
          <t>Visa ···· 7923</t>
        </is>
      </c>
      <c r="D129" s="315" t="inlineStr">
        <is>
          <t>AP9HLYDPE2</t>
        </is>
      </c>
      <c r="E129" s="316" t="n">
        <v>250468</v>
      </c>
      <c r="F129" s="458" t="n"/>
      <c r="G129" s="459" t="n"/>
      <c r="H129" s="14" t="n"/>
      <c r="I129" s="14" t="n"/>
      <c r="J129" s="14" t="n"/>
    </row>
    <row r="130" ht="13.2" customHeight="1" s="405">
      <c r="B130" s="314" t="n">
        <v>46234</v>
      </c>
      <c r="C130" s="315" t="inlineStr">
        <is>
          <t>Visa ···· 7923</t>
        </is>
      </c>
      <c r="D130" s="315" t="inlineStr">
        <is>
          <t>DE7L8Y5QE2</t>
        </is>
      </c>
      <c r="E130" s="316" t="n">
        <v>1753281</v>
      </c>
      <c r="F130" s="458" t="n"/>
      <c r="G130" s="459" t="n"/>
      <c r="H130" s="14" t="n"/>
      <c r="I130" s="14" t="n"/>
      <c r="J130" s="14" t="n"/>
    </row>
    <row r="131" ht="13.8" customHeight="1" s="405">
      <c r="B131" s="317" t="n"/>
      <c r="C131" s="318" t="inlineStr">
        <is>
          <t>TỔNG</t>
        </is>
      </c>
      <c r="D131" s="94" t="n"/>
      <c r="E131" s="319">
        <f>SUM(E24:E130) /1.1</f>
        <v/>
      </c>
    </row>
    <row r="132" ht="13.2" customHeight="1" s="405">
      <c r="B132" s="218" t="n"/>
      <c r="E132" s="218" t="n"/>
    </row>
    <row r="133" ht="13.2" customHeight="1" s="405">
      <c r="B133" s="218" t="n"/>
      <c r="E133" s="218" t="n"/>
    </row>
    <row r="134" ht="13.2" customHeight="1" s="405">
      <c r="B134" s="218" t="n"/>
      <c r="E134" s="218" t="n"/>
    </row>
    <row r="135" ht="13.2" customHeight="1" s="405">
      <c r="B135" s="218" t="n"/>
      <c r="E135" s="218" t="n"/>
    </row>
    <row r="136" ht="13.2" customHeight="1" s="405">
      <c r="B136" s="218" t="n"/>
      <c r="E136" s="218" t="n"/>
    </row>
    <row r="137" ht="13.2" customHeight="1" s="405">
      <c r="B137" s="218" t="n"/>
      <c r="E137" s="218" t="n"/>
    </row>
    <row r="138" ht="13.2" customHeight="1" s="405">
      <c r="B138" s="218" t="n"/>
      <c r="E138" s="218" t="n"/>
    </row>
    <row r="139" ht="13.2" customHeight="1" s="405">
      <c r="B139" s="218" t="n"/>
      <c r="E139" s="218" t="n"/>
    </row>
    <row r="140" ht="13.2" customHeight="1" s="405">
      <c r="B140" s="218" t="n"/>
      <c r="E140" s="218" t="n"/>
    </row>
    <row r="141" ht="13.2" customHeight="1" s="405">
      <c r="B141" s="218" t="n"/>
      <c r="E141" s="218" t="n"/>
    </row>
    <row r="142" ht="13.2" customHeight="1" s="405">
      <c r="B142" s="218" t="n"/>
      <c r="E142" s="218" t="n"/>
    </row>
    <row r="143" ht="13.2" customHeight="1" s="405">
      <c r="B143" s="218" t="n"/>
      <c r="E143" s="218" t="n"/>
    </row>
    <row r="144" ht="13.2" customHeight="1" s="405">
      <c r="B144" s="218" t="n"/>
      <c r="E144" s="218" t="n"/>
    </row>
    <row r="145" ht="13.2" customHeight="1" s="405">
      <c r="B145" s="218" t="n"/>
      <c r="E145" s="218" t="n"/>
    </row>
    <row r="146" ht="13.2" customHeight="1" s="405">
      <c r="B146" s="218" t="n"/>
      <c r="E146" s="218" t="n"/>
    </row>
    <row r="147" ht="13.2" customHeight="1" s="405">
      <c r="B147" s="218" t="n"/>
      <c r="E147" s="218" t="n"/>
    </row>
    <row r="148" ht="13.2" customHeight="1" s="405">
      <c r="B148" s="218" t="n"/>
      <c r="E148" s="218" t="n"/>
    </row>
    <row r="149" ht="13.2" customHeight="1" s="405">
      <c r="B149" s="218" t="n"/>
      <c r="E149" s="218" t="n"/>
    </row>
    <row r="150" ht="13.2" customHeight="1" s="405">
      <c r="B150" s="218" t="n"/>
      <c r="E150" s="218" t="n"/>
    </row>
    <row r="151" ht="13.2" customHeight="1" s="405">
      <c r="B151" s="218" t="n"/>
      <c r="E151" s="218" t="n"/>
    </row>
    <row r="152" ht="13.2" customHeight="1" s="405">
      <c r="B152" s="218" t="n"/>
      <c r="E152" s="218" t="n"/>
    </row>
    <row r="153" ht="13.2" customHeight="1" s="405">
      <c r="B153" s="218" t="n"/>
      <c r="E153" s="218" t="n"/>
    </row>
    <row r="154" ht="13.2" customHeight="1" s="405">
      <c r="B154" s="218" t="n"/>
      <c r="E154" s="218" t="n"/>
    </row>
    <row r="155" ht="13.2" customHeight="1" s="405">
      <c r="B155" s="218" t="n"/>
      <c r="E155" s="218" t="n"/>
    </row>
    <row r="156" ht="13.2" customHeight="1" s="405">
      <c r="B156" s="218" t="n"/>
      <c r="E156" s="218" t="n"/>
    </row>
    <row r="157" ht="13.2" customHeight="1" s="405">
      <c r="B157" s="218" t="n"/>
      <c r="E157" s="218" t="n"/>
    </row>
    <row r="158" ht="13.2" customHeight="1" s="405">
      <c r="B158" s="218" t="n"/>
      <c r="E158" s="218" t="n"/>
    </row>
    <row r="159" ht="13.2" customHeight="1" s="405">
      <c r="B159" s="218" t="n"/>
      <c r="E159" s="218" t="n"/>
    </row>
    <row r="160" ht="13.2" customHeight="1" s="405">
      <c r="B160" s="218" t="n"/>
      <c r="E160" s="218" t="n"/>
    </row>
    <row r="161" ht="13.2" customHeight="1" s="405">
      <c r="B161" s="218" t="n"/>
      <c r="E161" s="218" t="n"/>
    </row>
    <row r="162" ht="13.2" customHeight="1" s="405">
      <c r="B162" s="218" t="n"/>
      <c r="E162" s="218" t="n"/>
    </row>
    <row r="163" ht="13.2" customHeight="1" s="405">
      <c r="B163" s="218" t="n"/>
      <c r="E163" s="218" t="n"/>
    </row>
    <row r="164" ht="13.2" customHeight="1" s="405">
      <c r="B164" s="218" t="n"/>
      <c r="E164" s="218" t="n"/>
    </row>
    <row r="165" ht="13.2" customHeight="1" s="405">
      <c r="B165" s="218" t="n"/>
      <c r="E165" s="218" t="n"/>
    </row>
    <row r="166" ht="13.2" customHeight="1" s="405">
      <c r="B166" s="218" t="n"/>
      <c r="E166" s="218" t="n"/>
    </row>
    <row r="167" ht="13.2" customHeight="1" s="405">
      <c r="B167" s="218" t="n"/>
      <c r="E167" s="218" t="n"/>
    </row>
    <row r="168" ht="13.2" customHeight="1" s="405">
      <c r="B168" s="218" t="n"/>
      <c r="E168" s="218" t="n"/>
    </row>
    <row r="169" ht="13.2" customHeight="1" s="405">
      <c r="B169" s="218" t="n"/>
      <c r="E169" s="218" t="n"/>
    </row>
    <row r="170" ht="13.2" customHeight="1" s="405">
      <c r="B170" s="218" t="n"/>
      <c r="E170" s="218" t="n"/>
    </row>
    <row r="171" ht="13.2" customHeight="1" s="405">
      <c r="B171" s="218" t="n"/>
      <c r="E171" s="218" t="n"/>
    </row>
    <row r="172" ht="13.2" customHeight="1" s="405">
      <c r="B172" s="218" t="n"/>
      <c r="E172" s="218" t="n"/>
    </row>
    <row r="173" ht="13.2" customHeight="1" s="405">
      <c r="B173" s="218" t="n"/>
      <c r="E173" s="218" t="n"/>
    </row>
    <row r="174" ht="13.2" customHeight="1" s="405">
      <c r="B174" s="218" t="n"/>
      <c r="E174" s="218" t="n"/>
    </row>
    <row r="175" ht="13.2" customHeight="1" s="405">
      <c r="B175" s="218" t="n"/>
      <c r="E175" s="218" t="n"/>
    </row>
    <row r="176" ht="13.2" customHeight="1" s="405">
      <c r="B176" s="218" t="n"/>
      <c r="E176" s="218" t="n"/>
    </row>
    <row r="177" ht="13.2" customHeight="1" s="405">
      <c r="B177" s="218" t="n"/>
      <c r="E177" s="218" t="n"/>
    </row>
    <row r="178" ht="13.2" customHeight="1" s="405">
      <c r="B178" s="218" t="n"/>
      <c r="E178" s="218" t="n"/>
    </row>
    <row r="179" ht="13.2" customHeight="1" s="405">
      <c r="B179" s="218" t="n"/>
      <c r="E179" s="218" t="n"/>
    </row>
    <row r="180" ht="13.2" customHeight="1" s="405">
      <c r="B180" s="218" t="n"/>
      <c r="E180" s="218" t="n"/>
    </row>
    <row r="181" ht="13.2" customHeight="1" s="405">
      <c r="B181" s="218" t="n"/>
      <c r="E181" s="218" t="n"/>
    </row>
    <row r="182" ht="13.2" customHeight="1" s="405">
      <c r="B182" s="218" t="n"/>
      <c r="E182" s="218" t="n"/>
    </row>
    <row r="183" ht="13.2" customHeight="1" s="405">
      <c r="B183" s="218" t="n"/>
      <c r="E183" s="218" t="n"/>
    </row>
    <row r="184" ht="13.2" customHeight="1" s="405">
      <c r="B184" s="218" t="n"/>
      <c r="E184" s="218" t="n"/>
    </row>
    <row r="185" ht="13.2" customHeight="1" s="405">
      <c r="B185" s="218" t="n"/>
      <c r="E185" s="218" t="n"/>
    </row>
    <row r="186" ht="13.2" customHeight="1" s="405">
      <c r="B186" s="218" t="n"/>
      <c r="E186" s="218" t="n"/>
    </row>
    <row r="187" ht="13.2" customHeight="1" s="405">
      <c r="B187" s="218" t="n"/>
      <c r="E187" s="218" t="n"/>
    </row>
    <row r="188" ht="13.2" customHeight="1" s="405">
      <c r="B188" s="218" t="n"/>
      <c r="E188" s="218" t="n"/>
    </row>
    <row r="189" ht="13.2" customHeight="1" s="405">
      <c r="B189" s="218" t="n"/>
      <c r="E189" s="218" t="n"/>
    </row>
    <row r="190" ht="13.2" customHeight="1" s="405">
      <c r="B190" s="218" t="n"/>
      <c r="E190" s="218" t="n"/>
    </row>
    <row r="191" ht="13.2" customHeight="1" s="405">
      <c r="B191" s="218" t="n"/>
      <c r="E191" s="218" t="n"/>
    </row>
    <row r="192" ht="13.2" customHeight="1" s="405">
      <c r="B192" s="218" t="n"/>
      <c r="E192" s="218" t="n"/>
    </row>
    <row r="193" ht="13.2" customHeight="1" s="405">
      <c r="B193" s="218" t="n"/>
      <c r="E193" s="218" t="n"/>
    </row>
    <row r="194" ht="13.2" customHeight="1" s="405">
      <c r="B194" s="218" t="n"/>
      <c r="E194" s="218" t="n"/>
    </row>
    <row r="195" ht="13.2" customHeight="1" s="405">
      <c r="B195" s="218" t="n"/>
      <c r="E195" s="218" t="n"/>
    </row>
    <row r="196" ht="13.2" customHeight="1" s="405">
      <c r="B196" s="218" t="n"/>
      <c r="E196" s="218" t="n"/>
    </row>
    <row r="197" ht="13.2" customHeight="1" s="405">
      <c r="B197" s="218" t="n"/>
      <c r="E197" s="218" t="n"/>
    </row>
    <row r="198" ht="13.2" customHeight="1" s="405">
      <c r="B198" s="218" t="n"/>
      <c r="E198" s="218" t="n"/>
    </row>
    <row r="199" ht="13.2" customHeight="1" s="405">
      <c r="B199" s="218" t="n"/>
      <c r="E199" s="218" t="n"/>
    </row>
    <row r="200" ht="13.2" customHeight="1" s="405">
      <c r="B200" s="218" t="n"/>
      <c r="E200" s="218" t="n"/>
    </row>
    <row r="201" ht="13.2" customHeight="1" s="405">
      <c r="B201" s="218" t="n"/>
      <c r="E201" s="218" t="n"/>
    </row>
    <row r="202" ht="13.2" customHeight="1" s="405">
      <c r="B202" s="218" t="n"/>
      <c r="E202" s="218" t="n"/>
    </row>
    <row r="203" ht="13.2" customHeight="1" s="405">
      <c r="B203" s="218" t="n"/>
      <c r="E203" s="218" t="n"/>
    </row>
    <row r="204" ht="13.2" customHeight="1" s="405">
      <c r="B204" s="218" t="n"/>
      <c r="E204" s="218" t="n"/>
    </row>
    <row r="205" ht="13.2" customHeight="1" s="405">
      <c r="B205" s="218" t="n"/>
      <c r="E205" s="218" t="n"/>
    </row>
    <row r="206" ht="13.2" customHeight="1" s="405">
      <c r="B206" s="218" t="n"/>
      <c r="E206" s="218" t="n"/>
    </row>
    <row r="207" ht="13.2" customHeight="1" s="405">
      <c r="B207" s="218" t="n"/>
      <c r="E207" s="218" t="n"/>
    </row>
    <row r="208" ht="13.2" customHeight="1" s="405">
      <c r="B208" s="218" t="n"/>
      <c r="E208" s="218" t="n"/>
    </row>
    <row r="209" ht="13.2" customHeight="1" s="405">
      <c r="B209" s="218" t="n"/>
      <c r="E209" s="218" t="n"/>
    </row>
    <row r="210" ht="13.2" customHeight="1" s="405">
      <c r="B210" s="218" t="n"/>
      <c r="E210" s="218" t="n"/>
    </row>
    <row r="211" ht="13.2" customHeight="1" s="405">
      <c r="B211" s="218" t="n"/>
      <c r="E211" s="218" t="n"/>
    </row>
    <row r="212" ht="13.2" customHeight="1" s="405">
      <c r="B212" s="218" t="n"/>
      <c r="E212" s="218" t="n"/>
    </row>
    <row r="213" ht="13.2" customHeight="1" s="405">
      <c r="B213" s="218" t="n"/>
      <c r="E213" s="218" t="n"/>
    </row>
    <row r="214" ht="13.2" customHeight="1" s="405">
      <c r="B214" s="218" t="n"/>
      <c r="E214" s="218" t="n"/>
    </row>
    <row r="215" ht="13.2" customHeight="1" s="405">
      <c r="B215" s="218" t="n"/>
      <c r="E215" s="218" t="n"/>
    </row>
    <row r="216" ht="13.2" customHeight="1" s="405">
      <c r="B216" s="218" t="n"/>
      <c r="E216" s="218" t="n"/>
    </row>
    <row r="217" ht="13.2" customHeight="1" s="405">
      <c r="B217" s="218" t="n"/>
      <c r="E217" s="218" t="n"/>
    </row>
    <row r="218" ht="13.2" customHeight="1" s="405">
      <c r="B218" s="218" t="n"/>
      <c r="E218" s="218" t="n"/>
    </row>
    <row r="219" ht="13.2" customHeight="1" s="405">
      <c r="B219" s="218" t="n"/>
      <c r="E219" s="218" t="n"/>
    </row>
    <row r="220" ht="13.2" customHeight="1" s="405">
      <c r="B220" s="218" t="n"/>
      <c r="E220" s="218" t="n"/>
    </row>
    <row r="221" ht="13.2" customHeight="1" s="405">
      <c r="B221" s="218" t="n"/>
      <c r="E221" s="218" t="n"/>
    </row>
    <row r="222" ht="13.2" customHeight="1" s="405">
      <c r="B222" s="218" t="n"/>
      <c r="E222" s="218" t="n"/>
    </row>
    <row r="223" ht="13.2" customHeight="1" s="405">
      <c r="B223" s="218" t="n"/>
      <c r="E223" s="218" t="n"/>
    </row>
    <row r="224" ht="13.2" customHeight="1" s="405">
      <c r="B224" s="218" t="n"/>
      <c r="E224" s="218" t="n"/>
    </row>
    <row r="225" ht="13.2" customHeight="1" s="405">
      <c r="B225" s="218" t="n"/>
      <c r="E225" s="218" t="n"/>
    </row>
    <row r="226" ht="13.2" customHeight="1" s="405">
      <c r="B226" s="218" t="n"/>
      <c r="E226" s="218" t="n"/>
    </row>
    <row r="227" ht="13.2" customHeight="1" s="405">
      <c r="B227" s="218" t="n"/>
      <c r="E227" s="218" t="n"/>
    </row>
    <row r="228" ht="13.2" customHeight="1" s="405">
      <c r="B228" s="218" t="n"/>
      <c r="E228" s="218" t="n"/>
    </row>
    <row r="229" ht="13.2" customHeight="1" s="405">
      <c r="B229" s="218" t="n"/>
      <c r="E229" s="218" t="n"/>
    </row>
    <row r="230" ht="13.2" customHeight="1" s="405">
      <c r="B230" s="218" t="n"/>
      <c r="E230" s="218" t="n"/>
    </row>
    <row r="231" ht="13.2" customHeight="1" s="405">
      <c r="B231" s="218" t="n"/>
      <c r="E231" s="218" t="n"/>
    </row>
    <row r="232" ht="13.2" customHeight="1" s="405">
      <c r="B232" s="218" t="n"/>
      <c r="E232" s="218" t="n"/>
    </row>
    <row r="233" ht="13.2" customHeight="1" s="405">
      <c r="B233" s="218" t="n"/>
      <c r="E233" s="218" t="n"/>
    </row>
    <row r="234" ht="13.2" customHeight="1" s="405">
      <c r="B234" s="218" t="n"/>
      <c r="E234" s="218" t="n"/>
    </row>
    <row r="235" ht="13.2" customHeight="1" s="405">
      <c r="B235" s="218" t="n"/>
      <c r="E235" s="218" t="n"/>
    </row>
    <row r="236" ht="13.2" customHeight="1" s="405">
      <c r="B236" s="218" t="n"/>
      <c r="E236" s="218" t="n"/>
    </row>
    <row r="237" ht="13.2" customHeight="1" s="405">
      <c r="B237" s="218" t="n"/>
      <c r="E237" s="218" t="n"/>
    </row>
    <row r="238" ht="13.2" customHeight="1" s="405">
      <c r="B238" s="218" t="n"/>
      <c r="E238" s="218" t="n"/>
    </row>
    <row r="239" ht="13.2" customHeight="1" s="405">
      <c r="B239" s="218" t="n"/>
      <c r="E239" s="218" t="n"/>
    </row>
    <row r="240" ht="13.2" customHeight="1" s="405">
      <c r="B240" s="218" t="n"/>
      <c r="E240" s="218" t="n"/>
    </row>
    <row r="241" ht="13.2" customHeight="1" s="405">
      <c r="B241" s="218" t="n"/>
      <c r="E241" s="218" t="n"/>
    </row>
    <row r="242" ht="13.2" customHeight="1" s="405">
      <c r="B242" s="218" t="n"/>
      <c r="E242" s="218" t="n"/>
    </row>
    <row r="243" ht="13.2" customHeight="1" s="405">
      <c r="B243" s="218" t="n"/>
      <c r="E243" s="218" t="n"/>
    </row>
    <row r="244" ht="13.2" customHeight="1" s="405">
      <c r="B244" s="218" t="n"/>
      <c r="E244" s="218" t="n"/>
    </row>
    <row r="245" ht="13.2" customHeight="1" s="405">
      <c r="B245" s="218" t="n"/>
      <c r="E245" s="218" t="n"/>
    </row>
    <row r="246" ht="13.2" customHeight="1" s="405">
      <c r="B246" s="218" t="n"/>
      <c r="E246" s="218" t="n"/>
    </row>
    <row r="247" ht="13.2" customHeight="1" s="405">
      <c r="B247" s="218" t="n"/>
      <c r="E247" s="218" t="n"/>
    </row>
    <row r="248" ht="13.2" customHeight="1" s="405">
      <c r="B248" s="218" t="n"/>
      <c r="E248" s="218" t="n"/>
    </row>
    <row r="249" ht="13.2" customHeight="1" s="405">
      <c r="B249" s="218" t="n"/>
      <c r="E249" s="218" t="n"/>
    </row>
    <row r="250" ht="13.2" customHeight="1" s="405">
      <c r="B250" s="218" t="n"/>
      <c r="E250" s="218" t="n"/>
    </row>
    <row r="251" ht="13.2" customHeight="1" s="405">
      <c r="B251" s="218" t="n"/>
      <c r="E251" s="218" t="n"/>
    </row>
    <row r="252" ht="13.2" customHeight="1" s="405">
      <c r="B252" s="218" t="n"/>
      <c r="E252" s="218" t="n"/>
    </row>
    <row r="253" ht="13.2" customHeight="1" s="405">
      <c r="B253" s="218" t="n"/>
      <c r="E253" s="218" t="n"/>
    </row>
    <row r="254" ht="13.2" customHeight="1" s="405">
      <c r="B254" s="218" t="n"/>
      <c r="E254" s="218" t="n"/>
    </row>
    <row r="255" ht="13.2" customHeight="1" s="405">
      <c r="B255" s="218" t="n"/>
      <c r="E255" s="218" t="n"/>
    </row>
    <row r="256" ht="13.2" customHeight="1" s="405">
      <c r="B256" s="218" t="n"/>
      <c r="E256" s="218" t="n"/>
    </row>
    <row r="257" ht="13.2" customHeight="1" s="405">
      <c r="B257" s="218" t="n"/>
      <c r="E257" s="218" t="n"/>
    </row>
    <row r="258" ht="13.2" customHeight="1" s="405">
      <c r="B258" s="218" t="n"/>
      <c r="E258" s="218" t="n"/>
    </row>
    <row r="259" ht="13.2" customHeight="1" s="405">
      <c r="B259" s="218" t="n"/>
      <c r="E259" s="218" t="n"/>
    </row>
    <row r="260" ht="13.2" customHeight="1" s="405">
      <c r="B260" s="218" t="n"/>
      <c r="E260" s="218" t="n"/>
    </row>
    <row r="261" ht="13.2" customHeight="1" s="405">
      <c r="B261" s="218" t="n"/>
      <c r="E261" s="218" t="n"/>
    </row>
    <row r="262" ht="13.2" customHeight="1" s="405">
      <c r="B262" s="218" t="n"/>
      <c r="E262" s="218" t="n"/>
    </row>
    <row r="263" ht="13.2" customHeight="1" s="405">
      <c r="B263" s="218" t="n"/>
      <c r="E263" s="218" t="n"/>
    </row>
    <row r="264" ht="13.2" customHeight="1" s="405">
      <c r="B264" s="218" t="n"/>
      <c r="E264" s="218" t="n"/>
    </row>
    <row r="265" ht="13.2" customHeight="1" s="405">
      <c r="B265" s="218" t="n"/>
      <c r="E265" s="218" t="n"/>
    </row>
    <row r="266" ht="13.2" customHeight="1" s="405">
      <c r="B266" s="218" t="n"/>
      <c r="E266" s="218" t="n"/>
    </row>
    <row r="267" ht="13.2" customHeight="1" s="405">
      <c r="B267" s="218" t="n"/>
      <c r="E267" s="218" t="n"/>
    </row>
    <row r="268" ht="13.2" customHeight="1" s="405">
      <c r="B268" s="218" t="n"/>
      <c r="E268" s="218" t="n"/>
    </row>
    <row r="269" ht="13.2" customHeight="1" s="405">
      <c r="B269" s="218" t="n"/>
      <c r="E269" s="218" t="n"/>
    </row>
    <row r="270" ht="13.2" customHeight="1" s="405">
      <c r="B270" s="218" t="n"/>
      <c r="E270" s="218" t="n"/>
    </row>
    <row r="271" ht="13.2" customHeight="1" s="405">
      <c r="B271" s="218" t="n"/>
      <c r="E271" s="218" t="n"/>
    </row>
    <row r="272" ht="13.2" customHeight="1" s="405">
      <c r="B272" s="218" t="n"/>
      <c r="E272" s="218" t="n"/>
    </row>
    <row r="273" ht="13.2" customHeight="1" s="405">
      <c r="B273" s="218" t="n"/>
      <c r="E273" s="218" t="n"/>
    </row>
    <row r="274" ht="13.2" customHeight="1" s="405">
      <c r="B274" s="218" t="n"/>
      <c r="E274" s="218" t="n"/>
    </row>
    <row r="275" ht="13.2" customHeight="1" s="405">
      <c r="B275" s="218" t="n"/>
      <c r="E275" s="218" t="n"/>
    </row>
    <row r="276" ht="13.2" customHeight="1" s="405">
      <c r="B276" s="218" t="n"/>
      <c r="E276" s="218" t="n"/>
    </row>
    <row r="277" ht="13.2" customHeight="1" s="405">
      <c r="B277" s="218" t="n"/>
      <c r="E277" s="218" t="n"/>
    </row>
    <row r="278" ht="13.2" customHeight="1" s="405">
      <c r="B278" s="218" t="n"/>
      <c r="E278" s="218" t="n"/>
    </row>
    <row r="279" ht="13.2" customHeight="1" s="405">
      <c r="B279" s="218" t="n"/>
      <c r="E279" s="218" t="n"/>
    </row>
    <row r="280" ht="13.2" customHeight="1" s="405">
      <c r="B280" s="218" t="n"/>
      <c r="E280" s="218" t="n"/>
    </row>
    <row r="281" ht="13.2" customHeight="1" s="405">
      <c r="B281" s="218" t="n"/>
      <c r="E281" s="218" t="n"/>
    </row>
    <row r="282" ht="13.2" customHeight="1" s="405">
      <c r="B282" s="218" t="n"/>
      <c r="E282" s="218" t="n"/>
    </row>
    <row r="283" ht="13.2" customHeight="1" s="405">
      <c r="B283" s="218" t="n"/>
      <c r="E283" s="218" t="n"/>
    </row>
    <row r="284" ht="13.2" customHeight="1" s="405">
      <c r="B284" s="218" t="n"/>
      <c r="E284" s="218" t="n"/>
    </row>
    <row r="285" ht="13.2" customHeight="1" s="405">
      <c r="B285" s="218" t="n"/>
      <c r="E285" s="218" t="n"/>
    </row>
    <row r="286" ht="13.2" customHeight="1" s="405">
      <c r="B286" s="218" t="n"/>
      <c r="E286" s="218" t="n"/>
    </row>
    <row r="287" ht="13.2" customHeight="1" s="405">
      <c r="B287" s="218" t="n"/>
      <c r="E287" s="218" t="n"/>
    </row>
    <row r="288" ht="13.2" customHeight="1" s="405">
      <c r="B288" s="218" t="n"/>
      <c r="E288" s="218" t="n"/>
    </row>
    <row r="289" ht="13.2" customHeight="1" s="405">
      <c r="B289" s="218" t="n"/>
      <c r="E289" s="218" t="n"/>
    </row>
    <row r="290" ht="13.2" customHeight="1" s="405">
      <c r="B290" s="218" t="n"/>
      <c r="E290" s="218" t="n"/>
    </row>
    <row r="291" ht="13.2" customHeight="1" s="405">
      <c r="B291" s="218" t="n"/>
      <c r="E291" s="218" t="n"/>
    </row>
    <row r="292" ht="13.2" customHeight="1" s="405">
      <c r="B292" s="218" t="n"/>
      <c r="E292" s="218" t="n"/>
    </row>
    <row r="293" ht="13.2" customHeight="1" s="405">
      <c r="B293" s="218" t="n"/>
      <c r="E293" s="218" t="n"/>
    </row>
    <row r="294" ht="13.2" customHeight="1" s="405">
      <c r="B294" s="218" t="n"/>
      <c r="E294" s="218" t="n"/>
    </row>
    <row r="295" ht="13.2" customHeight="1" s="405">
      <c r="B295" s="218" t="n"/>
      <c r="E295" s="218" t="n"/>
    </row>
    <row r="296" ht="13.2" customHeight="1" s="405">
      <c r="B296" s="218" t="n"/>
      <c r="E296" s="218" t="n"/>
    </row>
    <row r="297" ht="13.2" customHeight="1" s="405">
      <c r="B297" s="218" t="n"/>
      <c r="E297" s="218" t="n"/>
    </row>
    <row r="298" ht="13.2" customHeight="1" s="405">
      <c r="B298" s="218" t="n"/>
      <c r="E298" s="218" t="n"/>
    </row>
    <row r="299" ht="13.2" customHeight="1" s="405">
      <c r="B299" s="218" t="n"/>
      <c r="E299" s="218" t="n"/>
    </row>
    <row r="300" ht="13.2" customHeight="1" s="405">
      <c r="B300" s="218" t="n"/>
      <c r="E300" s="218" t="n"/>
    </row>
    <row r="301" ht="13.2" customHeight="1" s="405">
      <c r="B301" s="218" t="n"/>
      <c r="E301" s="218" t="n"/>
    </row>
    <row r="302" ht="13.2" customHeight="1" s="405">
      <c r="B302" s="218" t="n"/>
      <c r="E302" s="218" t="n"/>
    </row>
    <row r="303" ht="13.2" customHeight="1" s="405">
      <c r="B303" s="218" t="n"/>
      <c r="E303" s="218" t="n"/>
    </row>
    <row r="304" ht="13.2" customHeight="1" s="405">
      <c r="B304" s="218" t="n"/>
      <c r="E304" s="218" t="n"/>
    </row>
    <row r="305" ht="13.2" customHeight="1" s="405">
      <c r="B305" s="218" t="n"/>
      <c r="E305" s="218" t="n"/>
    </row>
    <row r="306" ht="13.2" customHeight="1" s="405">
      <c r="B306" s="218" t="n"/>
      <c r="E306" s="218" t="n"/>
    </row>
    <row r="307" ht="13.2" customHeight="1" s="405">
      <c r="B307" s="218" t="n"/>
      <c r="E307" s="218" t="n"/>
    </row>
    <row r="308" ht="13.2" customHeight="1" s="405">
      <c r="B308" s="218" t="n"/>
      <c r="E308" s="218" t="n"/>
    </row>
    <row r="309" ht="13.2" customHeight="1" s="405">
      <c r="B309" s="218" t="n"/>
      <c r="E309" s="218" t="n"/>
    </row>
    <row r="310" ht="13.2" customHeight="1" s="405">
      <c r="B310" s="218" t="n"/>
      <c r="E310" s="218" t="n"/>
    </row>
    <row r="311" ht="13.2" customHeight="1" s="405">
      <c r="B311" s="218" t="n"/>
      <c r="E311" s="218" t="n"/>
    </row>
    <row r="312" ht="13.2" customHeight="1" s="405">
      <c r="B312" s="218" t="n"/>
      <c r="E312" s="218" t="n"/>
    </row>
    <row r="313" ht="13.2" customHeight="1" s="405">
      <c r="B313" s="218" t="n"/>
      <c r="E313" s="218" t="n"/>
    </row>
    <row r="314" ht="13.2" customHeight="1" s="405">
      <c r="B314" s="218" t="n"/>
      <c r="E314" s="218" t="n"/>
    </row>
    <row r="315" ht="13.2" customHeight="1" s="405">
      <c r="B315" s="218" t="n"/>
      <c r="E315" s="218" t="n"/>
    </row>
    <row r="316" ht="13.2" customHeight="1" s="405">
      <c r="B316" s="218" t="n"/>
      <c r="E316" s="218" t="n"/>
    </row>
    <row r="317" ht="13.2" customHeight="1" s="405">
      <c r="B317" s="218" t="n"/>
      <c r="E317" s="218" t="n"/>
    </row>
    <row r="318" ht="13.2" customHeight="1" s="405">
      <c r="B318" s="218" t="n"/>
      <c r="E318" s="218" t="n"/>
    </row>
    <row r="319" ht="13.2" customHeight="1" s="405">
      <c r="B319" s="218" t="n"/>
      <c r="E319" s="218" t="n"/>
    </row>
    <row r="320" ht="13.2" customHeight="1" s="405">
      <c r="B320" s="218" t="n"/>
      <c r="E320" s="218" t="n"/>
    </row>
    <row r="321" ht="13.2" customHeight="1" s="405">
      <c r="B321" s="218" t="n"/>
      <c r="E321" s="218" t="n"/>
    </row>
    <row r="322" ht="13.2" customHeight="1" s="405">
      <c r="B322" s="218" t="n"/>
      <c r="E322" s="218" t="n"/>
    </row>
    <row r="323" ht="13.2" customHeight="1" s="405">
      <c r="B323" s="218" t="n"/>
      <c r="E323" s="218" t="n"/>
    </row>
    <row r="324" ht="13.2" customHeight="1" s="405">
      <c r="B324" s="218" t="n"/>
      <c r="E324" s="218" t="n"/>
    </row>
    <row r="325" ht="13.2" customHeight="1" s="405">
      <c r="B325" s="218" t="n"/>
      <c r="E325" s="218" t="n"/>
    </row>
    <row r="326" ht="13.2" customHeight="1" s="405">
      <c r="B326" s="218" t="n"/>
      <c r="E326" s="218" t="n"/>
    </row>
    <row r="327" ht="13.2" customHeight="1" s="405">
      <c r="B327" s="218" t="n"/>
      <c r="E327" s="218" t="n"/>
    </row>
    <row r="328" ht="13.2" customHeight="1" s="405">
      <c r="B328" s="218" t="n"/>
      <c r="E328" s="218" t="n"/>
    </row>
    <row r="329" ht="13.2" customHeight="1" s="405">
      <c r="B329" s="218" t="n"/>
      <c r="E329" s="218" t="n"/>
    </row>
    <row r="330" ht="13.2" customHeight="1" s="405">
      <c r="B330" s="218" t="n"/>
      <c r="E330" s="218" t="n"/>
    </row>
    <row r="331" ht="13.2" customHeight="1" s="405">
      <c r="B331" s="218" t="n"/>
      <c r="E331" s="218" t="n"/>
    </row>
    <row r="332" ht="13.2" customHeight="1" s="405">
      <c r="B332" s="218" t="n"/>
      <c r="E332" s="218" t="n"/>
    </row>
    <row r="333" ht="13.2" customHeight="1" s="405">
      <c r="B333" s="218" t="n"/>
      <c r="E333" s="218" t="n"/>
    </row>
    <row r="334" ht="13.2" customHeight="1" s="405">
      <c r="B334" s="218" t="n"/>
      <c r="E334" s="218" t="n"/>
    </row>
    <row r="335" ht="13.2" customHeight="1" s="405">
      <c r="B335" s="218" t="n"/>
      <c r="E335" s="218" t="n"/>
    </row>
    <row r="336" ht="13.2" customHeight="1" s="405">
      <c r="B336" s="218" t="n"/>
      <c r="E336" s="218" t="n"/>
    </row>
    <row r="337" ht="13.2" customHeight="1" s="405">
      <c r="B337" s="218" t="n"/>
      <c r="E337" s="218" t="n"/>
    </row>
    <row r="338" ht="13.2" customHeight="1" s="405">
      <c r="B338" s="218" t="n"/>
      <c r="E338" s="218" t="n"/>
    </row>
    <row r="339" ht="13.2" customHeight="1" s="405">
      <c r="B339" s="218" t="n"/>
      <c r="E339" s="218" t="n"/>
    </row>
    <row r="340" ht="13.2" customHeight="1" s="405">
      <c r="B340" s="218" t="n"/>
      <c r="E340" s="218" t="n"/>
    </row>
    <row r="341" ht="13.2" customHeight="1" s="405">
      <c r="B341" s="218" t="n"/>
      <c r="E341" s="218" t="n"/>
    </row>
    <row r="342" ht="13.2" customHeight="1" s="405">
      <c r="B342" s="218" t="n"/>
      <c r="E342" s="218" t="n"/>
    </row>
    <row r="343" ht="13.2" customHeight="1" s="405">
      <c r="B343" s="218" t="n"/>
      <c r="E343" s="218" t="n"/>
    </row>
    <row r="344" ht="13.2" customHeight="1" s="405">
      <c r="B344" s="218" t="n"/>
      <c r="E344" s="218" t="n"/>
    </row>
    <row r="345" ht="13.2" customHeight="1" s="405">
      <c r="B345" s="218" t="n"/>
      <c r="E345" s="218" t="n"/>
    </row>
    <row r="346" ht="13.2" customHeight="1" s="405">
      <c r="B346" s="218" t="n"/>
      <c r="E346" s="218" t="n"/>
    </row>
    <row r="347" ht="13.2" customHeight="1" s="405">
      <c r="B347" s="218" t="n"/>
      <c r="E347" s="218" t="n"/>
    </row>
    <row r="348" ht="13.2" customHeight="1" s="405">
      <c r="B348" s="218" t="n"/>
      <c r="E348" s="218" t="n"/>
    </row>
    <row r="349" ht="13.2" customHeight="1" s="405">
      <c r="B349" s="218" t="n"/>
      <c r="E349" s="218" t="n"/>
    </row>
    <row r="350" ht="13.2" customHeight="1" s="405">
      <c r="B350" s="218" t="n"/>
      <c r="E350" s="218" t="n"/>
    </row>
    <row r="351" ht="13.2" customHeight="1" s="405">
      <c r="B351" s="218" t="n"/>
      <c r="E351" s="218" t="n"/>
    </row>
    <row r="352" ht="13.2" customHeight="1" s="405">
      <c r="B352" s="218" t="n"/>
      <c r="E352" s="218" t="n"/>
    </row>
    <row r="353" ht="13.2" customHeight="1" s="405">
      <c r="B353" s="218" t="n"/>
      <c r="E353" s="218" t="n"/>
    </row>
    <row r="354" ht="13.2" customHeight="1" s="405">
      <c r="B354" s="218" t="n"/>
      <c r="E354" s="218" t="n"/>
    </row>
    <row r="355" ht="13.2" customHeight="1" s="405">
      <c r="B355" s="218" t="n"/>
      <c r="E355" s="218" t="n"/>
    </row>
    <row r="356" ht="13.2" customHeight="1" s="405">
      <c r="B356" s="218" t="n"/>
      <c r="E356" s="218" t="n"/>
    </row>
    <row r="357" ht="13.2" customHeight="1" s="405">
      <c r="B357" s="218" t="n"/>
      <c r="E357" s="218" t="n"/>
    </row>
    <row r="358" ht="13.2" customHeight="1" s="405">
      <c r="B358" s="218" t="n"/>
      <c r="E358" s="218" t="n"/>
    </row>
    <row r="359" ht="13.2" customHeight="1" s="405">
      <c r="B359" s="218" t="n"/>
      <c r="E359" s="218" t="n"/>
    </row>
    <row r="360" ht="13.2" customHeight="1" s="405">
      <c r="B360" s="218" t="n"/>
      <c r="E360" s="218" t="n"/>
    </row>
    <row r="361" ht="13.2" customHeight="1" s="405">
      <c r="B361" s="218" t="n"/>
      <c r="E361" s="218" t="n"/>
    </row>
    <row r="362" ht="13.2" customHeight="1" s="405">
      <c r="B362" s="218" t="n"/>
      <c r="E362" s="218" t="n"/>
    </row>
    <row r="363" ht="13.2" customHeight="1" s="405">
      <c r="B363" s="218" t="n"/>
      <c r="E363" s="218" t="n"/>
    </row>
    <row r="364" ht="13.2" customHeight="1" s="405">
      <c r="B364" s="218" t="n"/>
      <c r="E364" s="218" t="n"/>
    </row>
    <row r="365" ht="13.2" customHeight="1" s="405">
      <c r="B365" s="218" t="n"/>
      <c r="E365" s="218" t="n"/>
    </row>
    <row r="366" ht="13.2" customHeight="1" s="405">
      <c r="B366" s="218" t="n"/>
      <c r="E366" s="218" t="n"/>
    </row>
    <row r="367" ht="13.2" customHeight="1" s="405">
      <c r="B367" s="218" t="n"/>
      <c r="E367" s="218" t="n"/>
    </row>
    <row r="368" ht="13.2" customHeight="1" s="405">
      <c r="B368" s="218" t="n"/>
      <c r="E368" s="218" t="n"/>
    </row>
    <row r="369" ht="13.2" customHeight="1" s="405">
      <c r="B369" s="218" t="n"/>
      <c r="E369" s="218" t="n"/>
    </row>
    <row r="370" ht="13.2" customHeight="1" s="405">
      <c r="B370" s="218" t="n"/>
      <c r="E370" s="218" t="n"/>
    </row>
    <row r="371" ht="13.2" customHeight="1" s="405">
      <c r="B371" s="218" t="n"/>
      <c r="E371" s="218" t="n"/>
    </row>
    <row r="372" ht="13.2" customHeight="1" s="405">
      <c r="B372" s="218" t="n"/>
      <c r="E372" s="218" t="n"/>
    </row>
    <row r="373" ht="13.2" customHeight="1" s="405">
      <c r="B373" s="218" t="n"/>
      <c r="E373" s="218" t="n"/>
    </row>
    <row r="374" ht="13.2" customHeight="1" s="405">
      <c r="B374" s="218" t="n"/>
      <c r="E374" s="218" t="n"/>
    </row>
    <row r="375" ht="13.2" customHeight="1" s="405">
      <c r="B375" s="218" t="n"/>
      <c r="E375" s="218" t="n"/>
    </row>
    <row r="376" ht="13.2" customHeight="1" s="405">
      <c r="B376" s="218" t="n"/>
      <c r="E376" s="218" t="n"/>
    </row>
    <row r="377" ht="13.2" customHeight="1" s="405">
      <c r="B377" s="218" t="n"/>
      <c r="E377" s="218" t="n"/>
    </row>
    <row r="378" ht="13.2" customHeight="1" s="405">
      <c r="B378" s="218" t="n"/>
      <c r="E378" s="218" t="n"/>
    </row>
    <row r="379" ht="13.2" customHeight="1" s="405">
      <c r="B379" s="218" t="n"/>
      <c r="E379" s="218" t="n"/>
    </row>
    <row r="380" ht="13.2" customHeight="1" s="405">
      <c r="B380" s="218" t="n"/>
      <c r="E380" s="218" t="n"/>
    </row>
    <row r="381" ht="13.2" customHeight="1" s="405">
      <c r="B381" s="218" t="n"/>
      <c r="E381" s="218" t="n"/>
    </row>
    <row r="382" ht="13.2" customHeight="1" s="405">
      <c r="B382" s="218" t="n"/>
      <c r="E382" s="218" t="n"/>
    </row>
    <row r="383" ht="13.2" customHeight="1" s="405">
      <c r="B383" s="218" t="n"/>
      <c r="E383" s="218" t="n"/>
    </row>
    <row r="384" ht="13.2" customHeight="1" s="405">
      <c r="B384" s="218" t="n"/>
      <c r="E384" s="218" t="n"/>
    </row>
    <row r="385" ht="13.2" customHeight="1" s="405">
      <c r="B385" s="218" t="n"/>
      <c r="E385" s="218" t="n"/>
    </row>
    <row r="386" ht="13.2" customHeight="1" s="405">
      <c r="B386" s="218" t="n"/>
      <c r="E386" s="218" t="n"/>
    </row>
    <row r="387" ht="13.2" customHeight="1" s="405">
      <c r="B387" s="218" t="n"/>
      <c r="E387" s="218" t="n"/>
    </row>
    <row r="388" ht="13.2" customHeight="1" s="405">
      <c r="B388" s="218" t="n"/>
      <c r="E388" s="218" t="n"/>
    </row>
    <row r="389" ht="13.2" customHeight="1" s="405">
      <c r="B389" s="218" t="n"/>
      <c r="E389" s="218" t="n"/>
    </row>
    <row r="390" ht="13.2" customHeight="1" s="405">
      <c r="B390" s="218" t="n"/>
      <c r="E390" s="218" t="n"/>
    </row>
    <row r="391" ht="13.2" customHeight="1" s="405">
      <c r="B391" s="218" t="n"/>
      <c r="E391" s="218" t="n"/>
    </row>
    <row r="392" ht="13.2" customHeight="1" s="405">
      <c r="B392" s="218" t="n"/>
      <c r="E392" s="218" t="n"/>
    </row>
    <row r="393" ht="13.2" customHeight="1" s="405">
      <c r="B393" s="218" t="n"/>
      <c r="E393" s="218" t="n"/>
    </row>
    <row r="394" ht="13.2" customHeight="1" s="405">
      <c r="B394" s="218" t="n"/>
      <c r="E394" s="218" t="n"/>
    </row>
    <row r="395" ht="13.2" customHeight="1" s="405">
      <c r="B395" s="218" t="n"/>
      <c r="E395" s="218" t="n"/>
    </row>
    <row r="396" ht="13.2" customHeight="1" s="405">
      <c r="B396" s="218" t="n"/>
      <c r="E396" s="218" t="n"/>
    </row>
    <row r="397" ht="13.2" customHeight="1" s="405">
      <c r="B397" s="218" t="n"/>
      <c r="E397" s="218" t="n"/>
    </row>
    <row r="398" ht="13.2" customHeight="1" s="405">
      <c r="B398" s="218" t="n"/>
      <c r="E398" s="218" t="n"/>
    </row>
    <row r="399" ht="13.2" customHeight="1" s="405">
      <c r="B399" s="218" t="n"/>
      <c r="E399" s="218" t="n"/>
    </row>
    <row r="400" ht="13.2" customHeight="1" s="405">
      <c r="B400" s="218" t="n"/>
      <c r="E400" s="218" t="n"/>
    </row>
    <row r="401" ht="13.2" customHeight="1" s="405">
      <c r="B401" s="218" t="n"/>
      <c r="E401" s="218" t="n"/>
    </row>
    <row r="402" ht="13.2" customHeight="1" s="405">
      <c r="B402" s="218" t="n"/>
      <c r="E402" s="218" t="n"/>
    </row>
    <row r="403" ht="13.2" customHeight="1" s="405">
      <c r="B403" s="218" t="n"/>
      <c r="E403" s="218" t="n"/>
    </row>
    <row r="404" ht="13.2" customHeight="1" s="405">
      <c r="B404" s="218" t="n"/>
      <c r="E404" s="218" t="n"/>
    </row>
    <row r="405" ht="13.2" customHeight="1" s="405">
      <c r="B405" s="218" t="n"/>
      <c r="E405" s="218" t="n"/>
    </row>
    <row r="406" ht="13.2" customHeight="1" s="405">
      <c r="B406" s="218" t="n"/>
      <c r="E406" s="218" t="n"/>
    </row>
    <row r="407" ht="13.2" customHeight="1" s="405">
      <c r="B407" s="218" t="n"/>
      <c r="E407" s="218" t="n"/>
    </row>
    <row r="408" ht="13.2" customHeight="1" s="405">
      <c r="B408" s="218" t="n"/>
      <c r="E408" s="218" t="n"/>
    </row>
    <row r="409" ht="13.2" customHeight="1" s="405">
      <c r="B409" s="218" t="n"/>
      <c r="E409" s="218" t="n"/>
    </row>
    <row r="410" ht="13.2" customHeight="1" s="405">
      <c r="B410" s="218" t="n"/>
      <c r="E410" s="218" t="n"/>
    </row>
    <row r="411" ht="13.2" customHeight="1" s="405">
      <c r="B411" s="218" t="n"/>
      <c r="E411" s="218" t="n"/>
    </row>
    <row r="412" ht="13.2" customHeight="1" s="405">
      <c r="B412" s="218" t="n"/>
      <c r="E412" s="218" t="n"/>
    </row>
    <row r="413" ht="13.2" customHeight="1" s="405">
      <c r="B413" s="218" t="n"/>
      <c r="E413" s="218" t="n"/>
    </row>
    <row r="414" ht="13.2" customHeight="1" s="405">
      <c r="B414" s="218" t="n"/>
      <c r="E414" s="218" t="n"/>
    </row>
    <row r="415" ht="13.2" customHeight="1" s="405">
      <c r="B415" s="218" t="n"/>
      <c r="E415" s="218" t="n"/>
    </row>
    <row r="416" ht="13.2" customHeight="1" s="405">
      <c r="B416" s="218" t="n"/>
      <c r="E416" s="218" t="n"/>
    </row>
    <row r="417" ht="13.2" customHeight="1" s="405">
      <c r="B417" s="218" t="n"/>
      <c r="E417" s="218" t="n"/>
    </row>
    <row r="418" ht="13.2" customHeight="1" s="405">
      <c r="B418" s="218" t="n"/>
      <c r="E418" s="218" t="n"/>
    </row>
    <row r="419" ht="13.2" customHeight="1" s="405">
      <c r="B419" s="218" t="n"/>
      <c r="E419" s="218" t="n"/>
    </row>
    <row r="420" ht="13.2" customHeight="1" s="405">
      <c r="B420" s="218" t="n"/>
      <c r="E420" s="218" t="n"/>
    </row>
    <row r="421" ht="13.2" customHeight="1" s="405">
      <c r="B421" s="218" t="n"/>
      <c r="E421" s="218" t="n"/>
    </row>
    <row r="422" ht="13.2" customHeight="1" s="405">
      <c r="B422" s="218" t="n"/>
      <c r="E422" s="218" t="n"/>
    </row>
    <row r="423" ht="13.2" customHeight="1" s="405">
      <c r="B423" s="218" t="n"/>
      <c r="E423" s="218" t="n"/>
    </row>
    <row r="424" ht="13.2" customHeight="1" s="405">
      <c r="B424" s="218" t="n"/>
      <c r="E424" s="218" t="n"/>
    </row>
    <row r="425" ht="13.2" customHeight="1" s="405">
      <c r="B425" s="218" t="n"/>
      <c r="E425" s="218" t="n"/>
    </row>
    <row r="426" ht="13.2" customHeight="1" s="405">
      <c r="B426" s="218" t="n"/>
      <c r="E426" s="218" t="n"/>
    </row>
    <row r="427" ht="13.2" customHeight="1" s="405">
      <c r="B427" s="218" t="n"/>
      <c r="E427" s="218" t="n"/>
    </row>
    <row r="428" ht="13.2" customHeight="1" s="405">
      <c r="B428" s="218" t="n"/>
      <c r="E428" s="218" t="n"/>
    </row>
    <row r="429" ht="13.2" customHeight="1" s="405">
      <c r="B429" s="218" t="n"/>
      <c r="E429" s="218" t="n"/>
    </row>
    <row r="430" ht="13.2" customHeight="1" s="405">
      <c r="B430" s="218" t="n"/>
      <c r="E430" s="218" t="n"/>
    </row>
    <row r="431" ht="13.2" customHeight="1" s="405">
      <c r="B431" s="218" t="n"/>
      <c r="E431" s="218" t="n"/>
    </row>
    <row r="432" ht="13.2" customHeight="1" s="405">
      <c r="B432" s="218" t="n"/>
      <c r="E432" s="218" t="n"/>
    </row>
    <row r="433" ht="13.2" customHeight="1" s="405">
      <c r="B433" s="218" t="n"/>
      <c r="E433" s="218" t="n"/>
    </row>
    <row r="434" ht="13.2" customHeight="1" s="405">
      <c r="B434" s="218" t="n"/>
      <c r="E434" s="218" t="n"/>
    </row>
    <row r="435" ht="13.2" customHeight="1" s="405">
      <c r="B435" s="218" t="n"/>
      <c r="E435" s="218" t="n"/>
    </row>
    <row r="436" ht="13.2" customHeight="1" s="405">
      <c r="B436" s="218" t="n"/>
      <c r="E436" s="218" t="n"/>
    </row>
    <row r="437" ht="13.2" customHeight="1" s="405">
      <c r="B437" s="218" t="n"/>
      <c r="E437" s="218" t="n"/>
    </row>
    <row r="438" ht="13.2" customHeight="1" s="405">
      <c r="B438" s="218" t="n"/>
      <c r="E438" s="218" t="n"/>
    </row>
    <row r="439" ht="13.2" customHeight="1" s="405">
      <c r="B439" s="218" t="n"/>
      <c r="E439" s="218" t="n"/>
    </row>
    <row r="440" ht="13.2" customHeight="1" s="405">
      <c r="B440" s="218" t="n"/>
      <c r="E440" s="218" t="n"/>
    </row>
    <row r="441" ht="13.2" customHeight="1" s="405">
      <c r="B441" s="218" t="n"/>
      <c r="E441" s="218" t="n"/>
    </row>
    <row r="442" ht="13.2" customHeight="1" s="405">
      <c r="B442" s="218" t="n"/>
      <c r="E442" s="218" t="n"/>
    </row>
    <row r="443" ht="13.2" customHeight="1" s="405">
      <c r="B443" s="218" t="n"/>
      <c r="E443" s="218" t="n"/>
    </row>
    <row r="444" ht="13.2" customHeight="1" s="405">
      <c r="B444" s="218" t="n"/>
      <c r="E444" s="218" t="n"/>
    </row>
    <row r="445" ht="13.2" customHeight="1" s="405">
      <c r="B445" s="218" t="n"/>
      <c r="E445" s="218" t="n"/>
    </row>
    <row r="446" ht="13.2" customHeight="1" s="405">
      <c r="B446" s="218" t="n"/>
      <c r="E446" s="218" t="n"/>
    </row>
    <row r="447" ht="13.2" customHeight="1" s="405">
      <c r="B447" s="218" t="n"/>
      <c r="E447" s="218" t="n"/>
    </row>
    <row r="448" ht="13.2" customHeight="1" s="405">
      <c r="B448" s="218" t="n"/>
      <c r="E448" s="218" t="n"/>
    </row>
    <row r="449" ht="13.2" customHeight="1" s="405">
      <c r="B449" s="218" t="n"/>
      <c r="E449" s="218" t="n"/>
    </row>
    <row r="450" ht="13.2" customHeight="1" s="405">
      <c r="B450" s="218" t="n"/>
      <c r="E450" s="218" t="n"/>
    </row>
    <row r="451" ht="13.2" customHeight="1" s="405">
      <c r="B451" s="218" t="n"/>
      <c r="E451" s="218" t="n"/>
    </row>
    <row r="452" ht="13.2" customHeight="1" s="405">
      <c r="B452" s="218" t="n"/>
      <c r="E452" s="218" t="n"/>
    </row>
    <row r="453" ht="13.2" customHeight="1" s="405">
      <c r="B453" s="218" t="n"/>
      <c r="E453" s="218" t="n"/>
    </row>
    <row r="454" ht="13.2" customHeight="1" s="405">
      <c r="B454" s="218" t="n"/>
      <c r="E454" s="218" t="n"/>
    </row>
    <row r="455" ht="13.2" customHeight="1" s="405">
      <c r="B455" s="218" t="n"/>
      <c r="E455" s="218" t="n"/>
    </row>
    <row r="456" ht="13.2" customHeight="1" s="405">
      <c r="B456" s="218" t="n"/>
      <c r="E456" s="218" t="n"/>
    </row>
    <row r="457" ht="13.2" customHeight="1" s="405">
      <c r="B457" s="218" t="n"/>
      <c r="E457" s="218" t="n"/>
    </row>
    <row r="458" ht="13.2" customHeight="1" s="405">
      <c r="B458" s="218" t="n"/>
      <c r="E458" s="218" t="n"/>
    </row>
    <row r="459" ht="13.2" customHeight="1" s="405">
      <c r="B459" s="218" t="n"/>
      <c r="E459" s="218" t="n"/>
    </row>
    <row r="460" ht="13.2" customHeight="1" s="405">
      <c r="B460" s="218" t="n"/>
      <c r="E460" s="218" t="n"/>
    </row>
    <row r="461" ht="13.2" customHeight="1" s="405">
      <c r="B461" s="218" t="n"/>
      <c r="E461" s="218" t="n"/>
    </row>
    <row r="462" ht="13.2" customHeight="1" s="405">
      <c r="B462" s="218" t="n"/>
      <c r="E462" s="218" t="n"/>
    </row>
    <row r="463" ht="13.2" customHeight="1" s="405">
      <c r="B463" s="218" t="n"/>
      <c r="E463" s="218" t="n"/>
    </row>
    <row r="464" ht="13.2" customHeight="1" s="405">
      <c r="B464" s="218" t="n"/>
      <c r="E464" s="218" t="n"/>
    </row>
    <row r="465" ht="13.2" customHeight="1" s="405">
      <c r="B465" s="218" t="n"/>
      <c r="E465" s="218" t="n"/>
    </row>
    <row r="466" ht="13.2" customHeight="1" s="405">
      <c r="B466" s="218" t="n"/>
      <c r="E466" s="218" t="n"/>
    </row>
    <row r="467" ht="13.2" customHeight="1" s="405">
      <c r="B467" s="218" t="n"/>
      <c r="E467" s="218" t="n"/>
    </row>
    <row r="468" ht="13.2" customHeight="1" s="405">
      <c r="B468" s="218" t="n"/>
      <c r="E468" s="218" t="n"/>
    </row>
    <row r="469" ht="13.2" customHeight="1" s="405">
      <c r="B469" s="218" t="n"/>
      <c r="E469" s="218" t="n"/>
    </row>
    <row r="470" ht="13.2" customHeight="1" s="405">
      <c r="B470" s="218" t="n"/>
      <c r="E470" s="218" t="n"/>
    </row>
    <row r="471" ht="13.2" customHeight="1" s="405">
      <c r="B471" s="218" t="n"/>
      <c r="E471" s="218" t="n"/>
    </row>
    <row r="472" ht="13.2" customHeight="1" s="405">
      <c r="B472" s="218" t="n"/>
      <c r="E472" s="218" t="n"/>
    </row>
    <row r="473" ht="13.2" customHeight="1" s="405">
      <c r="B473" s="218" t="n"/>
      <c r="E473" s="218" t="n"/>
    </row>
    <row r="474" ht="13.2" customHeight="1" s="405">
      <c r="B474" s="218" t="n"/>
      <c r="E474" s="218" t="n"/>
    </row>
    <row r="475" ht="13.2" customHeight="1" s="405">
      <c r="B475" s="218" t="n"/>
      <c r="E475" s="218" t="n"/>
    </row>
    <row r="476" ht="13.2" customHeight="1" s="405">
      <c r="B476" s="218" t="n"/>
      <c r="E476" s="218" t="n"/>
    </row>
    <row r="477" ht="13.2" customHeight="1" s="405">
      <c r="B477" s="218" t="n"/>
      <c r="E477" s="218" t="n"/>
    </row>
    <row r="478" ht="13.2" customHeight="1" s="405">
      <c r="B478" s="218" t="n"/>
      <c r="E478" s="218" t="n"/>
    </row>
    <row r="479" ht="13.2" customHeight="1" s="405">
      <c r="B479" s="218" t="n"/>
      <c r="E479" s="218" t="n"/>
    </row>
    <row r="480" ht="13.2" customHeight="1" s="405">
      <c r="B480" s="218" t="n"/>
      <c r="E480" s="218" t="n"/>
    </row>
    <row r="481" ht="13.2" customHeight="1" s="405">
      <c r="B481" s="218" t="n"/>
      <c r="E481" s="218" t="n"/>
    </row>
    <row r="482" ht="13.2" customHeight="1" s="405">
      <c r="B482" s="218" t="n"/>
      <c r="E482" s="218" t="n"/>
    </row>
    <row r="483" ht="13.2" customHeight="1" s="405">
      <c r="B483" s="218" t="n"/>
      <c r="E483" s="218" t="n"/>
    </row>
    <row r="484" ht="13.2" customHeight="1" s="405">
      <c r="B484" s="218" t="n"/>
      <c r="E484" s="218" t="n"/>
    </row>
    <row r="485" ht="13.2" customHeight="1" s="405">
      <c r="B485" s="218" t="n"/>
      <c r="E485" s="218" t="n"/>
    </row>
    <row r="486" ht="13.2" customHeight="1" s="405">
      <c r="B486" s="218" t="n"/>
      <c r="E486" s="218" t="n"/>
    </row>
    <row r="487" ht="13.2" customHeight="1" s="405">
      <c r="B487" s="218" t="n"/>
      <c r="E487" s="218" t="n"/>
    </row>
    <row r="488" ht="13.2" customHeight="1" s="405">
      <c r="B488" s="218" t="n"/>
      <c r="E488" s="218" t="n"/>
    </row>
    <row r="489" ht="13.2" customHeight="1" s="405">
      <c r="B489" s="218" t="n"/>
      <c r="E489" s="218" t="n"/>
    </row>
    <row r="490" ht="13.2" customHeight="1" s="405">
      <c r="B490" s="218" t="n"/>
      <c r="E490" s="218" t="n"/>
    </row>
    <row r="491" ht="13.2" customHeight="1" s="405">
      <c r="B491" s="218" t="n"/>
      <c r="E491" s="218" t="n"/>
    </row>
    <row r="492" ht="13.2" customHeight="1" s="405">
      <c r="B492" s="218" t="n"/>
      <c r="E492" s="218" t="n"/>
    </row>
    <row r="493" ht="13.2" customHeight="1" s="405">
      <c r="B493" s="218" t="n"/>
      <c r="E493" s="218" t="n"/>
    </row>
    <row r="494" ht="13.2" customHeight="1" s="405">
      <c r="B494" s="218" t="n"/>
      <c r="E494" s="218" t="n"/>
    </row>
    <row r="495" ht="13.2" customHeight="1" s="405">
      <c r="B495" s="218" t="n"/>
      <c r="E495" s="218" t="n"/>
    </row>
    <row r="496" ht="13.2" customHeight="1" s="405">
      <c r="B496" s="218" t="n"/>
      <c r="E496" s="218" t="n"/>
    </row>
    <row r="497" ht="13.2" customHeight="1" s="405">
      <c r="B497" s="218" t="n"/>
      <c r="E497" s="218" t="n"/>
    </row>
    <row r="498" ht="13.2" customHeight="1" s="405">
      <c r="B498" s="218" t="n"/>
      <c r="E498" s="218" t="n"/>
    </row>
    <row r="499" ht="13.2" customHeight="1" s="405">
      <c r="B499" s="218" t="n"/>
      <c r="E499" s="218" t="n"/>
    </row>
    <row r="500" ht="13.2" customHeight="1" s="405">
      <c r="B500" s="218" t="n"/>
      <c r="E500" s="218" t="n"/>
    </row>
    <row r="501" ht="13.2" customHeight="1" s="405">
      <c r="B501" s="218" t="n"/>
      <c r="E501" s="218" t="n"/>
    </row>
    <row r="502" ht="13.2" customHeight="1" s="405">
      <c r="B502" s="218" t="n"/>
      <c r="E502" s="218" t="n"/>
    </row>
    <row r="503" ht="13.2" customHeight="1" s="405">
      <c r="B503" s="218" t="n"/>
      <c r="E503" s="218" t="n"/>
    </row>
    <row r="504" ht="13.2" customHeight="1" s="405">
      <c r="B504" s="218" t="n"/>
      <c r="E504" s="218" t="n"/>
    </row>
    <row r="505" ht="13.2" customHeight="1" s="405">
      <c r="B505" s="218" t="n"/>
      <c r="E505" s="218" t="n"/>
    </row>
    <row r="506" ht="13.2" customHeight="1" s="405">
      <c r="B506" s="218" t="n"/>
      <c r="E506" s="218" t="n"/>
    </row>
    <row r="507" ht="13.2" customHeight="1" s="405">
      <c r="B507" s="218" t="n"/>
      <c r="E507" s="218" t="n"/>
    </row>
    <row r="508" ht="13.2" customHeight="1" s="405">
      <c r="B508" s="218" t="n"/>
      <c r="E508" s="218" t="n"/>
    </row>
    <row r="509" ht="13.2" customHeight="1" s="405">
      <c r="B509" s="218" t="n"/>
      <c r="E509" s="218" t="n"/>
    </row>
    <row r="510" ht="13.2" customHeight="1" s="405">
      <c r="B510" s="218" t="n"/>
      <c r="E510" s="218" t="n"/>
    </row>
    <row r="511" ht="13.2" customHeight="1" s="405">
      <c r="B511" s="218" t="n"/>
      <c r="E511" s="218" t="n"/>
    </row>
    <row r="512" ht="13.2" customHeight="1" s="405">
      <c r="B512" s="218" t="n"/>
      <c r="E512" s="218" t="n"/>
    </row>
    <row r="513" ht="13.2" customHeight="1" s="405">
      <c r="B513" s="218" t="n"/>
      <c r="E513" s="218" t="n"/>
    </row>
    <row r="514" ht="13.2" customHeight="1" s="405">
      <c r="B514" s="218" t="n"/>
      <c r="E514" s="218" t="n"/>
    </row>
    <row r="515" ht="13.2" customHeight="1" s="405">
      <c r="B515" s="218" t="n"/>
      <c r="E515" s="218" t="n"/>
    </row>
    <row r="516" ht="13.2" customHeight="1" s="405">
      <c r="B516" s="218" t="n"/>
      <c r="E516" s="218" t="n"/>
    </row>
    <row r="517" ht="13.2" customHeight="1" s="405">
      <c r="B517" s="218" t="n"/>
      <c r="E517" s="218" t="n"/>
    </row>
    <row r="518" ht="13.2" customHeight="1" s="405">
      <c r="B518" s="218" t="n"/>
      <c r="E518" s="218" t="n"/>
    </row>
    <row r="519" ht="13.2" customHeight="1" s="405">
      <c r="B519" s="218" t="n"/>
      <c r="E519" s="218" t="n"/>
    </row>
    <row r="520" ht="13.2" customHeight="1" s="405">
      <c r="B520" s="218" t="n"/>
      <c r="E520" s="218" t="n"/>
    </row>
    <row r="521" ht="13.2" customHeight="1" s="405">
      <c r="B521" s="218" t="n"/>
      <c r="E521" s="218" t="n"/>
    </row>
    <row r="522" ht="13.2" customHeight="1" s="405">
      <c r="B522" s="218" t="n"/>
      <c r="E522" s="218" t="n"/>
    </row>
    <row r="523" ht="13.2" customHeight="1" s="405">
      <c r="B523" s="218" t="n"/>
      <c r="E523" s="218" t="n"/>
    </row>
    <row r="524" ht="13.2" customHeight="1" s="405">
      <c r="B524" s="218" t="n"/>
      <c r="E524" s="218" t="n"/>
    </row>
    <row r="525" ht="13.2" customHeight="1" s="405">
      <c r="B525" s="218" t="n"/>
      <c r="E525" s="218" t="n"/>
    </row>
    <row r="526" ht="13.2" customHeight="1" s="405">
      <c r="B526" s="218" t="n"/>
      <c r="E526" s="218" t="n"/>
    </row>
    <row r="527" ht="13.2" customHeight="1" s="405">
      <c r="B527" s="218" t="n"/>
      <c r="E527" s="218" t="n"/>
    </row>
    <row r="528" ht="13.2" customHeight="1" s="405">
      <c r="B528" s="218" t="n"/>
      <c r="E528" s="218" t="n"/>
    </row>
    <row r="529" ht="13.2" customHeight="1" s="405">
      <c r="B529" s="218" t="n"/>
      <c r="E529" s="218" t="n"/>
    </row>
    <row r="530" ht="13.2" customHeight="1" s="405">
      <c r="B530" s="218" t="n"/>
      <c r="E530" s="218" t="n"/>
    </row>
    <row r="531" ht="13.2" customHeight="1" s="405">
      <c r="B531" s="218" t="n"/>
      <c r="E531" s="218" t="n"/>
    </row>
    <row r="532" ht="13.2" customHeight="1" s="405">
      <c r="B532" s="218" t="n"/>
      <c r="E532" s="218" t="n"/>
    </row>
    <row r="533" ht="13.2" customHeight="1" s="405">
      <c r="B533" s="218" t="n"/>
      <c r="E533" s="218" t="n"/>
    </row>
    <row r="534" ht="13.2" customHeight="1" s="405">
      <c r="B534" s="218" t="n"/>
      <c r="E534" s="218" t="n"/>
    </row>
    <row r="535" ht="13.2" customHeight="1" s="405">
      <c r="B535" s="218" t="n"/>
      <c r="E535" s="218" t="n"/>
    </row>
    <row r="536" ht="13.2" customHeight="1" s="405">
      <c r="B536" s="218" t="n"/>
      <c r="E536" s="218" t="n"/>
    </row>
    <row r="537" ht="13.2" customHeight="1" s="405">
      <c r="B537" s="218" t="n"/>
      <c r="E537" s="218" t="n"/>
    </row>
    <row r="538" ht="13.2" customHeight="1" s="405">
      <c r="B538" s="218" t="n"/>
      <c r="E538" s="218" t="n"/>
    </row>
    <row r="539" ht="13.2" customHeight="1" s="405">
      <c r="B539" s="218" t="n"/>
      <c r="E539" s="218" t="n"/>
    </row>
    <row r="540" ht="13.2" customHeight="1" s="405">
      <c r="B540" s="218" t="n"/>
      <c r="E540" s="218" t="n"/>
    </row>
    <row r="541" ht="13.2" customHeight="1" s="405">
      <c r="B541" s="218" t="n"/>
      <c r="E541" s="218" t="n"/>
    </row>
    <row r="542" ht="13.2" customHeight="1" s="405">
      <c r="B542" s="218" t="n"/>
      <c r="E542" s="218" t="n"/>
    </row>
    <row r="543" ht="13.2" customHeight="1" s="405">
      <c r="B543" s="218" t="n"/>
      <c r="E543" s="218" t="n"/>
    </row>
    <row r="544" ht="13.2" customHeight="1" s="405">
      <c r="B544" s="218" t="n"/>
      <c r="E544" s="218" t="n"/>
    </row>
    <row r="545" ht="13.2" customHeight="1" s="405">
      <c r="B545" s="218" t="n"/>
      <c r="E545" s="218" t="n"/>
    </row>
    <row r="546" ht="13.2" customHeight="1" s="405">
      <c r="B546" s="218" t="n"/>
      <c r="E546" s="218" t="n"/>
    </row>
    <row r="547" ht="13.2" customHeight="1" s="405">
      <c r="B547" s="218" t="n"/>
      <c r="E547" s="218" t="n"/>
    </row>
    <row r="548" ht="13.2" customHeight="1" s="405">
      <c r="B548" s="218" t="n"/>
      <c r="E548" s="218" t="n"/>
    </row>
    <row r="549" ht="13.2" customHeight="1" s="405">
      <c r="B549" s="218" t="n"/>
      <c r="E549" s="218" t="n"/>
    </row>
    <row r="550" ht="13.2" customHeight="1" s="405">
      <c r="B550" s="218" t="n"/>
      <c r="E550" s="218" t="n"/>
    </row>
    <row r="551" ht="13.2" customHeight="1" s="405">
      <c r="B551" s="218" t="n"/>
      <c r="E551" s="218" t="n"/>
    </row>
    <row r="552" ht="13.2" customHeight="1" s="405">
      <c r="B552" s="218" t="n"/>
      <c r="E552" s="218" t="n"/>
    </row>
    <row r="553" ht="13.2" customHeight="1" s="405">
      <c r="B553" s="218" t="n"/>
      <c r="E553" s="218" t="n"/>
    </row>
    <row r="554" ht="13.2" customHeight="1" s="405">
      <c r="B554" s="218" t="n"/>
      <c r="E554" s="218" t="n"/>
    </row>
    <row r="555" ht="13.2" customHeight="1" s="405">
      <c r="B555" s="218" t="n"/>
      <c r="E555" s="218" t="n"/>
    </row>
    <row r="556" ht="13.2" customHeight="1" s="405">
      <c r="B556" s="218" t="n"/>
      <c r="E556" s="218" t="n"/>
    </row>
    <row r="557" ht="13.2" customHeight="1" s="405">
      <c r="B557" s="218" t="n"/>
      <c r="E557" s="218" t="n"/>
    </row>
    <row r="558" ht="13.2" customHeight="1" s="405">
      <c r="B558" s="218" t="n"/>
      <c r="E558" s="218" t="n"/>
    </row>
    <row r="559" ht="13.2" customHeight="1" s="405">
      <c r="B559" s="218" t="n"/>
      <c r="E559" s="218" t="n"/>
    </row>
    <row r="560" ht="13.2" customHeight="1" s="405">
      <c r="B560" s="218" t="n"/>
      <c r="E560" s="218" t="n"/>
    </row>
    <row r="561" ht="13.2" customHeight="1" s="405">
      <c r="B561" s="218" t="n"/>
      <c r="E561" s="218" t="n"/>
    </row>
    <row r="562" ht="13.2" customHeight="1" s="405">
      <c r="B562" s="218" t="n"/>
      <c r="E562" s="218" t="n"/>
    </row>
    <row r="563" ht="13.2" customHeight="1" s="405">
      <c r="B563" s="218" t="n"/>
      <c r="E563" s="218" t="n"/>
    </row>
    <row r="564" ht="13.2" customHeight="1" s="405">
      <c r="B564" s="218" t="n"/>
      <c r="E564" s="218" t="n"/>
    </row>
    <row r="565" ht="13.2" customHeight="1" s="405">
      <c r="B565" s="218" t="n"/>
      <c r="E565" s="218" t="n"/>
    </row>
    <row r="566" ht="13.2" customHeight="1" s="405">
      <c r="B566" s="218" t="n"/>
      <c r="E566" s="218" t="n"/>
    </row>
    <row r="567" ht="13.2" customHeight="1" s="405">
      <c r="B567" s="218" t="n"/>
      <c r="E567" s="218" t="n"/>
    </row>
    <row r="568" ht="13.2" customHeight="1" s="405">
      <c r="B568" s="218" t="n"/>
      <c r="E568" s="218" t="n"/>
    </row>
    <row r="569" ht="13.2" customHeight="1" s="405">
      <c r="B569" s="218" t="n"/>
      <c r="E569" s="218" t="n"/>
    </row>
    <row r="570" ht="13.2" customHeight="1" s="405">
      <c r="B570" s="218" t="n"/>
      <c r="E570" s="218" t="n"/>
    </row>
    <row r="571" ht="13.2" customHeight="1" s="405">
      <c r="B571" s="218" t="n"/>
      <c r="E571" s="218" t="n"/>
    </row>
    <row r="572" ht="13.2" customHeight="1" s="405">
      <c r="B572" s="218" t="n"/>
      <c r="E572" s="218" t="n"/>
    </row>
    <row r="573" ht="13.2" customHeight="1" s="405">
      <c r="B573" s="218" t="n"/>
      <c r="E573" s="218" t="n"/>
    </row>
    <row r="574" ht="13.2" customHeight="1" s="405">
      <c r="B574" s="218" t="n"/>
      <c r="E574" s="218" t="n"/>
    </row>
    <row r="575" ht="13.2" customHeight="1" s="405">
      <c r="B575" s="218" t="n"/>
      <c r="E575" s="218" t="n"/>
    </row>
    <row r="576" ht="13.2" customHeight="1" s="405">
      <c r="B576" s="218" t="n"/>
      <c r="E576" s="218" t="n"/>
    </row>
    <row r="577" ht="13.2" customHeight="1" s="405">
      <c r="B577" s="218" t="n"/>
      <c r="E577" s="218" t="n"/>
    </row>
    <row r="578" ht="13.2" customHeight="1" s="405">
      <c r="B578" s="218" t="n"/>
      <c r="E578" s="218" t="n"/>
    </row>
    <row r="579" ht="13.2" customHeight="1" s="405">
      <c r="B579" s="218" t="n"/>
      <c r="E579" s="218" t="n"/>
    </row>
    <row r="580" ht="13.2" customHeight="1" s="405">
      <c r="B580" s="218" t="n"/>
      <c r="E580" s="218" t="n"/>
    </row>
    <row r="581" ht="13.2" customHeight="1" s="405">
      <c r="B581" s="218" t="n"/>
      <c r="E581" s="218" t="n"/>
    </row>
    <row r="582" ht="13.2" customHeight="1" s="405">
      <c r="B582" s="218" t="n"/>
      <c r="E582" s="218" t="n"/>
    </row>
    <row r="583" ht="13.2" customHeight="1" s="405">
      <c r="B583" s="218" t="n"/>
      <c r="E583" s="218" t="n"/>
    </row>
    <row r="584" ht="13.2" customHeight="1" s="405">
      <c r="B584" s="218" t="n"/>
      <c r="E584" s="218" t="n"/>
    </row>
    <row r="585" ht="13.2" customHeight="1" s="405">
      <c r="B585" s="218" t="n"/>
      <c r="E585" s="218" t="n"/>
    </row>
    <row r="586" ht="13.2" customHeight="1" s="405">
      <c r="B586" s="218" t="n"/>
      <c r="E586" s="218" t="n"/>
    </row>
    <row r="587" ht="13.2" customHeight="1" s="405">
      <c r="B587" s="218" t="n"/>
      <c r="E587" s="218" t="n"/>
    </row>
    <row r="588" ht="13.2" customHeight="1" s="405">
      <c r="B588" s="218" t="n"/>
      <c r="E588" s="218" t="n"/>
    </row>
    <row r="589" ht="13.2" customHeight="1" s="405">
      <c r="B589" s="218" t="n"/>
      <c r="E589" s="218" t="n"/>
    </row>
    <row r="590" ht="13.2" customHeight="1" s="405">
      <c r="B590" s="218" t="n"/>
      <c r="E590" s="218" t="n"/>
    </row>
    <row r="591" ht="13.2" customHeight="1" s="405">
      <c r="B591" s="218" t="n"/>
      <c r="E591" s="218" t="n"/>
    </row>
    <row r="592" ht="13.2" customHeight="1" s="405">
      <c r="B592" s="218" t="n"/>
      <c r="E592" s="218" t="n"/>
    </row>
    <row r="593" ht="13.2" customHeight="1" s="405">
      <c r="B593" s="218" t="n"/>
      <c r="E593" s="218" t="n"/>
    </row>
    <row r="594" ht="13.2" customHeight="1" s="405">
      <c r="B594" s="218" t="n"/>
      <c r="E594" s="218" t="n"/>
    </row>
    <row r="595" ht="13.2" customHeight="1" s="405">
      <c r="B595" s="218" t="n"/>
      <c r="E595" s="218" t="n"/>
    </row>
    <row r="596" ht="13.2" customHeight="1" s="405">
      <c r="B596" s="218" t="n"/>
      <c r="E596" s="218" t="n"/>
    </row>
    <row r="597" ht="13.2" customHeight="1" s="405">
      <c r="B597" s="218" t="n"/>
      <c r="E597" s="218" t="n"/>
    </row>
    <row r="598" ht="13.2" customHeight="1" s="405">
      <c r="B598" s="218" t="n"/>
      <c r="E598" s="218" t="n"/>
    </row>
    <row r="599" ht="13.2" customHeight="1" s="405">
      <c r="B599" s="218" t="n"/>
      <c r="E599" s="218" t="n"/>
    </row>
    <row r="600" ht="13.2" customHeight="1" s="405">
      <c r="B600" s="218" t="n"/>
      <c r="E600" s="218" t="n"/>
    </row>
    <row r="601" ht="13.2" customHeight="1" s="405">
      <c r="B601" s="218" t="n"/>
      <c r="E601" s="218" t="n"/>
    </row>
    <row r="602" ht="13.2" customHeight="1" s="405">
      <c r="B602" s="218" t="n"/>
      <c r="E602" s="218" t="n"/>
    </row>
    <row r="603" ht="13.2" customHeight="1" s="405">
      <c r="B603" s="218" t="n"/>
      <c r="E603" s="218" t="n"/>
    </row>
    <row r="604" ht="13.2" customHeight="1" s="405">
      <c r="B604" s="218" t="n"/>
      <c r="E604" s="218" t="n"/>
    </row>
    <row r="605" ht="13.2" customHeight="1" s="405">
      <c r="B605" s="218" t="n"/>
      <c r="E605" s="218" t="n"/>
    </row>
    <row r="606" ht="13.2" customHeight="1" s="405">
      <c r="B606" s="218" t="n"/>
      <c r="E606" s="218" t="n"/>
    </row>
    <row r="607" ht="13.2" customHeight="1" s="405">
      <c r="B607" s="218" t="n"/>
      <c r="E607" s="218" t="n"/>
    </row>
    <row r="608" ht="13.2" customHeight="1" s="405">
      <c r="B608" s="218" t="n"/>
      <c r="E608" s="218" t="n"/>
    </row>
    <row r="609" ht="13.2" customHeight="1" s="405">
      <c r="B609" s="218" t="n"/>
      <c r="E609" s="218" t="n"/>
    </row>
    <row r="610" ht="13.2" customHeight="1" s="405">
      <c r="B610" s="218" t="n"/>
      <c r="E610" s="218" t="n"/>
    </row>
    <row r="611" ht="13.2" customHeight="1" s="405">
      <c r="B611" s="218" t="n"/>
      <c r="E611" s="218" t="n"/>
    </row>
    <row r="612" ht="13.2" customHeight="1" s="405">
      <c r="B612" s="218" t="n"/>
      <c r="E612" s="218" t="n"/>
    </row>
    <row r="613" ht="13.2" customHeight="1" s="405">
      <c r="B613" s="218" t="n"/>
      <c r="E613" s="218" t="n"/>
    </row>
    <row r="614" ht="13.2" customHeight="1" s="405">
      <c r="B614" s="218" t="n"/>
      <c r="E614" s="218" t="n"/>
    </row>
    <row r="615" ht="13.2" customHeight="1" s="405">
      <c r="B615" s="218" t="n"/>
      <c r="E615" s="218" t="n"/>
    </row>
    <row r="616" ht="13.2" customHeight="1" s="405">
      <c r="B616" s="218" t="n"/>
      <c r="E616" s="218" t="n"/>
    </row>
    <row r="617" ht="13.2" customHeight="1" s="405">
      <c r="B617" s="218" t="n"/>
      <c r="E617" s="218" t="n"/>
    </row>
    <row r="618" ht="13.2" customHeight="1" s="405">
      <c r="B618" s="218" t="n"/>
      <c r="E618" s="218" t="n"/>
    </row>
    <row r="619" ht="13.2" customHeight="1" s="405">
      <c r="B619" s="218" t="n"/>
      <c r="E619" s="218" t="n"/>
    </row>
    <row r="620" ht="13.2" customHeight="1" s="405">
      <c r="B620" s="218" t="n"/>
      <c r="E620" s="218" t="n"/>
    </row>
    <row r="621" ht="13.2" customHeight="1" s="405">
      <c r="B621" s="218" t="n"/>
      <c r="E621" s="218" t="n"/>
    </row>
    <row r="622" ht="13.2" customHeight="1" s="405">
      <c r="B622" s="218" t="n"/>
      <c r="E622" s="218" t="n"/>
    </row>
    <row r="623" ht="13.2" customHeight="1" s="405">
      <c r="B623" s="218" t="n"/>
      <c r="E623" s="218" t="n"/>
    </row>
    <row r="624" ht="13.2" customHeight="1" s="405">
      <c r="B624" s="218" t="n"/>
      <c r="E624" s="218" t="n"/>
    </row>
    <row r="625" ht="13.2" customHeight="1" s="405">
      <c r="B625" s="218" t="n"/>
      <c r="E625" s="218" t="n"/>
    </row>
    <row r="626" ht="13.2" customHeight="1" s="405">
      <c r="B626" s="218" t="n"/>
      <c r="E626" s="218" t="n"/>
    </row>
    <row r="627" ht="13.2" customHeight="1" s="405">
      <c r="B627" s="218" t="n"/>
      <c r="E627" s="218" t="n"/>
    </row>
    <row r="628" ht="13.2" customHeight="1" s="405">
      <c r="B628" s="218" t="n"/>
      <c r="E628" s="218" t="n"/>
    </row>
    <row r="629" ht="13.2" customHeight="1" s="405">
      <c r="B629" s="218" t="n"/>
      <c r="E629" s="218" t="n"/>
    </row>
    <row r="630" ht="13.2" customHeight="1" s="405">
      <c r="B630" s="218" t="n"/>
      <c r="E630" s="218" t="n"/>
    </row>
    <row r="631" ht="13.2" customHeight="1" s="405">
      <c r="B631" s="218" t="n"/>
      <c r="E631" s="218" t="n"/>
    </row>
    <row r="632" ht="13.2" customHeight="1" s="405">
      <c r="B632" s="218" t="n"/>
      <c r="E632" s="218" t="n"/>
    </row>
    <row r="633" ht="13.2" customHeight="1" s="405">
      <c r="B633" s="218" t="n"/>
      <c r="E633" s="218" t="n"/>
    </row>
    <row r="634" ht="13.2" customHeight="1" s="405">
      <c r="B634" s="218" t="n"/>
      <c r="E634" s="218" t="n"/>
    </row>
    <row r="635" ht="13.2" customHeight="1" s="405">
      <c r="B635" s="218" t="n"/>
      <c r="E635" s="218" t="n"/>
    </row>
    <row r="636" ht="13.2" customHeight="1" s="405">
      <c r="B636" s="218" t="n"/>
      <c r="E636" s="218" t="n"/>
    </row>
    <row r="637" ht="13.2" customHeight="1" s="405">
      <c r="B637" s="218" t="n"/>
      <c r="E637" s="218" t="n"/>
    </row>
    <row r="638" ht="13.2" customHeight="1" s="405">
      <c r="B638" s="218" t="n"/>
      <c r="E638" s="218" t="n"/>
    </row>
    <row r="639" ht="13.2" customHeight="1" s="405">
      <c r="B639" s="218" t="n"/>
      <c r="E639" s="218" t="n"/>
    </row>
    <row r="640" ht="13.2" customHeight="1" s="405">
      <c r="B640" s="218" t="n"/>
      <c r="E640" s="218" t="n"/>
    </row>
    <row r="641" ht="13.2" customHeight="1" s="405">
      <c r="B641" s="218" t="n"/>
      <c r="E641" s="218" t="n"/>
    </row>
    <row r="642" ht="13.2" customHeight="1" s="405">
      <c r="B642" s="218" t="n"/>
      <c r="E642" s="218" t="n"/>
    </row>
    <row r="643" ht="13.2" customHeight="1" s="405">
      <c r="B643" s="218" t="n"/>
      <c r="E643" s="218" t="n"/>
    </row>
    <row r="644" ht="13.2" customHeight="1" s="405">
      <c r="B644" s="218" t="n"/>
      <c r="E644" s="218" t="n"/>
    </row>
    <row r="645" ht="13.2" customHeight="1" s="405">
      <c r="B645" s="218" t="n"/>
      <c r="E645" s="218" t="n"/>
    </row>
    <row r="646" ht="13.2" customHeight="1" s="405">
      <c r="B646" s="218" t="n"/>
      <c r="E646" s="218" t="n"/>
    </row>
    <row r="647" ht="13.2" customHeight="1" s="405">
      <c r="B647" s="218" t="n"/>
      <c r="E647" s="218" t="n"/>
    </row>
    <row r="648" ht="13.2" customHeight="1" s="405">
      <c r="B648" s="218" t="n"/>
      <c r="E648" s="218" t="n"/>
    </row>
    <row r="649" ht="13.2" customHeight="1" s="405">
      <c r="B649" s="218" t="n"/>
      <c r="E649" s="218" t="n"/>
    </row>
    <row r="650" ht="13.2" customHeight="1" s="405">
      <c r="B650" s="218" t="n"/>
      <c r="E650" s="218" t="n"/>
    </row>
    <row r="651" ht="13.2" customHeight="1" s="405">
      <c r="B651" s="218" t="n"/>
      <c r="E651" s="218" t="n"/>
    </row>
    <row r="652" ht="13.2" customHeight="1" s="405">
      <c r="B652" s="218" t="n"/>
      <c r="E652" s="218" t="n"/>
    </row>
    <row r="653" ht="13.2" customHeight="1" s="405">
      <c r="B653" s="218" t="n"/>
      <c r="E653" s="218" t="n"/>
    </row>
    <row r="654" ht="13.2" customHeight="1" s="405">
      <c r="B654" s="218" t="n"/>
      <c r="E654" s="218" t="n"/>
    </row>
    <row r="655" ht="13.2" customHeight="1" s="405">
      <c r="B655" s="218" t="n"/>
      <c r="E655" s="218" t="n"/>
    </row>
    <row r="656" ht="13.2" customHeight="1" s="405">
      <c r="B656" s="218" t="n"/>
      <c r="E656" s="218" t="n"/>
    </row>
    <row r="657" ht="13.2" customHeight="1" s="405">
      <c r="B657" s="218" t="n"/>
      <c r="E657" s="218" t="n"/>
    </row>
    <row r="658" ht="13.2" customHeight="1" s="405">
      <c r="B658" s="218" t="n"/>
      <c r="E658" s="218" t="n"/>
    </row>
    <row r="659" ht="13.2" customHeight="1" s="405">
      <c r="B659" s="218" t="n"/>
      <c r="E659" s="218" t="n"/>
    </row>
    <row r="660" ht="13.2" customHeight="1" s="405">
      <c r="B660" s="218" t="n"/>
      <c r="E660" s="218" t="n"/>
    </row>
    <row r="661" ht="13.2" customHeight="1" s="405">
      <c r="B661" s="218" t="n"/>
      <c r="E661" s="218" t="n"/>
    </row>
    <row r="662" ht="13.2" customHeight="1" s="405">
      <c r="B662" s="218" t="n"/>
      <c r="E662" s="218" t="n"/>
    </row>
    <row r="663" ht="13.2" customHeight="1" s="405">
      <c r="B663" s="218" t="n"/>
      <c r="E663" s="218" t="n"/>
    </row>
    <row r="664" ht="13.2" customHeight="1" s="405">
      <c r="B664" s="218" t="n"/>
      <c r="E664" s="218" t="n"/>
    </row>
    <row r="665" ht="13.2" customHeight="1" s="405">
      <c r="B665" s="218" t="n"/>
      <c r="E665" s="218" t="n"/>
    </row>
    <row r="666" ht="13.2" customHeight="1" s="405">
      <c r="B666" s="218" t="n"/>
      <c r="E666" s="218" t="n"/>
    </row>
    <row r="667" ht="13.2" customHeight="1" s="405">
      <c r="B667" s="218" t="n"/>
      <c r="E667" s="218" t="n"/>
    </row>
    <row r="668" ht="13.2" customHeight="1" s="405">
      <c r="B668" s="218" t="n"/>
      <c r="E668" s="218" t="n"/>
    </row>
    <row r="669" ht="13.2" customHeight="1" s="405">
      <c r="B669" s="218" t="n"/>
      <c r="E669" s="218" t="n"/>
    </row>
    <row r="670" ht="13.2" customHeight="1" s="405">
      <c r="B670" s="218" t="n"/>
      <c r="E670" s="218" t="n"/>
    </row>
    <row r="671" ht="13.2" customHeight="1" s="405">
      <c r="B671" s="218" t="n"/>
      <c r="E671" s="218" t="n"/>
    </row>
    <row r="672" ht="13.2" customHeight="1" s="405">
      <c r="B672" s="218" t="n"/>
      <c r="E672" s="218" t="n"/>
    </row>
    <row r="673" ht="13.2" customHeight="1" s="405">
      <c r="B673" s="218" t="n"/>
      <c r="E673" s="218" t="n"/>
    </row>
    <row r="674" ht="13.2" customHeight="1" s="405">
      <c r="B674" s="218" t="n"/>
      <c r="E674" s="218" t="n"/>
    </row>
    <row r="675" ht="13.2" customHeight="1" s="405">
      <c r="B675" s="218" t="n"/>
      <c r="E675" s="218" t="n"/>
    </row>
    <row r="676" ht="13.2" customHeight="1" s="405">
      <c r="B676" s="218" t="n"/>
      <c r="E676" s="218" t="n"/>
    </row>
    <row r="677" ht="13.2" customHeight="1" s="405">
      <c r="B677" s="218" t="n"/>
      <c r="E677" s="218" t="n"/>
    </row>
    <row r="678" ht="13.2" customHeight="1" s="405">
      <c r="B678" s="218" t="n"/>
      <c r="E678" s="218" t="n"/>
    </row>
    <row r="679" ht="13.2" customHeight="1" s="405">
      <c r="B679" s="218" t="n"/>
      <c r="E679" s="218" t="n"/>
    </row>
    <row r="680" ht="13.2" customHeight="1" s="405">
      <c r="B680" s="218" t="n"/>
      <c r="E680" s="218" t="n"/>
    </row>
    <row r="681" ht="13.2" customHeight="1" s="405">
      <c r="B681" s="218" t="n"/>
      <c r="E681" s="218" t="n"/>
    </row>
    <row r="682" ht="13.2" customHeight="1" s="405">
      <c r="B682" s="218" t="n"/>
      <c r="E682" s="218" t="n"/>
    </row>
    <row r="683" ht="13.2" customHeight="1" s="405">
      <c r="B683" s="218" t="n"/>
      <c r="E683" s="218" t="n"/>
    </row>
    <row r="684" ht="13.2" customHeight="1" s="405">
      <c r="B684" s="218" t="n"/>
      <c r="E684" s="218" t="n"/>
    </row>
    <row r="685" ht="13.2" customHeight="1" s="405">
      <c r="B685" s="218" t="n"/>
      <c r="E685" s="218" t="n"/>
    </row>
    <row r="686" ht="13.2" customHeight="1" s="405">
      <c r="B686" s="218" t="n"/>
      <c r="E686" s="218" t="n"/>
    </row>
    <row r="687" ht="13.2" customHeight="1" s="405">
      <c r="B687" s="218" t="n"/>
      <c r="E687" s="218" t="n"/>
    </row>
    <row r="688" ht="13.2" customHeight="1" s="405">
      <c r="B688" s="218" t="n"/>
      <c r="E688" s="218" t="n"/>
    </row>
    <row r="689" ht="13.2" customHeight="1" s="405">
      <c r="B689" s="218" t="n"/>
      <c r="E689" s="218" t="n"/>
    </row>
    <row r="690" ht="13.2" customHeight="1" s="405">
      <c r="B690" s="218" t="n"/>
      <c r="E690" s="218" t="n"/>
    </row>
    <row r="691" ht="13.2" customHeight="1" s="405">
      <c r="B691" s="218" t="n"/>
      <c r="E691" s="218" t="n"/>
    </row>
    <row r="692" ht="13.2" customHeight="1" s="405">
      <c r="B692" s="218" t="n"/>
      <c r="E692" s="218" t="n"/>
    </row>
    <row r="693" ht="13.2" customHeight="1" s="405">
      <c r="B693" s="218" t="n"/>
      <c r="E693" s="218" t="n"/>
    </row>
    <row r="694" ht="13.2" customHeight="1" s="405">
      <c r="B694" s="218" t="n"/>
      <c r="E694" s="218" t="n"/>
    </row>
    <row r="695" ht="13.2" customHeight="1" s="405">
      <c r="B695" s="218" t="n"/>
      <c r="E695" s="218" t="n"/>
    </row>
    <row r="696" ht="13.2" customHeight="1" s="405">
      <c r="B696" s="218" t="n"/>
      <c r="E696" s="218" t="n"/>
    </row>
    <row r="697" ht="13.2" customHeight="1" s="405">
      <c r="B697" s="218" t="n"/>
      <c r="E697" s="218" t="n"/>
    </row>
    <row r="698" ht="13.2" customHeight="1" s="405">
      <c r="B698" s="218" t="n"/>
      <c r="E698" s="218" t="n"/>
    </row>
    <row r="699" ht="13.2" customHeight="1" s="405">
      <c r="B699" s="218" t="n"/>
      <c r="E699" s="218" t="n"/>
    </row>
    <row r="700" ht="13.2" customHeight="1" s="405">
      <c r="B700" s="218" t="n"/>
      <c r="E700" s="218" t="n"/>
    </row>
    <row r="701" ht="13.2" customHeight="1" s="405">
      <c r="B701" s="218" t="n"/>
      <c r="E701" s="218" t="n"/>
    </row>
    <row r="702" ht="13.2" customHeight="1" s="405">
      <c r="B702" s="218" t="n"/>
      <c r="E702" s="218" t="n"/>
    </row>
    <row r="703" ht="13.2" customHeight="1" s="405">
      <c r="B703" s="218" t="n"/>
      <c r="E703" s="218" t="n"/>
    </row>
    <row r="704" ht="13.2" customHeight="1" s="405">
      <c r="B704" s="218" t="n"/>
      <c r="E704" s="218" t="n"/>
    </row>
    <row r="705" ht="13.2" customHeight="1" s="405">
      <c r="B705" s="218" t="n"/>
      <c r="E705" s="218" t="n"/>
    </row>
    <row r="706" ht="13.2" customHeight="1" s="405">
      <c r="B706" s="218" t="n"/>
      <c r="E706" s="218" t="n"/>
    </row>
    <row r="707" ht="13.2" customHeight="1" s="405">
      <c r="B707" s="218" t="n"/>
      <c r="E707" s="218" t="n"/>
    </row>
    <row r="708" ht="13.2" customHeight="1" s="405">
      <c r="B708" s="218" t="n"/>
      <c r="E708" s="218" t="n"/>
    </row>
    <row r="709" ht="13.2" customHeight="1" s="405">
      <c r="B709" s="218" t="n"/>
      <c r="E709" s="218" t="n"/>
    </row>
    <row r="710" ht="13.2" customHeight="1" s="405">
      <c r="B710" s="218" t="n"/>
      <c r="E710" s="218" t="n"/>
    </row>
    <row r="711" ht="13.2" customHeight="1" s="405">
      <c r="B711" s="218" t="n"/>
      <c r="E711" s="218" t="n"/>
    </row>
    <row r="712" ht="13.2" customHeight="1" s="405">
      <c r="B712" s="218" t="n"/>
      <c r="E712" s="218" t="n"/>
    </row>
    <row r="713" ht="13.2" customHeight="1" s="405">
      <c r="B713" s="218" t="n"/>
      <c r="E713" s="218" t="n"/>
    </row>
    <row r="714" ht="13.2" customHeight="1" s="405">
      <c r="B714" s="218" t="n"/>
      <c r="E714" s="218" t="n"/>
    </row>
    <row r="715" ht="13.2" customHeight="1" s="405">
      <c r="B715" s="218" t="n"/>
      <c r="E715" s="218" t="n"/>
    </row>
    <row r="716" ht="13.2" customHeight="1" s="405">
      <c r="B716" s="218" t="n"/>
      <c r="E716" s="218" t="n"/>
    </row>
    <row r="717" ht="13.2" customHeight="1" s="405">
      <c r="B717" s="218" t="n"/>
      <c r="E717" s="218" t="n"/>
    </row>
    <row r="718" ht="13.2" customHeight="1" s="405">
      <c r="B718" s="218" t="n"/>
      <c r="E718" s="218" t="n"/>
    </row>
    <row r="719" ht="13.2" customHeight="1" s="405">
      <c r="B719" s="218" t="n"/>
      <c r="E719" s="218" t="n"/>
    </row>
    <row r="720" ht="13.2" customHeight="1" s="405">
      <c r="B720" s="218" t="n"/>
      <c r="E720" s="218" t="n"/>
    </row>
    <row r="721" ht="13.2" customHeight="1" s="405">
      <c r="B721" s="218" t="n"/>
      <c r="E721" s="218" t="n"/>
    </row>
    <row r="722" ht="13.2" customHeight="1" s="405">
      <c r="B722" s="218" t="n"/>
      <c r="E722" s="218" t="n"/>
    </row>
    <row r="723" ht="13.2" customHeight="1" s="405">
      <c r="B723" s="218" t="n"/>
      <c r="E723" s="218" t="n"/>
    </row>
    <row r="724" ht="13.2" customHeight="1" s="405">
      <c r="B724" s="218" t="n"/>
      <c r="E724" s="218" t="n"/>
    </row>
    <row r="725" ht="13.2" customHeight="1" s="405">
      <c r="B725" s="218" t="n"/>
      <c r="E725" s="218" t="n"/>
    </row>
    <row r="726" ht="13.2" customHeight="1" s="405">
      <c r="B726" s="218" t="n"/>
      <c r="E726" s="218" t="n"/>
    </row>
    <row r="727" ht="13.2" customHeight="1" s="405">
      <c r="B727" s="218" t="n"/>
      <c r="E727" s="218" t="n"/>
    </row>
    <row r="728" ht="13.2" customHeight="1" s="405">
      <c r="B728" s="218" t="n"/>
      <c r="E728" s="218" t="n"/>
    </row>
    <row r="729" ht="13.2" customHeight="1" s="405">
      <c r="B729" s="218" t="n"/>
      <c r="E729" s="218" t="n"/>
    </row>
    <row r="730" ht="13.2" customHeight="1" s="405">
      <c r="B730" s="218" t="n"/>
      <c r="E730" s="218" t="n"/>
    </row>
    <row r="731" ht="13.2" customHeight="1" s="405">
      <c r="B731" s="218" t="n"/>
      <c r="E731" s="218" t="n"/>
    </row>
    <row r="732" ht="13.2" customHeight="1" s="405">
      <c r="B732" s="218" t="n"/>
      <c r="E732" s="218" t="n"/>
    </row>
    <row r="733" ht="13.2" customHeight="1" s="405">
      <c r="B733" s="218" t="n"/>
      <c r="E733" s="218" t="n"/>
    </row>
    <row r="734" ht="13.2" customHeight="1" s="405">
      <c r="B734" s="218" t="n"/>
      <c r="E734" s="218" t="n"/>
    </row>
    <row r="735" ht="13.2" customHeight="1" s="405">
      <c r="B735" s="218" t="n"/>
      <c r="E735" s="218" t="n"/>
    </row>
    <row r="736" ht="13.2" customHeight="1" s="405">
      <c r="B736" s="218" t="n"/>
      <c r="E736" s="218" t="n"/>
    </row>
    <row r="737" ht="13.2" customHeight="1" s="405">
      <c r="B737" s="218" t="n"/>
      <c r="E737" s="218" t="n"/>
    </row>
    <row r="738" ht="13.2" customHeight="1" s="405">
      <c r="B738" s="218" t="n"/>
      <c r="E738" s="218" t="n"/>
    </row>
    <row r="739" ht="13.2" customHeight="1" s="405">
      <c r="B739" s="218" t="n"/>
      <c r="E739" s="218" t="n"/>
    </row>
    <row r="740" ht="13.2" customHeight="1" s="405">
      <c r="B740" s="218" t="n"/>
      <c r="E740" s="218" t="n"/>
    </row>
    <row r="741" ht="13.2" customHeight="1" s="405">
      <c r="B741" s="218" t="n"/>
      <c r="E741" s="218" t="n"/>
    </row>
    <row r="742" ht="13.2" customHeight="1" s="405">
      <c r="B742" s="218" t="n"/>
      <c r="E742" s="218" t="n"/>
    </row>
    <row r="743" ht="13.2" customHeight="1" s="405">
      <c r="B743" s="218" t="n"/>
      <c r="E743" s="218" t="n"/>
    </row>
    <row r="744" ht="13.2" customHeight="1" s="405">
      <c r="B744" s="218" t="n"/>
      <c r="E744" s="218" t="n"/>
    </row>
    <row r="745" ht="13.2" customHeight="1" s="405">
      <c r="B745" s="218" t="n"/>
      <c r="E745" s="218" t="n"/>
    </row>
    <row r="746" ht="13.2" customHeight="1" s="405">
      <c r="B746" s="218" t="n"/>
      <c r="E746" s="218" t="n"/>
    </row>
    <row r="747" ht="13.2" customHeight="1" s="405">
      <c r="B747" s="218" t="n"/>
      <c r="E747" s="218" t="n"/>
    </row>
    <row r="748" ht="13.2" customHeight="1" s="405">
      <c r="B748" s="218" t="n"/>
      <c r="E748" s="218" t="n"/>
    </row>
    <row r="749" ht="13.2" customHeight="1" s="405">
      <c r="B749" s="218" t="n"/>
      <c r="E749" s="218" t="n"/>
    </row>
    <row r="750" ht="13.2" customHeight="1" s="405">
      <c r="B750" s="218" t="n"/>
      <c r="E750" s="218" t="n"/>
    </row>
    <row r="751" ht="13.2" customHeight="1" s="405">
      <c r="B751" s="218" t="n"/>
      <c r="E751" s="218" t="n"/>
    </row>
    <row r="752" ht="13.2" customHeight="1" s="405">
      <c r="B752" s="218" t="n"/>
      <c r="E752" s="218" t="n"/>
    </row>
    <row r="753" ht="13.2" customHeight="1" s="405">
      <c r="B753" s="218" t="n"/>
      <c r="E753" s="218" t="n"/>
    </row>
    <row r="754" ht="13.2" customHeight="1" s="405">
      <c r="B754" s="218" t="n"/>
      <c r="E754" s="218" t="n"/>
    </row>
    <row r="755" ht="13.2" customHeight="1" s="405">
      <c r="B755" s="218" t="n"/>
      <c r="E755" s="218" t="n"/>
    </row>
    <row r="756" ht="13.2" customHeight="1" s="405">
      <c r="B756" s="218" t="n"/>
      <c r="E756" s="218" t="n"/>
    </row>
    <row r="757" ht="13.2" customHeight="1" s="405">
      <c r="B757" s="218" t="n"/>
      <c r="E757" s="218" t="n"/>
    </row>
    <row r="758" ht="13.2" customHeight="1" s="405">
      <c r="B758" s="218" t="n"/>
      <c r="E758" s="218" t="n"/>
    </row>
    <row r="759" ht="13.2" customHeight="1" s="405">
      <c r="B759" s="218" t="n"/>
      <c r="E759" s="218" t="n"/>
    </row>
    <row r="760" ht="13.2" customHeight="1" s="405">
      <c r="B760" s="218" t="n"/>
      <c r="E760" s="218" t="n"/>
    </row>
    <row r="761" ht="13.2" customHeight="1" s="405">
      <c r="B761" s="218" t="n"/>
      <c r="E761" s="218" t="n"/>
    </row>
    <row r="762" ht="13.2" customHeight="1" s="405">
      <c r="B762" s="218" t="n"/>
      <c r="E762" s="218" t="n"/>
    </row>
    <row r="763" ht="13.2" customHeight="1" s="405">
      <c r="B763" s="218" t="n"/>
      <c r="E763" s="218" t="n"/>
    </row>
    <row r="764" ht="13.2" customHeight="1" s="405">
      <c r="B764" s="218" t="n"/>
      <c r="E764" s="218" t="n"/>
    </row>
    <row r="765" ht="13.2" customHeight="1" s="405">
      <c r="B765" s="218" t="n"/>
      <c r="E765" s="218" t="n"/>
    </row>
    <row r="766" ht="13.2" customHeight="1" s="405">
      <c r="B766" s="218" t="n"/>
      <c r="E766" s="218" t="n"/>
    </row>
    <row r="767" ht="13.2" customHeight="1" s="405">
      <c r="B767" s="218" t="n"/>
      <c r="E767" s="218" t="n"/>
    </row>
    <row r="768" ht="13.2" customHeight="1" s="405">
      <c r="B768" s="218" t="n"/>
      <c r="E768" s="218" t="n"/>
    </row>
    <row r="769" ht="13.2" customHeight="1" s="405">
      <c r="B769" s="218" t="n"/>
      <c r="E769" s="218" t="n"/>
    </row>
    <row r="770" ht="13.2" customHeight="1" s="405">
      <c r="B770" s="218" t="n"/>
      <c r="E770" s="218" t="n"/>
    </row>
    <row r="771" ht="13.2" customHeight="1" s="405">
      <c r="B771" s="218" t="n"/>
      <c r="E771" s="218" t="n"/>
    </row>
    <row r="772" ht="13.2" customHeight="1" s="405">
      <c r="B772" s="218" t="n"/>
      <c r="E772" s="218" t="n"/>
    </row>
    <row r="773" ht="13.2" customHeight="1" s="405">
      <c r="B773" s="218" t="n"/>
      <c r="E773" s="218" t="n"/>
    </row>
    <row r="774" ht="13.2" customHeight="1" s="405">
      <c r="B774" s="218" t="n"/>
      <c r="E774" s="218" t="n"/>
    </row>
    <row r="775" ht="13.2" customHeight="1" s="405">
      <c r="B775" s="218" t="n"/>
      <c r="E775" s="218" t="n"/>
    </row>
    <row r="776" ht="13.2" customHeight="1" s="405">
      <c r="B776" s="218" t="n"/>
      <c r="E776" s="218" t="n"/>
    </row>
    <row r="777" ht="13.2" customHeight="1" s="405">
      <c r="B777" s="218" t="n"/>
      <c r="E777" s="218" t="n"/>
    </row>
    <row r="778" ht="13.2" customHeight="1" s="405">
      <c r="B778" s="218" t="n"/>
      <c r="E778" s="218" t="n"/>
    </row>
    <row r="779" ht="13.2" customHeight="1" s="405">
      <c r="B779" s="218" t="n"/>
      <c r="E779" s="218" t="n"/>
    </row>
    <row r="780" ht="13.2" customHeight="1" s="405">
      <c r="B780" s="218" t="n"/>
      <c r="E780" s="218" t="n"/>
    </row>
    <row r="781" ht="13.2" customHeight="1" s="405">
      <c r="B781" s="218" t="n"/>
      <c r="E781" s="218" t="n"/>
    </row>
    <row r="782" ht="13.2" customHeight="1" s="405">
      <c r="B782" s="218" t="n"/>
      <c r="E782" s="218" t="n"/>
    </row>
    <row r="783" ht="13.2" customHeight="1" s="405">
      <c r="B783" s="218" t="n"/>
      <c r="E783" s="218" t="n"/>
    </row>
    <row r="784" ht="13.2" customHeight="1" s="405">
      <c r="B784" s="218" t="n"/>
      <c r="E784" s="218" t="n"/>
    </row>
    <row r="785" ht="13.2" customHeight="1" s="405">
      <c r="B785" s="218" t="n"/>
      <c r="E785" s="218" t="n"/>
    </row>
    <row r="786" ht="13.2" customHeight="1" s="405">
      <c r="B786" s="218" t="n"/>
      <c r="E786" s="218" t="n"/>
    </row>
    <row r="787" ht="13.2" customHeight="1" s="405">
      <c r="B787" s="218" t="n"/>
      <c r="E787" s="218" t="n"/>
    </row>
    <row r="788" ht="13.2" customHeight="1" s="405">
      <c r="B788" s="218" t="n"/>
      <c r="E788" s="218" t="n"/>
    </row>
    <row r="789" ht="13.2" customHeight="1" s="405">
      <c r="B789" s="218" t="n"/>
      <c r="E789" s="218" t="n"/>
    </row>
    <row r="790" ht="13.2" customHeight="1" s="405">
      <c r="B790" s="218" t="n"/>
      <c r="E790" s="218" t="n"/>
    </row>
    <row r="791" ht="13.2" customHeight="1" s="405">
      <c r="B791" s="218" t="n"/>
      <c r="E791" s="218" t="n"/>
    </row>
    <row r="792" ht="13.2" customHeight="1" s="405">
      <c r="B792" s="218" t="n"/>
      <c r="E792" s="218" t="n"/>
    </row>
    <row r="793" ht="13.2" customHeight="1" s="405">
      <c r="B793" s="218" t="n"/>
      <c r="E793" s="218" t="n"/>
    </row>
    <row r="794" ht="13.2" customHeight="1" s="405">
      <c r="B794" s="218" t="n"/>
      <c r="E794" s="218" t="n"/>
    </row>
    <row r="795" ht="13.2" customHeight="1" s="405">
      <c r="B795" s="218" t="n"/>
      <c r="E795" s="218" t="n"/>
    </row>
    <row r="796" ht="13.2" customHeight="1" s="405">
      <c r="B796" s="218" t="n"/>
      <c r="E796" s="218" t="n"/>
    </row>
    <row r="797" ht="13.2" customHeight="1" s="405">
      <c r="B797" s="218" t="n"/>
      <c r="E797" s="218" t="n"/>
    </row>
    <row r="798" ht="13.2" customHeight="1" s="405">
      <c r="B798" s="218" t="n"/>
      <c r="E798" s="218" t="n"/>
    </row>
    <row r="799" ht="13.2" customHeight="1" s="405">
      <c r="B799" s="218" t="n"/>
      <c r="E799" s="218" t="n"/>
    </row>
    <row r="800" ht="13.2" customHeight="1" s="405">
      <c r="B800" s="218" t="n"/>
      <c r="E800" s="218" t="n"/>
    </row>
    <row r="801" ht="13.2" customHeight="1" s="405">
      <c r="B801" s="218" t="n"/>
      <c r="E801" s="218" t="n"/>
    </row>
    <row r="802" ht="13.2" customHeight="1" s="405">
      <c r="B802" s="218" t="n"/>
      <c r="E802" s="218" t="n"/>
    </row>
    <row r="803" ht="13.2" customHeight="1" s="405">
      <c r="B803" s="218" t="n"/>
      <c r="E803" s="218" t="n"/>
    </row>
    <row r="804" ht="13.2" customHeight="1" s="405">
      <c r="B804" s="218" t="n"/>
      <c r="E804" s="218" t="n"/>
    </row>
    <row r="805" ht="13.2" customHeight="1" s="405">
      <c r="B805" s="218" t="n"/>
      <c r="E805" s="218" t="n"/>
    </row>
    <row r="806" ht="13.2" customHeight="1" s="405">
      <c r="B806" s="218" t="n"/>
      <c r="E806" s="218" t="n"/>
    </row>
    <row r="807" ht="13.2" customHeight="1" s="405">
      <c r="B807" s="218" t="n"/>
      <c r="E807" s="218" t="n"/>
    </row>
    <row r="808" ht="13.2" customHeight="1" s="405">
      <c r="B808" s="218" t="n"/>
      <c r="E808" s="218" t="n"/>
    </row>
    <row r="809" ht="13.2" customHeight="1" s="405">
      <c r="B809" s="218" t="n"/>
      <c r="E809" s="218" t="n"/>
    </row>
    <row r="810" ht="13.2" customHeight="1" s="405">
      <c r="B810" s="218" t="n"/>
      <c r="E810" s="218" t="n"/>
    </row>
    <row r="811" ht="13.2" customHeight="1" s="405">
      <c r="B811" s="218" t="n"/>
      <c r="E811" s="218" t="n"/>
    </row>
    <row r="812" ht="13.2" customHeight="1" s="405">
      <c r="B812" s="218" t="n"/>
      <c r="E812" s="218" t="n"/>
    </row>
    <row r="813" ht="13.2" customHeight="1" s="405">
      <c r="B813" s="218" t="n"/>
      <c r="E813" s="218" t="n"/>
    </row>
    <row r="814" ht="13.2" customHeight="1" s="405">
      <c r="B814" s="218" t="n"/>
      <c r="E814" s="218" t="n"/>
    </row>
    <row r="815" ht="13.2" customHeight="1" s="405">
      <c r="B815" s="218" t="n"/>
      <c r="E815" s="218" t="n"/>
    </row>
    <row r="816" ht="13.2" customHeight="1" s="405">
      <c r="B816" s="218" t="n"/>
      <c r="E816" s="218" t="n"/>
    </row>
    <row r="817" ht="13.2" customHeight="1" s="405">
      <c r="B817" s="218" t="n"/>
      <c r="E817" s="218" t="n"/>
    </row>
    <row r="818" ht="13.2" customHeight="1" s="405">
      <c r="B818" s="218" t="n"/>
      <c r="E818" s="218" t="n"/>
    </row>
    <row r="819" ht="13.2" customHeight="1" s="405">
      <c r="B819" s="218" t="n"/>
      <c r="E819" s="218" t="n"/>
    </row>
    <row r="820" ht="13.2" customHeight="1" s="405">
      <c r="B820" s="218" t="n"/>
      <c r="E820" s="218" t="n"/>
    </row>
    <row r="821" ht="13.2" customHeight="1" s="405">
      <c r="B821" s="218" t="n"/>
      <c r="E821" s="218" t="n"/>
    </row>
    <row r="822" ht="13.2" customHeight="1" s="405">
      <c r="B822" s="218" t="n"/>
      <c r="E822" s="218" t="n"/>
    </row>
    <row r="823" ht="13.2" customHeight="1" s="405">
      <c r="B823" s="218" t="n"/>
      <c r="E823" s="218" t="n"/>
    </row>
    <row r="824" ht="13.2" customHeight="1" s="405">
      <c r="B824" s="218" t="n"/>
      <c r="E824" s="218" t="n"/>
    </row>
    <row r="825" ht="13.2" customHeight="1" s="405">
      <c r="B825" s="218" t="n"/>
      <c r="E825" s="218" t="n"/>
    </row>
    <row r="826" ht="13.2" customHeight="1" s="405">
      <c r="B826" s="218" t="n"/>
      <c r="E826" s="218" t="n"/>
    </row>
    <row r="827" ht="13.2" customHeight="1" s="405">
      <c r="B827" s="218" t="n"/>
      <c r="E827" s="218" t="n"/>
    </row>
    <row r="828" ht="13.2" customHeight="1" s="405">
      <c r="B828" s="218" t="n"/>
      <c r="E828" s="218" t="n"/>
    </row>
    <row r="829" ht="13.2" customHeight="1" s="405">
      <c r="B829" s="218" t="n"/>
      <c r="E829" s="218" t="n"/>
    </row>
    <row r="830" ht="13.2" customHeight="1" s="405">
      <c r="B830" s="218" t="n"/>
      <c r="E830" s="218" t="n"/>
    </row>
    <row r="831" ht="13.2" customHeight="1" s="405">
      <c r="B831" s="218" t="n"/>
      <c r="E831" s="218" t="n"/>
    </row>
    <row r="832" ht="13.2" customHeight="1" s="405">
      <c r="B832" s="218" t="n"/>
      <c r="E832" s="218" t="n"/>
    </row>
    <row r="833" ht="13.2" customHeight="1" s="405">
      <c r="B833" s="218" t="n"/>
      <c r="E833" s="218" t="n"/>
    </row>
    <row r="834" ht="13.2" customHeight="1" s="405">
      <c r="B834" s="218" t="n"/>
      <c r="E834" s="218" t="n"/>
    </row>
    <row r="835" ht="13.2" customHeight="1" s="405">
      <c r="B835" s="218" t="n"/>
      <c r="E835" s="218" t="n"/>
    </row>
    <row r="836" ht="13.2" customHeight="1" s="405">
      <c r="B836" s="218" t="n"/>
      <c r="E836" s="218" t="n"/>
    </row>
    <row r="837" ht="13.2" customHeight="1" s="405">
      <c r="B837" s="218" t="n"/>
      <c r="E837" s="218" t="n"/>
    </row>
    <row r="838" ht="13.2" customHeight="1" s="405">
      <c r="B838" s="218" t="n"/>
      <c r="E838" s="218" t="n"/>
    </row>
    <row r="839" ht="13.2" customHeight="1" s="405">
      <c r="B839" s="218" t="n"/>
      <c r="E839" s="218" t="n"/>
    </row>
    <row r="840" ht="13.2" customHeight="1" s="405">
      <c r="B840" s="218" t="n"/>
      <c r="E840" s="218" t="n"/>
    </row>
    <row r="841" ht="13.2" customHeight="1" s="405">
      <c r="B841" s="218" t="n"/>
      <c r="E841" s="218" t="n"/>
    </row>
    <row r="842" ht="13.2" customHeight="1" s="405">
      <c r="B842" s="218" t="n"/>
      <c r="E842" s="218" t="n"/>
    </row>
    <row r="843" ht="13.2" customHeight="1" s="405">
      <c r="B843" s="218" t="n"/>
      <c r="E843" s="218" t="n"/>
    </row>
    <row r="844" ht="13.2" customHeight="1" s="405">
      <c r="B844" s="218" t="n"/>
      <c r="E844" s="218" t="n"/>
    </row>
    <row r="845" ht="13.2" customHeight="1" s="405">
      <c r="B845" s="218" t="n"/>
      <c r="E845" s="218" t="n"/>
    </row>
    <row r="846" ht="13.2" customHeight="1" s="405">
      <c r="B846" s="218" t="n"/>
      <c r="E846" s="218" t="n"/>
    </row>
    <row r="847" ht="13.2" customHeight="1" s="405">
      <c r="B847" s="218" t="n"/>
      <c r="E847" s="218" t="n"/>
    </row>
    <row r="848" ht="13.2" customHeight="1" s="405">
      <c r="B848" s="218" t="n"/>
      <c r="E848" s="218" t="n"/>
    </row>
    <row r="849" ht="13.2" customHeight="1" s="405">
      <c r="B849" s="218" t="n"/>
      <c r="E849" s="218" t="n"/>
    </row>
    <row r="850" ht="13.2" customHeight="1" s="405">
      <c r="B850" s="218" t="n"/>
      <c r="E850" s="218" t="n"/>
    </row>
    <row r="851" ht="13.2" customHeight="1" s="405">
      <c r="B851" s="218" t="n"/>
      <c r="E851" s="218" t="n"/>
    </row>
    <row r="852" ht="13.2" customHeight="1" s="405">
      <c r="B852" s="218" t="n"/>
      <c r="E852" s="218" t="n"/>
    </row>
    <row r="853" ht="13.2" customHeight="1" s="405">
      <c r="B853" s="218" t="n"/>
      <c r="E853" s="218" t="n"/>
    </row>
    <row r="854" ht="13.2" customHeight="1" s="405">
      <c r="B854" s="218" t="n"/>
      <c r="E854" s="218" t="n"/>
    </row>
    <row r="855" ht="13.2" customHeight="1" s="405">
      <c r="B855" s="218" t="n"/>
      <c r="E855" s="218" t="n"/>
    </row>
    <row r="856" ht="13.2" customHeight="1" s="405">
      <c r="B856" s="218" t="n"/>
      <c r="E856" s="218" t="n"/>
    </row>
    <row r="857" ht="13.2" customHeight="1" s="405">
      <c r="B857" s="218" t="n"/>
      <c r="E857" s="218" t="n"/>
    </row>
    <row r="858" ht="13.2" customHeight="1" s="405">
      <c r="B858" s="218" t="n"/>
      <c r="E858" s="218" t="n"/>
    </row>
    <row r="859" ht="13.2" customHeight="1" s="405">
      <c r="B859" s="218" t="n"/>
      <c r="E859" s="218" t="n"/>
    </row>
    <row r="860" ht="13.2" customHeight="1" s="405">
      <c r="B860" s="218" t="n"/>
      <c r="E860" s="218" t="n"/>
    </row>
    <row r="861" ht="13.2" customHeight="1" s="405">
      <c r="B861" s="218" t="n"/>
      <c r="E861" s="218" t="n"/>
    </row>
    <row r="862" ht="13.2" customHeight="1" s="405">
      <c r="B862" s="218" t="n"/>
      <c r="E862" s="218" t="n"/>
    </row>
    <row r="863" ht="13.2" customHeight="1" s="405">
      <c r="B863" s="218" t="n"/>
      <c r="E863" s="218" t="n"/>
    </row>
    <row r="864" ht="13.2" customHeight="1" s="405">
      <c r="B864" s="218" t="n"/>
      <c r="E864" s="218" t="n"/>
    </row>
    <row r="865" ht="13.2" customHeight="1" s="405">
      <c r="B865" s="218" t="n"/>
      <c r="E865" s="218" t="n"/>
    </row>
    <row r="866" ht="13.2" customHeight="1" s="405">
      <c r="B866" s="218" t="n"/>
      <c r="E866" s="218" t="n"/>
    </row>
    <row r="867" ht="13.2" customHeight="1" s="405">
      <c r="B867" s="218" t="n"/>
      <c r="E867" s="218" t="n"/>
    </row>
    <row r="868" ht="13.2" customHeight="1" s="405">
      <c r="B868" s="218" t="n"/>
      <c r="E868" s="218" t="n"/>
    </row>
    <row r="869" ht="13.2" customHeight="1" s="405">
      <c r="B869" s="218" t="n"/>
      <c r="E869" s="218" t="n"/>
    </row>
    <row r="870" ht="13.2" customHeight="1" s="405">
      <c r="B870" s="218" t="n"/>
      <c r="E870" s="218" t="n"/>
    </row>
    <row r="871" ht="13.2" customHeight="1" s="405">
      <c r="B871" s="218" t="n"/>
      <c r="E871" s="218" t="n"/>
    </row>
    <row r="872" ht="13.2" customHeight="1" s="405">
      <c r="B872" s="218" t="n"/>
      <c r="E872" s="218" t="n"/>
    </row>
    <row r="873" ht="13.2" customHeight="1" s="405">
      <c r="B873" s="218" t="n"/>
      <c r="E873" s="218" t="n"/>
    </row>
    <row r="874" ht="13.2" customHeight="1" s="405">
      <c r="B874" s="218" t="n"/>
      <c r="E874" s="218" t="n"/>
    </row>
    <row r="875" ht="13.2" customHeight="1" s="405">
      <c r="B875" s="218" t="n"/>
      <c r="E875" s="218" t="n"/>
    </row>
    <row r="876" ht="13.2" customHeight="1" s="405">
      <c r="B876" s="218" t="n"/>
      <c r="E876" s="218" t="n"/>
    </row>
    <row r="877" ht="13.2" customHeight="1" s="405">
      <c r="B877" s="218" t="n"/>
      <c r="E877" s="218" t="n"/>
    </row>
    <row r="878" ht="13.2" customHeight="1" s="405">
      <c r="B878" s="218" t="n"/>
      <c r="E878" s="218" t="n"/>
    </row>
    <row r="879" ht="13.2" customHeight="1" s="405">
      <c r="B879" s="218" t="n"/>
      <c r="E879" s="218" t="n"/>
    </row>
    <row r="880" ht="13.2" customHeight="1" s="405">
      <c r="B880" s="218" t="n"/>
      <c r="E880" s="218" t="n"/>
    </row>
    <row r="881" ht="13.2" customHeight="1" s="405">
      <c r="B881" s="218" t="n"/>
      <c r="E881" s="218" t="n"/>
    </row>
    <row r="882" ht="13.2" customHeight="1" s="405">
      <c r="B882" s="218" t="n"/>
      <c r="E882" s="218" t="n"/>
    </row>
    <row r="883" ht="13.2" customHeight="1" s="405">
      <c r="B883" s="218" t="n"/>
      <c r="E883" s="218" t="n"/>
    </row>
    <row r="884" ht="13.2" customHeight="1" s="405">
      <c r="B884" s="218" t="n"/>
      <c r="E884" s="218" t="n"/>
    </row>
    <row r="885" ht="13.2" customHeight="1" s="405">
      <c r="B885" s="218" t="n"/>
      <c r="E885" s="218" t="n"/>
    </row>
    <row r="886" ht="13.2" customHeight="1" s="405">
      <c r="B886" s="218" t="n"/>
      <c r="E886" s="218" t="n"/>
    </row>
    <row r="887" ht="13.2" customHeight="1" s="405">
      <c r="B887" s="218" t="n"/>
      <c r="E887" s="218" t="n"/>
    </row>
    <row r="888" ht="13.2" customHeight="1" s="405">
      <c r="B888" s="218" t="n"/>
      <c r="E888" s="218" t="n"/>
    </row>
    <row r="889" ht="13.2" customHeight="1" s="405">
      <c r="B889" s="218" t="n"/>
      <c r="E889" s="218" t="n"/>
    </row>
    <row r="890" ht="13.2" customHeight="1" s="405">
      <c r="B890" s="218" t="n"/>
      <c r="E890" s="218" t="n"/>
    </row>
    <row r="891" ht="13.2" customHeight="1" s="405">
      <c r="B891" s="218" t="n"/>
      <c r="E891" s="218" t="n"/>
    </row>
    <row r="892" ht="13.2" customHeight="1" s="405">
      <c r="B892" s="218" t="n"/>
      <c r="E892" s="218" t="n"/>
    </row>
    <row r="893" ht="13.2" customHeight="1" s="405">
      <c r="B893" s="218" t="n"/>
      <c r="E893" s="218" t="n"/>
    </row>
    <row r="894" ht="13.2" customHeight="1" s="405">
      <c r="B894" s="218" t="n"/>
      <c r="E894" s="218" t="n"/>
    </row>
    <row r="895" ht="13.2" customHeight="1" s="405">
      <c r="B895" s="218" t="n"/>
      <c r="E895" s="218" t="n"/>
    </row>
    <row r="896" ht="13.2" customHeight="1" s="405">
      <c r="B896" s="218" t="n"/>
      <c r="E896" s="218" t="n"/>
    </row>
    <row r="897" ht="13.2" customHeight="1" s="405">
      <c r="B897" s="218" t="n"/>
      <c r="E897" s="218" t="n"/>
    </row>
    <row r="898" ht="13.2" customHeight="1" s="405">
      <c r="B898" s="218" t="n"/>
      <c r="E898" s="218" t="n"/>
    </row>
    <row r="899" ht="13.2" customHeight="1" s="405">
      <c r="B899" s="218" t="n"/>
      <c r="E899" s="218" t="n"/>
    </row>
    <row r="900" ht="13.2" customHeight="1" s="405">
      <c r="B900" s="218" t="n"/>
      <c r="E900" s="218" t="n"/>
    </row>
    <row r="901" ht="13.2" customHeight="1" s="405">
      <c r="B901" s="218" t="n"/>
      <c r="E901" s="218" t="n"/>
    </row>
    <row r="902" ht="13.2" customHeight="1" s="405">
      <c r="B902" s="218" t="n"/>
      <c r="E902" s="218" t="n"/>
    </row>
    <row r="903" ht="13.2" customHeight="1" s="405">
      <c r="B903" s="218" t="n"/>
      <c r="E903" s="218" t="n"/>
    </row>
    <row r="904" ht="13.2" customHeight="1" s="405">
      <c r="B904" s="218" t="n"/>
      <c r="E904" s="218" t="n"/>
    </row>
    <row r="905" ht="13.2" customHeight="1" s="405">
      <c r="B905" s="218" t="n"/>
      <c r="E905" s="218" t="n"/>
    </row>
    <row r="906" ht="13.2" customHeight="1" s="405">
      <c r="B906" s="218" t="n"/>
      <c r="E906" s="218" t="n"/>
    </row>
    <row r="907" ht="13.2" customHeight="1" s="405">
      <c r="B907" s="218" t="n"/>
      <c r="E907" s="218" t="n"/>
    </row>
    <row r="908" ht="13.2" customHeight="1" s="405">
      <c r="B908" s="218" t="n"/>
      <c r="E908" s="218" t="n"/>
    </row>
    <row r="909" ht="13.2" customHeight="1" s="405">
      <c r="B909" s="218" t="n"/>
      <c r="E909" s="218" t="n"/>
    </row>
    <row r="910" ht="13.2" customHeight="1" s="405">
      <c r="B910" s="218" t="n"/>
      <c r="E910" s="218" t="n"/>
    </row>
    <row r="911" ht="13.2" customHeight="1" s="405">
      <c r="B911" s="218" t="n"/>
      <c r="E911" s="218" t="n"/>
    </row>
    <row r="912" ht="13.2" customHeight="1" s="405">
      <c r="B912" s="218" t="n"/>
      <c r="E912" s="218" t="n"/>
    </row>
    <row r="913" ht="13.2" customHeight="1" s="405">
      <c r="B913" s="218" t="n"/>
      <c r="E913" s="218" t="n"/>
    </row>
    <row r="914" ht="13.2" customHeight="1" s="405">
      <c r="B914" s="218" t="n"/>
      <c r="E914" s="218" t="n"/>
    </row>
    <row r="915" ht="13.2" customHeight="1" s="405">
      <c r="B915" s="218" t="n"/>
      <c r="E915" s="218" t="n"/>
    </row>
    <row r="916" ht="13.2" customHeight="1" s="405">
      <c r="B916" s="218" t="n"/>
      <c r="E916" s="218" t="n"/>
    </row>
    <row r="917" ht="13.2" customHeight="1" s="405">
      <c r="B917" s="218" t="n"/>
      <c r="E917" s="218" t="n"/>
    </row>
    <row r="918" ht="13.2" customHeight="1" s="405">
      <c r="B918" s="218" t="n"/>
      <c r="E918" s="218" t="n"/>
    </row>
    <row r="919" ht="13.2" customHeight="1" s="405">
      <c r="B919" s="218" t="n"/>
      <c r="E919" s="218" t="n"/>
    </row>
    <row r="920" ht="13.2" customHeight="1" s="405">
      <c r="B920" s="218" t="n"/>
      <c r="E920" s="218" t="n"/>
    </row>
    <row r="921" ht="13.2" customHeight="1" s="405">
      <c r="B921" s="218" t="n"/>
      <c r="E921" s="218" t="n"/>
    </row>
    <row r="922" ht="13.2" customHeight="1" s="405">
      <c r="B922" s="218" t="n"/>
      <c r="E922" s="218" t="n"/>
    </row>
    <row r="923" ht="13.2" customHeight="1" s="405">
      <c r="B923" s="218" t="n"/>
      <c r="E923" s="218" t="n"/>
    </row>
    <row r="924" ht="13.2" customHeight="1" s="405">
      <c r="B924" s="218" t="n"/>
      <c r="E924" s="218" t="n"/>
    </row>
    <row r="925" ht="13.2" customHeight="1" s="405">
      <c r="B925" s="218" t="n"/>
      <c r="E925" s="218" t="n"/>
    </row>
    <row r="926" ht="13.2" customHeight="1" s="405">
      <c r="B926" s="218" t="n"/>
      <c r="E926" s="218" t="n"/>
    </row>
    <row r="927" ht="13.2" customHeight="1" s="405">
      <c r="B927" s="218" t="n"/>
      <c r="E927" s="218" t="n"/>
    </row>
    <row r="928" ht="13.2" customHeight="1" s="405">
      <c r="B928" s="218" t="n"/>
      <c r="E928" s="218" t="n"/>
    </row>
    <row r="929" ht="13.2" customHeight="1" s="405">
      <c r="B929" s="218" t="n"/>
      <c r="E929" s="218" t="n"/>
    </row>
    <row r="930" ht="13.2" customHeight="1" s="405">
      <c r="B930" s="218" t="n"/>
      <c r="E930" s="218" t="n"/>
    </row>
    <row r="931" ht="13.2" customHeight="1" s="405">
      <c r="B931" s="218" t="n"/>
      <c r="E931" s="218" t="n"/>
    </row>
    <row r="932" ht="13.2" customHeight="1" s="405">
      <c r="B932" s="218" t="n"/>
      <c r="E932" s="218" t="n"/>
    </row>
    <row r="933" ht="13.2" customHeight="1" s="405">
      <c r="B933" s="218" t="n"/>
      <c r="E933" s="218" t="n"/>
    </row>
    <row r="934" ht="13.2" customHeight="1" s="405">
      <c r="B934" s="218" t="n"/>
      <c r="E934" s="218" t="n"/>
    </row>
    <row r="935" ht="13.2" customHeight="1" s="405">
      <c r="B935" s="218" t="n"/>
      <c r="E935" s="218" t="n"/>
    </row>
    <row r="936" ht="13.2" customHeight="1" s="405">
      <c r="B936" s="218" t="n"/>
      <c r="E936" s="218" t="n"/>
    </row>
    <row r="937" ht="13.2" customHeight="1" s="405">
      <c r="B937" s="218" t="n"/>
      <c r="E937" s="218" t="n"/>
    </row>
    <row r="938" ht="13.2" customHeight="1" s="405">
      <c r="B938" s="218" t="n"/>
      <c r="E938" s="218" t="n"/>
    </row>
    <row r="939" ht="13.2" customHeight="1" s="405">
      <c r="B939" s="218" t="n"/>
      <c r="E939" s="218" t="n"/>
    </row>
    <row r="940" ht="13.2" customHeight="1" s="405">
      <c r="B940" s="218" t="n"/>
      <c r="E940" s="218" t="n"/>
    </row>
    <row r="941" ht="13.2" customHeight="1" s="405">
      <c r="B941" s="218" t="n"/>
      <c r="E941" s="218" t="n"/>
    </row>
    <row r="942" ht="13.2" customHeight="1" s="405">
      <c r="B942" s="218" t="n"/>
      <c r="E942" s="218" t="n"/>
    </row>
    <row r="943" ht="13.2" customHeight="1" s="405">
      <c r="B943" s="218" t="n"/>
      <c r="E943" s="218" t="n"/>
    </row>
    <row r="944" ht="13.2" customHeight="1" s="405">
      <c r="B944" s="218" t="n"/>
      <c r="E944" s="218" t="n"/>
    </row>
    <row r="945" ht="13.2" customHeight="1" s="405">
      <c r="B945" s="218" t="n"/>
      <c r="E945" s="218" t="n"/>
    </row>
    <row r="946" ht="13.2" customHeight="1" s="405">
      <c r="B946" s="218" t="n"/>
      <c r="E946" s="218" t="n"/>
    </row>
    <row r="947" ht="13.2" customHeight="1" s="405">
      <c r="B947" s="218" t="n"/>
      <c r="E947" s="218" t="n"/>
    </row>
    <row r="948" ht="13.2" customHeight="1" s="405">
      <c r="B948" s="218" t="n"/>
      <c r="E948" s="218" t="n"/>
    </row>
    <row r="949" ht="13.2" customHeight="1" s="405">
      <c r="B949" s="218" t="n"/>
      <c r="E949" s="218" t="n"/>
    </row>
    <row r="950" ht="13.2" customHeight="1" s="405">
      <c r="B950" s="218" t="n"/>
      <c r="E950" s="218" t="n"/>
    </row>
    <row r="951" ht="13.2" customHeight="1" s="405">
      <c r="B951" s="218" t="n"/>
      <c r="E951" s="218" t="n"/>
    </row>
    <row r="952" ht="13.2" customHeight="1" s="405">
      <c r="B952" s="218" t="n"/>
      <c r="E952" s="218" t="n"/>
    </row>
    <row r="953" ht="13.2" customHeight="1" s="405">
      <c r="B953" s="218" t="n"/>
      <c r="E953" s="218" t="n"/>
    </row>
    <row r="954" ht="13.2" customHeight="1" s="405">
      <c r="B954" s="218" t="n"/>
      <c r="E954" s="218" t="n"/>
    </row>
    <row r="955" ht="13.2" customHeight="1" s="405">
      <c r="B955" s="218" t="n"/>
      <c r="E955" s="218" t="n"/>
    </row>
    <row r="956" ht="13.2" customHeight="1" s="405">
      <c r="B956" s="218" t="n"/>
      <c r="E956" s="218" t="n"/>
    </row>
    <row r="957" ht="13.2" customHeight="1" s="405">
      <c r="B957" s="218" t="n"/>
      <c r="E957" s="218" t="n"/>
    </row>
    <row r="958" ht="13.2" customHeight="1" s="405">
      <c r="B958" s="218" t="n"/>
      <c r="E958" s="218" t="n"/>
    </row>
    <row r="959" ht="13.2" customHeight="1" s="405">
      <c r="B959" s="218" t="n"/>
      <c r="E959" s="218" t="n"/>
    </row>
    <row r="960" ht="13.2" customHeight="1" s="405">
      <c r="B960" s="218" t="n"/>
      <c r="E960" s="218" t="n"/>
    </row>
    <row r="961" ht="13.2" customHeight="1" s="405">
      <c r="B961" s="218" t="n"/>
      <c r="E961" s="218" t="n"/>
    </row>
    <row r="962" ht="13.2" customHeight="1" s="405">
      <c r="B962" s="218" t="n"/>
      <c r="E962" s="218" t="n"/>
    </row>
    <row r="963" ht="13.2" customHeight="1" s="405">
      <c r="B963" s="218" t="n"/>
      <c r="E963" s="218" t="n"/>
    </row>
    <row r="964" ht="13.2" customHeight="1" s="405">
      <c r="B964" s="218" t="n"/>
      <c r="E964" s="218" t="n"/>
    </row>
    <row r="965" ht="13.2" customHeight="1" s="405">
      <c r="B965" s="218" t="n"/>
      <c r="E965" s="218" t="n"/>
    </row>
    <row r="966" ht="13.2" customHeight="1" s="405">
      <c r="B966" s="218" t="n"/>
      <c r="E966" s="218" t="n"/>
    </row>
    <row r="967" ht="13.2" customHeight="1" s="405">
      <c r="B967" s="218" t="n"/>
      <c r="E967" s="218" t="n"/>
    </row>
    <row r="968" ht="13.2" customHeight="1" s="405">
      <c r="B968" s="218" t="n"/>
      <c r="E968" s="218" t="n"/>
    </row>
    <row r="969" ht="13.2" customHeight="1" s="405">
      <c r="B969" s="218" t="n"/>
      <c r="E969" s="218" t="n"/>
    </row>
    <row r="970" ht="13.2" customHeight="1" s="405">
      <c r="B970" s="218" t="n"/>
      <c r="E970" s="218" t="n"/>
    </row>
    <row r="971" ht="13.2" customHeight="1" s="405">
      <c r="B971" s="218" t="n"/>
      <c r="E971" s="218" t="n"/>
    </row>
    <row r="972" ht="13.2" customHeight="1" s="405">
      <c r="B972" s="218" t="n"/>
      <c r="E972" s="218" t="n"/>
    </row>
    <row r="973" ht="13.2" customHeight="1" s="405">
      <c r="B973" s="218" t="n"/>
      <c r="E973" s="218" t="n"/>
    </row>
    <row r="974" ht="13.2" customHeight="1" s="405">
      <c r="B974" s="218" t="n"/>
      <c r="E974" s="218" t="n"/>
    </row>
    <row r="975" ht="13.2" customHeight="1" s="405">
      <c r="B975" s="218" t="n"/>
      <c r="E975" s="218" t="n"/>
    </row>
    <row r="976" ht="13.2" customHeight="1" s="405">
      <c r="B976" s="218" t="n"/>
      <c r="E976" s="218" t="n"/>
    </row>
    <row r="977" ht="13.2" customHeight="1" s="405">
      <c r="B977" s="218" t="n"/>
      <c r="E977" s="218" t="n"/>
    </row>
    <row r="978" ht="13.2" customHeight="1" s="405">
      <c r="B978" s="218" t="n"/>
      <c r="E978" s="218" t="n"/>
    </row>
    <row r="979" ht="13.2" customHeight="1" s="405">
      <c r="B979" s="218" t="n"/>
      <c r="E979" s="218" t="n"/>
    </row>
    <row r="980" ht="13.2" customHeight="1" s="405">
      <c r="B980" s="218" t="n"/>
      <c r="E980" s="218" t="n"/>
    </row>
    <row r="981" ht="13.2" customHeight="1" s="405">
      <c r="B981" s="218" t="n"/>
      <c r="E981" s="218" t="n"/>
    </row>
    <row r="982" ht="13.2" customHeight="1" s="405">
      <c r="B982" s="218" t="n"/>
      <c r="E982" s="218" t="n"/>
    </row>
    <row r="983" ht="13.2" customHeight="1" s="405">
      <c r="B983" s="218" t="n"/>
      <c r="E983" s="218" t="n"/>
    </row>
    <row r="984" ht="13.2" customHeight="1" s="405">
      <c r="B984" s="218" t="n"/>
      <c r="E984" s="218" t="n"/>
    </row>
    <row r="985" ht="13.2" customHeight="1" s="405">
      <c r="B985" s="218" t="n"/>
      <c r="E985" s="218" t="n"/>
    </row>
    <row r="986" ht="13.2" customHeight="1" s="405">
      <c r="B986" s="218" t="n"/>
      <c r="E986" s="218" t="n"/>
    </row>
    <row r="987" ht="13.2" customHeight="1" s="405">
      <c r="B987" s="218" t="n"/>
      <c r="E987" s="218" t="n"/>
    </row>
    <row r="988" ht="13.2" customHeight="1" s="405">
      <c r="B988" s="218" t="n"/>
      <c r="E988" s="218" t="n"/>
    </row>
    <row r="989" ht="13.2" customHeight="1" s="405">
      <c r="B989" s="218" t="n"/>
      <c r="E989" s="218" t="n"/>
    </row>
    <row r="990" ht="13.2" customHeight="1" s="405">
      <c r="B990" s="218" t="n"/>
      <c r="E990" s="218" t="n"/>
    </row>
    <row r="991" ht="13.2" customHeight="1" s="405">
      <c r="B991" s="218" t="n"/>
      <c r="E991" s="218" t="n"/>
    </row>
    <row r="992" ht="13.2" customHeight="1" s="405">
      <c r="B992" s="218" t="n"/>
      <c r="E992" s="218" t="n"/>
    </row>
    <row r="993" ht="13.2" customHeight="1" s="405">
      <c r="B993" s="218" t="n"/>
      <c r="E993" s="218" t="n"/>
    </row>
    <row r="994" ht="13.2" customHeight="1" s="405">
      <c r="B994" s="218" t="n"/>
      <c r="E994" s="218" t="n"/>
    </row>
    <row r="995" ht="13.2" customHeight="1" s="405">
      <c r="B995" s="218" t="n"/>
      <c r="E995" s="218" t="n"/>
    </row>
    <row r="996" ht="13.2" customHeight="1" s="405">
      <c r="B996" s="218" t="n"/>
      <c r="E996" s="218" t="n"/>
    </row>
    <row r="997" ht="13.2" customHeight="1" s="405">
      <c r="B997" s="218" t="n"/>
      <c r="E997" s="218" t="n"/>
    </row>
  </sheetData>
  <mergeCells count="3">
    <mergeCell ref="C2:C3"/>
    <mergeCell ref="A2:A3"/>
    <mergeCell ref="B2:B3"/>
  </mergeCells>
  <hyperlinks>
    <hyperlink xmlns:r="http://schemas.openxmlformats.org/officeDocument/2006/relationships" ref="G23" r:id="rId1"/>
    <hyperlink xmlns:r="http://schemas.openxmlformats.org/officeDocument/2006/relationships" ref="I23" r:id="rId2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I999"/>
  <sheetViews>
    <sheetView workbookViewId="0">
      <selection activeCell="A1" sqref="A1"/>
    </sheetView>
  </sheetViews>
  <sheetFormatPr baseColWidth="8" defaultColWidth="12.6640625" defaultRowHeight="15.75" customHeight="1"/>
  <cols>
    <col width="4.33203125" customWidth="1" style="405" min="1" max="1"/>
  </cols>
  <sheetData>
    <row r="1" ht="15.75" customHeight="1" s="405">
      <c r="A1" s="429" t="n"/>
      <c r="B1" s="430" t="n"/>
      <c r="C1" s="430" t="n"/>
      <c r="D1" s="431" t="n"/>
      <c r="E1" s="5" t="n"/>
      <c r="F1" s="5" t="n"/>
      <c r="G1" s="5" t="n"/>
    </row>
    <row r="2">
      <c r="A2" s="208" t="inlineStr">
        <is>
          <t>STT</t>
        </is>
      </c>
      <c r="B2" s="432" t="inlineStr">
        <is>
          <t>Ngày/tháng</t>
        </is>
      </c>
      <c r="C2" s="10" t="inlineStr">
        <is>
          <t xml:space="preserve">Ngân sách cấp 
</t>
        </is>
      </c>
      <c r="D2" s="26" t="inlineStr">
        <is>
          <t>Tổng đã chi</t>
        </is>
      </c>
      <c r="E2" s="208" t="inlineStr">
        <is>
          <t>Số đơn</t>
        </is>
      </c>
      <c r="F2" s="208" t="inlineStr">
        <is>
          <t>Doanh số</t>
        </is>
      </c>
      <c r="G2" s="208" t="inlineStr">
        <is>
          <t>Tỷ lệ CP</t>
        </is>
      </c>
      <c r="H2" s="298" t="inlineStr">
        <is>
          <t>Hoàn - Hủy</t>
        </is>
      </c>
      <c r="I2" s="299" t="inlineStr">
        <is>
          <t>DS trước HH</t>
        </is>
      </c>
    </row>
    <row r="3">
      <c r="A3" s="433" t="n"/>
      <c r="B3" s="433" t="n"/>
      <c r="C3" s="17">
        <f>+SUM(C4:C34)</f>
        <v/>
      </c>
      <c r="D3" s="21">
        <f>SUM(D4:D34)</f>
        <v/>
      </c>
      <c r="E3" s="26">
        <f>SUM(E4:E34)</f>
        <v/>
      </c>
      <c r="F3" s="21">
        <f>SUM(F4:F36)</f>
        <v/>
      </c>
      <c r="G3" s="31">
        <f>IFERROR(D3/F3,0)</f>
        <v/>
      </c>
    </row>
    <row r="4" ht="15.75" customHeight="1" s="405">
      <c r="A4" s="33" t="n">
        <v>1</v>
      </c>
      <c r="B4" s="35" t="n">
        <v>46204</v>
      </c>
      <c r="C4" s="300" t="n">
        <v>24000000</v>
      </c>
      <c r="D4" s="370">
        <f>'BQ Anh CT'!D8</f>
        <v/>
      </c>
      <c r="E4" s="301" t="n">
        <v>4</v>
      </c>
      <c r="F4" s="302" t="n">
        <v>11840000</v>
      </c>
      <c r="G4" s="50">
        <f>IFERROR(D4/F4,0)</f>
        <v/>
      </c>
    </row>
    <row r="5" ht="15.75" customHeight="1" s="405">
      <c r="A5" s="52" t="n">
        <v>2</v>
      </c>
      <c r="B5" s="54" t="n">
        <v>46205</v>
      </c>
      <c r="C5" s="307" t="n"/>
      <c r="D5" s="371">
        <f>'BQ Anh CT'!E8</f>
        <v/>
      </c>
      <c r="E5" s="303" t="n">
        <v>4</v>
      </c>
      <c r="F5" s="304">
        <f>I5-H5</f>
        <v/>
      </c>
      <c r="G5" s="62">
        <f>IFERROR(D5/F5,0)</f>
        <v/>
      </c>
      <c r="H5" s="305" t="n">
        <v>3305000</v>
      </c>
      <c r="I5" s="305" t="n">
        <v>11970000</v>
      </c>
    </row>
    <row r="6" ht="15.75" customHeight="1" s="405">
      <c r="A6" s="33" t="n">
        <v>3</v>
      </c>
      <c r="B6" s="35" t="n">
        <v>46206</v>
      </c>
      <c r="C6" s="300" t="n">
        <v>36000000</v>
      </c>
      <c r="D6" s="370">
        <f>'BQ Anh CT'!F8</f>
        <v/>
      </c>
      <c r="E6" s="306" t="n">
        <v>5</v>
      </c>
      <c r="F6" s="304">
        <f>I6-H6</f>
        <v/>
      </c>
      <c r="G6" s="50">
        <f>IFERROR(D6/F6,0)</f>
        <v/>
      </c>
      <c r="H6" s="305" t="n">
        <v>3015000</v>
      </c>
      <c r="I6" s="305" t="n">
        <v>16090000</v>
      </c>
    </row>
    <row r="7" ht="15.75" customHeight="1" s="405">
      <c r="A7" s="52" t="n">
        <v>4</v>
      </c>
      <c r="B7" s="54" t="n">
        <v>46207</v>
      </c>
      <c r="C7" s="307" t="n">
        <v>5000000</v>
      </c>
      <c r="D7" s="371">
        <f>'BQ Anh CT'!G8</f>
        <v/>
      </c>
      <c r="E7" s="303" t="n">
        <v>4</v>
      </c>
      <c r="F7" s="304">
        <f>I7-H7</f>
        <v/>
      </c>
      <c r="G7" s="62">
        <f>IFERROR(D7/F7,0)</f>
        <v/>
      </c>
      <c r="H7" s="305" t="n">
        <v>9375000</v>
      </c>
      <c r="I7" s="305" t="n">
        <v>18455000</v>
      </c>
    </row>
    <row r="8" ht="15.75" customHeight="1" s="405">
      <c r="A8" s="33" t="n">
        <v>5</v>
      </c>
      <c r="B8" s="35" t="n">
        <v>46208</v>
      </c>
      <c r="C8" s="300" t="n"/>
      <c r="D8" s="370">
        <f>'BQ Anh CT'!H8</f>
        <v/>
      </c>
      <c r="E8" s="306" t="n">
        <v>3</v>
      </c>
      <c r="F8" s="304">
        <f>I8-H8</f>
        <v/>
      </c>
      <c r="G8" s="50">
        <f>IFERROR(D8/F8,0)</f>
        <v/>
      </c>
      <c r="H8" s="305" t="n">
        <v>8955000</v>
      </c>
      <c r="I8" s="305" t="n">
        <v>8955000</v>
      </c>
    </row>
    <row r="9" ht="15.75" customHeight="1" s="405">
      <c r="A9" s="52" t="n">
        <v>6</v>
      </c>
      <c r="B9" s="54" t="n">
        <v>46209</v>
      </c>
      <c r="C9" s="307" t="n">
        <v>48000000</v>
      </c>
      <c r="D9" s="371">
        <f>'BQ Anh CT'!I8</f>
        <v/>
      </c>
      <c r="E9" s="303" t="n">
        <v>7</v>
      </c>
      <c r="F9" s="304">
        <f>I9-H9</f>
        <v/>
      </c>
      <c r="G9" s="62">
        <f>IFERROR(D9/F9,0)</f>
        <v/>
      </c>
      <c r="H9" s="305" t="n">
        <v>2355000</v>
      </c>
      <c r="I9" s="305" t="n">
        <v>21630000</v>
      </c>
    </row>
    <row r="10" ht="15.75" customHeight="1" s="405">
      <c r="A10" s="33" t="n">
        <v>7</v>
      </c>
      <c r="B10" s="35" t="n">
        <v>46210</v>
      </c>
      <c r="C10" s="300" t="n"/>
      <c r="D10" s="370">
        <f>'BQ Anh CT'!J8</f>
        <v/>
      </c>
      <c r="E10" s="306" t="n">
        <v>10</v>
      </c>
      <c r="F10" s="304">
        <f>I10-H10</f>
        <v/>
      </c>
      <c r="G10" s="50">
        <f>IFERROR(D10/F10,0)</f>
        <v/>
      </c>
      <c r="H10" s="305" t="n">
        <v>3375000</v>
      </c>
      <c r="I10" s="305" t="n">
        <v>29265000</v>
      </c>
    </row>
    <row r="11" ht="15.75" customHeight="1" s="405">
      <c r="A11" s="52" t="n">
        <v>8</v>
      </c>
      <c r="B11" s="54" t="n">
        <v>46211</v>
      </c>
      <c r="C11" s="307" t="n"/>
      <c r="D11" s="371">
        <f>'BQ Anh CT'!K8</f>
        <v/>
      </c>
      <c r="E11" s="303" t="n">
        <v>11</v>
      </c>
      <c r="F11" s="304">
        <f>I11-H11</f>
        <v/>
      </c>
      <c r="G11" s="62">
        <f>IFERROR(D11/F11,0)</f>
        <v/>
      </c>
      <c r="H11" s="305" t="n">
        <v>6740000</v>
      </c>
      <c r="I11" s="305" t="n">
        <v>36105000</v>
      </c>
    </row>
    <row r="12" ht="15.75" customHeight="1" s="405">
      <c r="A12" s="33" t="n">
        <v>9</v>
      </c>
      <c r="B12" s="35" t="n">
        <v>46212</v>
      </c>
      <c r="C12" s="300" t="n"/>
      <c r="D12" s="370">
        <f>'BQ Anh CT'!L8</f>
        <v/>
      </c>
      <c r="E12" s="306" t="n">
        <v>8</v>
      </c>
      <c r="F12" s="304">
        <f>I12-H12</f>
        <v/>
      </c>
      <c r="G12" s="50">
        <f>IFERROR(D12/F12,0)</f>
        <v/>
      </c>
      <c r="H12" s="305" t="n">
        <v>0</v>
      </c>
      <c r="I12" s="305" t="n">
        <v>25610000</v>
      </c>
    </row>
    <row r="13" ht="15.75" customHeight="1" s="405">
      <c r="A13" s="52" t="n">
        <v>10</v>
      </c>
      <c r="B13" s="54" t="n">
        <v>46213</v>
      </c>
      <c r="C13" s="307" t="n"/>
      <c r="D13" s="371">
        <f>'BQ Anh CT'!M8</f>
        <v/>
      </c>
      <c r="E13" s="306" t="n">
        <v>5</v>
      </c>
      <c r="F13" s="311">
        <f>I13-H13</f>
        <v/>
      </c>
      <c r="G13" s="62">
        <f>IFERROR(D13/F13,0)</f>
        <v/>
      </c>
      <c r="H13" s="312" t="n">
        <v>2910000</v>
      </c>
      <c r="I13" s="312" t="n">
        <v>14455000</v>
      </c>
    </row>
    <row r="14" ht="15.75" customHeight="1" s="405">
      <c r="A14" s="33" t="n">
        <v>11</v>
      </c>
      <c r="B14" s="35" t="n">
        <v>46214</v>
      </c>
      <c r="C14" s="300" t="n"/>
      <c r="D14" s="370">
        <f>'BQ Anh CT'!N8</f>
        <v/>
      </c>
      <c r="E14" s="306" t="n">
        <v>6</v>
      </c>
      <c r="F14" s="313" t="n">
        <v>21170000</v>
      </c>
      <c r="G14" s="50">
        <f>IFERROR(D14/F14,0)</f>
        <v/>
      </c>
      <c r="H14" s="312" t="n">
        <v>0</v>
      </c>
      <c r="I14" s="312" t="n">
        <v>21170000</v>
      </c>
    </row>
    <row r="15" ht="15.75" customHeight="1" s="405">
      <c r="A15" s="52" t="n">
        <v>12</v>
      </c>
      <c r="B15" s="54" t="n">
        <v>46215</v>
      </c>
      <c r="C15" s="307" t="n"/>
      <c r="D15" s="371">
        <f>'BQ Anh CT'!O8</f>
        <v/>
      </c>
      <c r="E15" s="303" t="n">
        <v>2</v>
      </c>
      <c r="F15" s="311" t="n">
        <v>5920000</v>
      </c>
      <c r="G15" s="62">
        <f>IFERROR(D15/F15,0)</f>
        <v/>
      </c>
      <c r="H15" s="312" t="n">
        <v>0</v>
      </c>
      <c r="I15" s="312" t="n">
        <v>5920000</v>
      </c>
    </row>
    <row r="16" ht="14.4" customHeight="1" s="405">
      <c r="A16" s="33" t="n">
        <v>13</v>
      </c>
      <c r="B16" s="35" t="n">
        <v>46216</v>
      </c>
      <c r="C16" s="300" t="n"/>
      <c r="D16" s="370">
        <f>'BQ Anh CT'!P8</f>
        <v/>
      </c>
      <c r="E16" s="306" t="n">
        <v>5</v>
      </c>
      <c r="F16" s="313">
        <f>I16-H16</f>
        <v/>
      </c>
      <c r="G16" s="50">
        <f>IFERROR(D16/F16,0)</f>
        <v/>
      </c>
      <c r="H16" s="312" t="n">
        <v>2910000</v>
      </c>
      <c r="I16" s="312" t="n">
        <v>14340000</v>
      </c>
    </row>
    <row r="17" ht="14.4" customHeight="1" s="405">
      <c r="A17" s="52" t="n">
        <v>14</v>
      </c>
      <c r="B17" s="54" t="n">
        <v>46217</v>
      </c>
      <c r="C17" s="307" t="n"/>
      <c r="D17" s="371">
        <f>'BQ Anh CT'!Q8</f>
        <v/>
      </c>
      <c r="E17" s="303" t="n">
        <v>5</v>
      </c>
      <c r="F17" s="311" t="n">
        <v>15280000</v>
      </c>
      <c r="G17" s="50">
        <f>IFERROR(D17/F17,0)</f>
        <v/>
      </c>
      <c r="H17" s="312" t="n">
        <v>0</v>
      </c>
      <c r="I17" s="312" t="n">
        <v>15280000</v>
      </c>
    </row>
    <row r="18" ht="14.4" customHeight="1" s="405">
      <c r="A18" s="33" t="n">
        <v>15</v>
      </c>
      <c r="B18" s="35" t="n">
        <v>46218</v>
      </c>
      <c r="C18" s="300" t="n"/>
      <c r="D18" s="370">
        <f>'BQ Anh CT'!R8</f>
        <v/>
      </c>
      <c r="E18" s="306" t="n">
        <v>4</v>
      </c>
      <c r="F18" s="313">
        <f>I18-H18</f>
        <v/>
      </c>
      <c r="G18" s="50">
        <f>IFERROR(D18/F18,0)</f>
        <v/>
      </c>
      <c r="H18" s="312" t="n">
        <v>9780000</v>
      </c>
      <c r="I18" s="312" t="n">
        <v>12690000</v>
      </c>
    </row>
    <row r="19" ht="14.4" customHeight="1" s="405">
      <c r="A19" s="52" t="n">
        <v>16</v>
      </c>
      <c r="B19" s="54" t="n">
        <v>46219</v>
      </c>
      <c r="C19" s="307" t="n"/>
      <c r="D19" s="371">
        <f>'BQ Anh CT'!S8</f>
        <v/>
      </c>
      <c r="E19" s="303" t="n">
        <v>3</v>
      </c>
      <c r="F19" s="311">
        <f>I19-H19</f>
        <v/>
      </c>
      <c r="G19" s="62">
        <f>IFERROR(D19/F19,0)</f>
        <v/>
      </c>
      <c r="H19" s="312" t="n">
        <v>4030000</v>
      </c>
      <c r="I19" s="312" t="n">
        <v>9275000</v>
      </c>
    </row>
    <row r="20" ht="14.4" customHeight="1" s="405">
      <c r="A20" s="33" t="n">
        <v>17</v>
      </c>
      <c r="B20" s="35" t="n">
        <v>46220</v>
      </c>
      <c r="C20" s="300" t="n"/>
      <c r="D20" s="80">
        <f>'BQ Anh CT'!T8</f>
        <v/>
      </c>
      <c r="E20" s="306" t="n">
        <v>5</v>
      </c>
      <c r="F20" s="313">
        <f>I20-H20</f>
        <v/>
      </c>
      <c r="G20" s="50">
        <f>IFERROR(D20/F20,0)</f>
        <v/>
      </c>
      <c r="H20" s="312" t="n">
        <v>9775000</v>
      </c>
      <c r="I20" s="312" t="n">
        <v>16555000</v>
      </c>
    </row>
    <row r="21" ht="14.4" customHeight="1" s="405">
      <c r="A21" s="52" t="n">
        <v>18</v>
      </c>
      <c r="B21" s="54" t="n">
        <v>46221</v>
      </c>
      <c r="C21" s="307" t="n"/>
      <c r="D21" s="371">
        <f>'BQ Anh CT'!U8</f>
        <v/>
      </c>
      <c r="E21" s="303" t="n">
        <v>6</v>
      </c>
      <c r="F21" s="311">
        <f>I21-H21</f>
        <v/>
      </c>
      <c r="G21" s="50">
        <f>IFERROR(D21/F21,0)</f>
        <v/>
      </c>
      <c r="H21" s="312" t="n">
        <v>6730000</v>
      </c>
      <c r="I21" s="312" t="n">
        <v>20150000</v>
      </c>
    </row>
    <row r="22" ht="14.4" customHeight="1" s="405">
      <c r="A22" s="33" t="n">
        <v>19</v>
      </c>
      <c r="B22" s="35" t="n">
        <v>46222</v>
      </c>
      <c r="C22" s="300" t="n"/>
      <c r="D22" s="370">
        <f>'BQ Anh CT'!V8</f>
        <v/>
      </c>
      <c r="E22" s="306" t="n">
        <v>4</v>
      </c>
      <c r="F22" s="313" t="n">
        <v>13815000</v>
      </c>
      <c r="G22" s="50">
        <f>IFERROR(D22/F22,0)</f>
        <v/>
      </c>
      <c r="H22" s="312" t="n">
        <v>0</v>
      </c>
      <c r="I22" s="312" t="n">
        <v>13815000</v>
      </c>
    </row>
    <row r="23" ht="14.4" customHeight="1" s="405">
      <c r="A23" s="52" t="n">
        <v>20</v>
      </c>
      <c r="B23" s="54" t="n">
        <v>46223</v>
      </c>
      <c r="C23" s="307" t="n"/>
      <c r="D23" s="371">
        <f>'BQ Anh CT'!W8</f>
        <v/>
      </c>
      <c r="E23" s="303" t="n">
        <v>9</v>
      </c>
      <c r="F23" s="311" t="n">
        <v>29905000</v>
      </c>
      <c r="G23" s="50">
        <f>IFERROR(D23/F23,0)</f>
        <v/>
      </c>
      <c r="H23" s="312" t="n">
        <v>0</v>
      </c>
      <c r="I23" s="312" t="n">
        <v>29905000</v>
      </c>
    </row>
    <row r="24" ht="14.4" customHeight="1" s="405">
      <c r="A24" s="33" t="n">
        <v>21</v>
      </c>
      <c r="B24" s="35" t="n">
        <v>46224</v>
      </c>
      <c r="C24" s="300" t="n"/>
      <c r="D24" s="370">
        <f>'BQ Anh CT'!X8</f>
        <v/>
      </c>
      <c r="E24" s="303" t="n">
        <v>3</v>
      </c>
      <c r="F24" s="313" t="n">
        <v>9840000</v>
      </c>
      <c r="G24" s="50">
        <f>IFERROR(D24/F24,0)</f>
        <v/>
      </c>
    </row>
    <row r="25" ht="14.4" customHeight="1" s="405">
      <c r="A25" s="52" t="n">
        <v>22</v>
      </c>
      <c r="B25" s="54" t="n">
        <v>46225</v>
      </c>
      <c r="C25" s="307" t="n"/>
      <c r="D25" s="371">
        <f>'BQ Anh CT'!Y8</f>
        <v/>
      </c>
      <c r="E25" s="320" t="n">
        <v>12</v>
      </c>
      <c r="F25" s="311">
        <f>I25-H25</f>
        <v/>
      </c>
      <c r="G25" s="50">
        <f>IFERROR(D25/F25,0)</f>
        <v/>
      </c>
      <c r="H25" s="312" t="n">
        <v>3015000</v>
      </c>
      <c r="I25" s="312" t="n">
        <v>38825000</v>
      </c>
    </row>
    <row r="26" ht="14.4" customHeight="1" s="405">
      <c r="A26" s="33" t="n">
        <v>23</v>
      </c>
      <c r="B26" s="35" t="n">
        <v>46226</v>
      </c>
      <c r="C26" s="300" t="n"/>
      <c r="D26" s="370">
        <f>'BQ Anh CT'!Z8</f>
        <v/>
      </c>
      <c r="E26" s="321" t="n">
        <v>4</v>
      </c>
      <c r="F26" s="313" t="n">
        <v>13200000</v>
      </c>
      <c r="G26" s="62">
        <f>IFERROR(D26/F26,0)</f>
        <v/>
      </c>
    </row>
    <row r="27" ht="14.4" customHeight="1" s="405">
      <c r="A27" s="52" t="n">
        <v>24</v>
      </c>
      <c r="B27" s="54" t="n">
        <v>46227</v>
      </c>
      <c r="C27" s="307" t="n"/>
      <c r="D27" s="371">
        <f>'BQ Anh CT'!AA8</f>
        <v/>
      </c>
      <c r="E27" s="320" t="n">
        <v>5</v>
      </c>
      <c r="F27" s="311" t="n">
        <v>16230000</v>
      </c>
      <c r="G27" s="50">
        <f>IFERROR(D27/F27,0)</f>
        <v/>
      </c>
    </row>
    <row r="28" ht="14.4" customHeight="1" s="405">
      <c r="A28" s="33" t="n">
        <v>25</v>
      </c>
      <c r="B28" s="35" t="n">
        <v>46228</v>
      </c>
      <c r="C28" s="300" t="n"/>
      <c r="D28" s="370">
        <f>'BQ Anh CT'!AB8</f>
        <v/>
      </c>
      <c r="E28" s="321" t="n">
        <v>5</v>
      </c>
      <c r="F28" s="313">
        <f>I28-H28</f>
        <v/>
      </c>
      <c r="G28" s="50">
        <f>IFERROR(D28/F28,0)</f>
        <v/>
      </c>
      <c r="H28" s="312" t="n">
        <v>5900000</v>
      </c>
      <c r="I28" s="312" t="n">
        <v>16375000</v>
      </c>
    </row>
    <row r="29" ht="14.4" customHeight="1" s="405">
      <c r="A29" s="52" t="n">
        <v>26</v>
      </c>
      <c r="B29" s="54" t="n">
        <v>46229</v>
      </c>
      <c r="C29" s="307" t="n"/>
      <c r="D29" s="371">
        <f>'BQ Anh CT'!AC8</f>
        <v/>
      </c>
      <c r="E29" s="320" t="n">
        <v>7</v>
      </c>
      <c r="F29" s="311" t="n">
        <v>22085000</v>
      </c>
      <c r="G29" s="62">
        <f>IFERROR(D29/F29,0)</f>
        <v/>
      </c>
    </row>
    <row r="30" ht="14.4" customHeight="1" s="405">
      <c r="A30" s="33" t="n">
        <v>27</v>
      </c>
      <c r="B30" s="35" t="n">
        <v>46230</v>
      </c>
      <c r="C30" s="300" t="n"/>
      <c r="D30" s="370">
        <f>'BQ Anh CT'!AD8</f>
        <v/>
      </c>
      <c r="E30" s="321" t="n">
        <v>4</v>
      </c>
      <c r="F30" s="313" t="n">
        <v>15455000</v>
      </c>
      <c r="G30" s="50">
        <f>IFERROR(D30/F30,0)</f>
        <v/>
      </c>
    </row>
    <row r="31" ht="14.4" customHeight="1" s="405">
      <c r="A31" s="52" t="n">
        <v>28</v>
      </c>
      <c r="B31" s="54" t="n">
        <v>46231</v>
      </c>
      <c r="C31" s="307" t="n"/>
      <c r="D31" s="371">
        <f>'BQ Anh CT'!AE8</f>
        <v/>
      </c>
      <c r="E31" s="320" t="n">
        <v>3</v>
      </c>
      <c r="F31" s="311" t="n">
        <v>10425000</v>
      </c>
      <c r="G31" s="62">
        <f>IFERROR(D31/F31,0)</f>
        <v/>
      </c>
    </row>
    <row r="32" ht="14.4" customHeight="1" s="405">
      <c r="A32" s="33" t="n">
        <v>29</v>
      </c>
      <c r="B32" s="35" t="n">
        <v>46232</v>
      </c>
      <c r="C32" s="300" t="n"/>
      <c r="D32" s="370">
        <f>'BQ Anh CT'!AF8</f>
        <v/>
      </c>
      <c r="E32" s="321" t="n">
        <v>8</v>
      </c>
      <c r="F32" s="313" t="n">
        <v>25685000</v>
      </c>
      <c r="G32" s="50">
        <f>IFERROR(D32/F32,0)</f>
        <v/>
      </c>
    </row>
    <row r="33" ht="14.4" customHeight="1" s="405">
      <c r="A33" s="52" t="n">
        <v>30</v>
      </c>
      <c r="B33" s="54" t="n">
        <v>46233</v>
      </c>
      <c r="C33" s="307" t="n"/>
      <c r="D33" s="371">
        <f>'BQ Anh CT'!AG8</f>
        <v/>
      </c>
      <c r="E33" s="320" t="n">
        <v>4</v>
      </c>
      <c r="F33" s="311" t="n">
        <v>12680000</v>
      </c>
      <c r="G33" s="62">
        <f>IFERROR(D33/F33,0)</f>
        <v/>
      </c>
    </row>
    <row r="34" ht="14.4" customHeight="1" s="405">
      <c r="A34" s="33" t="n">
        <v>31</v>
      </c>
      <c r="B34" s="35" t="n">
        <v>46234</v>
      </c>
      <c r="C34" s="300" t="n"/>
      <c r="D34" s="370">
        <f>'BQ Anh CT'!AH8</f>
        <v/>
      </c>
      <c r="E34" s="321" t="n">
        <v>3</v>
      </c>
      <c r="F34" s="313" t="n">
        <v>10839696</v>
      </c>
      <c r="G34" s="50">
        <f>IFERROR(D34/F34,0)</f>
        <v/>
      </c>
    </row>
    <row r="35" ht="14.4" customHeight="1" s="405">
      <c r="A35" s="325" t="n"/>
      <c r="B35" s="322" t="inlineStr">
        <is>
          <t>Hotline</t>
        </is>
      </c>
      <c r="C35" s="116" t="n"/>
      <c r="D35" s="307" t="n"/>
      <c r="E35" s="325" t="n"/>
      <c r="F35" s="323" t="n">
        <v>57612186</v>
      </c>
      <c r="G35" s="265" t="n"/>
    </row>
    <row r="36" ht="13.2" customHeight="1" s="405">
      <c r="B36" s="117" t="n"/>
    </row>
    <row r="37" ht="13.2" customHeight="1" s="405">
      <c r="B37" s="117" t="n"/>
    </row>
    <row r="38" ht="13.2" customHeight="1" s="405">
      <c r="B38" s="117" t="n"/>
    </row>
    <row r="39" ht="13.2" customHeight="1" s="405">
      <c r="B39" s="117" t="n"/>
    </row>
    <row r="40" ht="13.2" customHeight="1" s="405">
      <c r="B40" s="117" t="n"/>
    </row>
    <row r="41" ht="13.2" customHeight="1" s="405">
      <c r="B41" s="117" t="n"/>
    </row>
    <row r="42" ht="13.2" customHeight="1" s="405">
      <c r="B42" s="117" t="n"/>
    </row>
    <row r="43" ht="13.2" customHeight="1" s="405">
      <c r="B43" s="117" t="n"/>
    </row>
    <row r="44" ht="13.2" customHeight="1" s="405">
      <c r="B44" s="117" t="n"/>
    </row>
    <row r="45" ht="13.2" customHeight="1" s="405">
      <c r="B45" s="117" t="n"/>
    </row>
    <row r="46" ht="13.2" customHeight="1" s="405">
      <c r="B46" s="117" t="n"/>
    </row>
    <row r="47" ht="13.2" customHeight="1" s="405">
      <c r="B47" s="117" t="n"/>
    </row>
    <row r="48" ht="13.2" customHeight="1" s="405">
      <c r="B48" s="117" t="n"/>
    </row>
    <row r="49" ht="13.2" customHeight="1" s="405">
      <c r="B49" s="117" t="n"/>
    </row>
    <row r="50" ht="13.2" customHeight="1" s="405">
      <c r="B50" s="117" t="n"/>
    </row>
    <row r="51" ht="13.2" customHeight="1" s="405">
      <c r="B51" s="117" t="n"/>
    </row>
    <row r="52" ht="13.2" customHeight="1" s="405">
      <c r="B52" s="117" t="n"/>
    </row>
    <row r="53" ht="13.2" customHeight="1" s="405">
      <c r="B53" s="117" t="n"/>
    </row>
    <row r="54" ht="13.2" customHeight="1" s="405">
      <c r="B54" s="117" t="n"/>
    </row>
    <row r="55" ht="13.2" customHeight="1" s="405">
      <c r="B55" s="117" t="n"/>
    </row>
    <row r="56" ht="13.2" customHeight="1" s="405">
      <c r="B56" s="117" t="n"/>
    </row>
    <row r="57" ht="13.2" customHeight="1" s="405">
      <c r="B57" s="117" t="n"/>
    </row>
    <row r="58" ht="13.2" customHeight="1" s="405">
      <c r="B58" s="117" t="n"/>
    </row>
    <row r="59" ht="13.2" customHeight="1" s="405">
      <c r="B59" s="117" t="n"/>
    </row>
    <row r="60" ht="13.2" customHeight="1" s="405">
      <c r="B60" s="117" t="n"/>
    </row>
    <row r="61" ht="13.2" customHeight="1" s="405">
      <c r="B61" s="117" t="n"/>
    </row>
    <row r="62" ht="13.2" customHeight="1" s="405">
      <c r="B62" s="117" t="n"/>
    </row>
    <row r="63" ht="13.2" customHeight="1" s="405">
      <c r="B63" s="117" t="n"/>
    </row>
    <row r="64" ht="13.2" customHeight="1" s="405">
      <c r="B64" s="117" t="n"/>
    </row>
    <row r="65" ht="13.2" customHeight="1" s="405">
      <c r="B65" s="117" t="n"/>
    </row>
    <row r="66" ht="13.2" customHeight="1" s="405">
      <c r="B66" s="117" t="n"/>
    </row>
    <row r="67" ht="13.2" customHeight="1" s="405">
      <c r="B67" s="117" t="n"/>
    </row>
    <row r="68" ht="13.2" customHeight="1" s="405">
      <c r="B68" s="117" t="n"/>
    </row>
    <row r="69" ht="13.2" customHeight="1" s="405">
      <c r="B69" s="117" t="n"/>
    </row>
    <row r="70" ht="13.2" customHeight="1" s="405">
      <c r="B70" s="117" t="n"/>
    </row>
    <row r="71" ht="13.2" customHeight="1" s="405">
      <c r="B71" s="117" t="n"/>
    </row>
    <row r="72" ht="13.2" customHeight="1" s="405">
      <c r="B72" s="117" t="n"/>
    </row>
    <row r="73" ht="13.2" customHeight="1" s="405">
      <c r="B73" s="117" t="n"/>
    </row>
    <row r="74" ht="13.2" customHeight="1" s="405">
      <c r="B74" s="117" t="n"/>
    </row>
    <row r="75" ht="13.2" customHeight="1" s="405">
      <c r="B75" s="117" t="n"/>
    </row>
    <row r="76" ht="13.2" customHeight="1" s="405">
      <c r="B76" s="117" t="n"/>
    </row>
    <row r="77" ht="13.2" customHeight="1" s="405">
      <c r="B77" s="117" t="n"/>
    </row>
    <row r="78" ht="13.2" customHeight="1" s="405">
      <c r="B78" s="117" t="n"/>
    </row>
    <row r="79" ht="13.2" customHeight="1" s="405">
      <c r="B79" s="117" t="n"/>
    </row>
    <row r="80" ht="13.2" customHeight="1" s="405">
      <c r="B80" s="117" t="n"/>
    </row>
    <row r="81" ht="13.2" customHeight="1" s="405">
      <c r="B81" s="117" t="n"/>
    </row>
    <row r="82" ht="13.2" customHeight="1" s="405">
      <c r="B82" s="117" t="n"/>
    </row>
    <row r="83" ht="13.2" customHeight="1" s="405">
      <c r="B83" s="117" t="n"/>
    </row>
    <row r="84" ht="13.2" customHeight="1" s="405">
      <c r="B84" s="117" t="n"/>
    </row>
    <row r="85" ht="13.2" customHeight="1" s="405">
      <c r="B85" s="117" t="n"/>
    </row>
    <row r="86" ht="13.2" customHeight="1" s="405">
      <c r="B86" s="117" t="n"/>
    </row>
    <row r="87" ht="13.2" customHeight="1" s="405">
      <c r="B87" s="117" t="n"/>
    </row>
    <row r="88" ht="13.2" customHeight="1" s="405">
      <c r="B88" s="117" t="n"/>
    </row>
    <row r="89" ht="13.2" customHeight="1" s="405">
      <c r="B89" s="117" t="n"/>
    </row>
    <row r="90" ht="13.2" customHeight="1" s="405">
      <c r="B90" s="117" t="n"/>
    </row>
    <row r="91" ht="13.2" customHeight="1" s="405">
      <c r="B91" s="117" t="n"/>
    </row>
    <row r="92" ht="13.2" customHeight="1" s="405">
      <c r="B92" s="117" t="n"/>
    </row>
    <row r="93" ht="13.2" customHeight="1" s="405">
      <c r="B93" s="117" t="n"/>
    </row>
    <row r="94" ht="13.2" customHeight="1" s="405">
      <c r="B94" s="117" t="n"/>
    </row>
    <row r="95" ht="13.2" customHeight="1" s="405">
      <c r="B95" s="117" t="n"/>
    </row>
    <row r="96" ht="13.2" customHeight="1" s="405">
      <c r="B96" s="117" t="n"/>
    </row>
    <row r="97" ht="13.2" customHeight="1" s="405">
      <c r="B97" s="117" t="n"/>
    </row>
    <row r="98" ht="13.2" customHeight="1" s="405">
      <c r="B98" s="117" t="n"/>
    </row>
    <row r="99" ht="13.2" customHeight="1" s="405">
      <c r="B99" s="117" t="n"/>
    </row>
    <row r="100" ht="13.2" customHeight="1" s="405">
      <c r="B100" s="117" t="n"/>
    </row>
    <row r="101" ht="13.2" customHeight="1" s="405">
      <c r="B101" s="117" t="n"/>
    </row>
    <row r="102" ht="13.2" customHeight="1" s="405">
      <c r="B102" s="117" t="n"/>
    </row>
    <row r="103" ht="13.2" customHeight="1" s="405">
      <c r="B103" s="117" t="n"/>
    </row>
    <row r="104" ht="13.2" customHeight="1" s="405">
      <c r="B104" s="117" t="n"/>
    </row>
    <row r="105" ht="13.2" customHeight="1" s="405">
      <c r="B105" s="117" t="n"/>
    </row>
    <row r="106" ht="13.2" customHeight="1" s="405">
      <c r="B106" s="117" t="n"/>
    </row>
    <row r="107" ht="13.2" customHeight="1" s="405">
      <c r="B107" s="117" t="n"/>
    </row>
    <row r="108" ht="13.2" customHeight="1" s="405">
      <c r="B108" s="117" t="n"/>
    </row>
    <row r="109" ht="13.2" customHeight="1" s="405">
      <c r="B109" s="117" t="n"/>
    </row>
    <row r="110" ht="13.2" customHeight="1" s="405">
      <c r="B110" s="117" t="n"/>
    </row>
    <row r="111" ht="13.2" customHeight="1" s="405">
      <c r="B111" s="117" t="n"/>
    </row>
    <row r="112" ht="13.2" customHeight="1" s="405">
      <c r="B112" s="117" t="n"/>
    </row>
    <row r="113" ht="13.2" customHeight="1" s="405">
      <c r="B113" s="117" t="n"/>
    </row>
    <row r="114" ht="13.2" customHeight="1" s="405">
      <c r="B114" s="117" t="n"/>
    </row>
    <row r="115" ht="13.2" customHeight="1" s="405">
      <c r="B115" s="117" t="n"/>
    </row>
    <row r="116" ht="13.2" customHeight="1" s="405">
      <c r="B116" s="117" t="n"/>
    </row>
    <row r="117" ht="13.2" customHeight="1" s="405">
      <c r="B117" s="117" t="n"/>
    </row>
    <row r="118" ht="13.2" customHeight="1" s="405">
      <c r="B118" s="117" t="n"/>
    </row>
    <row r="119" ht="13.2" customHeight="1" s="405">
      <c r="B119" s="117" t="n"/>
    </row>
    <row r="120" ht="13.2" customHeight="1" s="405">
      <c r="B120" s="117" t="n"/>
    </row>
    <row r="121" ht="13.2" customHeight="1" s="405">
      <c r="B121" s="117" t="n"/>
    </row>
    <row r="122" ht="13.2" customHeight="1" s="405">
      <c r="B122" s="117" t="n"/>
    </row>
    <row r="123" ht="13.2" customHeight="1" s="405">
      <c r="B123" s="117" t="n"/>
    </row>
    <row r="124" ht="13.2" customHeight="1" s="405">
      <c r="B124" s="117" t="n"/>
    </row>
    <row r="125" ht="13.2" customHeight="1" s="405">
      <c r="B125" s="117" t="n"/>
    </row>
    <row r="126" ht="13.2" customHeight="1" s="405">
      <c r="B126" s="117" t="n"/>
    </row>
    <row r="127" ht="13.2" customHeight="1" s="405">
      <c r="B127" s="117" t="n"/>
    </row>
    <row r="128" ht="13.2" customHeight="1" s="405">
      <c r="B128" s="117" t="n"/>
    </row>
    <row r="129" ht="13.2" customHeight="1" s="405">
      <c r="B129" s="117" t="n"/>
    </row>
    <row r="130" ht="13.2" customHeight="1" s="405">
      <c r="B130" s="117" t="n"/>
    </row>
    <row r="131" ht="13.2" customHeight="1" s="405">
      <c r="B131" s="117" t="n"/>
    </row>
    <row r="132" ht="13.2" customHeight="1" s="405">
      <c r="B132" s="117" t="n"/>
    </row>
    <row r="133" ht="13.2" customHeight="1" s="405">
      <c r="B133" s="117" t="n"/>
    </row>
    <row r="134" ht="13.2" customHeight="1" s="405">
      <c r="B134" s="117" t="n"/>
    </row>
    <row r="135" ht="13.2" customHeight="1" s="405">
      <c r="B135" s="117" t="n"/>
    </row>
    <row r="136" ht="13.2" customHeight="1" s="405">
      <c r="B136" s="117" t="n"/>
    </row>
    <row r="137" ht="13.2" customHeight="1" s="405">
      <c r="B137" s="117" t="n"/>
    </row>
    <row r="138" ht="13.2" customHeight="1" s="405">
      <c r="B138" s="117" t="n"/>
    </row>
    <row r="139" ht="13.2" customHeight="1" s="405">
      <c r="B139" s="117" t="n"/>
    </row>
    <row r="140" ht="13.2" customHeight="1" s="405">
      <c r="B140" s="117" t="n"/>
    </row>
    <row r="141" ht="13.2" customHeight="1" s="405">
      <c r="B141" s="117" t="n"/>
    </row>
    <row r="142" ht="13.2" customHeight="1" s="405">
      <c r="B142" s="117" t="n"/>
    </row>
    <row r="143" ht="13.2" customHeight="1" s="405">
      <c r="B143" s="117" t="n"/>
    </row>
    <row r="144" ht="13.2" customHeight="1" s="405">
      <c r="B144" s="117" t="n"/>
    </row>
    <row r="145" ht="13.2" customHeight="1" s="405">
      <c r="B145" s="117" t="n"/>
    </row>
    <row r="146" ht="13.2" customHeight="1" s="405">
      <c r="B146" s="117" t="n"/>
    </row>
    <row r="147" ht="13.2" customHeight="1" s="405">
      <c r="B147" s="117" t="n"/>
    </row>
    <row r="148" ht="13.2" customHeight="1" s="405">
      <c r="B148" s="117" t="n"/>
    </row>
    <row r="149" ht="13.2" customHeight="1" s="405">
      <c r="B149" s="117" t="n"/>
    </row>
    <row r="150" ht="13.2" customHeight="1" s="405">
      <c r="B150" s="117" t="n"/>
    </row>
    <row r="151" ht="13.2" customHeight="1" s="405">
      <c r="B151" s="117" t="n"/>
    </row>
    <row r="152" ht="13.2" customHeight="1" s="405">
      <c r="B152" s="117" t="n"/>
    </row>
    <row r="153" ht="13.2" customHeight="1" s="405">
      <c r="B153" s="117" t="n"/>
    </row>
    <row r="154" ht="13.2" customHeight="1" s="405">
      <c r="B154" s="117" t="n"/>
    </row>
    <row r="155" ht="13.2" customHeight="1" s="405">
      <c r="B155" s="117" t="n"/>
    </row>
    <row r="156" ht="13.2" customHeight="1" s="405">
      <c r="B156" s="117" t="n"/>
    </row>
    <row r="157" ht="13.2" customHeight="1" s="405">
      <c r="B157" s="117" t="n"/>
    </row>
    <row r="158" ht="13.2" customHeight="1" s="405">
      <c r="B158" s="117" t="n"/>
    </row>
    <row r="159" ht="13.2" customHeight="1" s="405">
      <c r="B159" s="117" t="n"/>
    </row>
    <row r="160" ht="13.2" customHeight="1" s="405">
      <c r="B160" s="117" t="n"/>
    </row>
    <row r="161" ht="13.2" customHeight="1" s="405">
      <c r="B161" s="117" t="n"/>
    </row>
    <row r="162" ht="13.2" customHeight="1" s="405">
      <c r="B162" s="117" t="n"/>
    </row>
    <row r="163" ht="13.2" customHeight="1" s="405">
      <c r="B163" s="117" t="n"/>
    </row>
    <row r="164" ht="13.2" customHeight="1" s="405">
      <c r="B164" s="117" t="n"/>
    </row>
    <row r="165" ht="13.2" customHeight="1" s="405">
      <c r="B165" s="117" t="n"/>
    </row>
    <row r="166" ht="13.2" customHeight="1" s="405">
      <c r="B166" s="117" t="n"/>
    </row>
    <row r="167" ht="13.2" customHeight="1" s="405">
      <c r="B167" s="117" t="n"/>
    </row>
    <row r="168" ht="13.2" customHeight="1" s="405">
      <c r="B168" s="117" t="n"/>
    </row>
    <row r="169" ht="13.2" customHeight="1" s="405">
      <c r="B169" s="117" t="n"/>
    </row>
    <row r="170" ht="13.2" customHeight="1" s="405">
      <c r="B170" s="117" t="n"/>
    </row>
    <row r="171" ht="13.2" customHeight="1" s="405">
      <c r="B171" s="117" t="n"/>
    </row>
    <row r="172" ht="13.2" customHeight="1" s="405">
      <c r="B172" s="117" t="n"/>
    </row>
    <row r="173" ht="13.2" customHeight="1" s="405">
      <c r="B173" s="117" t="n"/>
    </row>
    <row r="174" ht="13.2" customHeight="1" s="405">
      <c r="B174" s="117" t="n"/>
    </row>
    <row r="175" ht="13.2" customHeight="1" s="405">
      <c r="B175" s="117" t="n"/>
    </row>
    <row r="176" ht="13.2" customHeight="1" s="405">
      <c r="B176" s="117" t="n"/>
    </row>
    <row r="177" ht="13.2" customHeight="1" s="405">
      <c r="B177" s="117" t="n"/>
    </row>
    <row r="178" ht="13.2" customHeight="1" s="405">
      <c r="B178" s="117" t="n"/>
    </row>
    <row r="179" ht="13.2" customHeight="1" s="405">
      <c r="B179" s="117" t="n"/>
    </row>
    <row r="180" ht="13.2" customHeight="1" s="405">
      <c r="B180" s="117" t="n"/>
    </row>
    <row r="181" ht="13.2" customHeight="1" s="405">
      <c r="B181" s="117" t="n"/>
    </row>
    <row r="182" ht="13.2" customHeight="1" s="405">
      <c r="B182" s="117" t="n"/>
    </row>
    <row r="183" ht="13.2" customHeight="1" s="405">
      <c r="B183" s="117" t="n"/>
    </row>
    <row r="184" ht="13.2" customHeight="1" s="405">
      <c r="B184" s="117" t="n"/>
    </row>
    <row r="185" ht="13.2" customHeight="1" s="405">
      <c r="B185" s="117" t="n"/>
    </row>
    <row r="186" ht="13.2" customHeight="1" s="405">
      <c r="B186" s="117" t="n"/>
    </row>
    <row r="187" ht="13.2" customHeight="1" s="405">
      <c r="B187" s="117" t="n"/>
    </row>
    <row r="188" ht="13.2" customHeight="1" s="405">
      <c r="B188" s="117" t="n"/>
    </row>
    <row r="189" ht="13.2" customHeight="1" s="405">
      <c r="B189" s="117" t="n"/>
    </row>
    <row r="190" ht="13.2" customHeight="1" s="405">
      <c r="B190" s="117" t="n"/>
    </row>
    <row r="191" ht="13.2" customHeight="1" s="405">
      <c r="B191" s="117" t="n"/>
    </row>
    <row r="192" ht="13.2" customHeight="1" s="405">
      <c r="B192" s="117" t="n"/>
    </row>
    <row r="193" ht="13.2" customHeight="1" s="405">
      <c r="B193" s="117" t="n"/>
    </row>
    <row r="194" ht="13.2" customHeight="1" s="405">
      <c r="B194" s="117" t="n"/>
    </row>
    <row r="195" ht="13.2" customHeight="1" s="405">
      <c r="B195" s="117" t="n"/>
    </row>
    <row r="196" ht="13.2" customHeight="1" s="405">
      <c r="B196" s="117" t="n"/>
    </row>
    <row r="197" ht="13.2" customHeight="1" s="405">
      <c r="B197" s="117" t="n"/>
    </row>
    <row r="198" ht="13.2" customHeight="1" s="405">
      <c r="B198" s="117" t="n"/>
    </row>
    <row r="199" ht="13.2" customHeight="1" s="405">
      <c r="B199" s="117" t="n"/>
    </row>
    <row r="200" ht="13.2" customHeight="1" s="405">
      <c r="B200" s="117" t="n"/>
    </row>
    <row r="201" ht="13.2" customHeight="1" s="405">
      <c r="B201" s="117" t="n"/>
    </row>
    <row r="202" ht="13.2" customHeight="1" s="405">
      <c r="B202" s="117" t="n"/>
    </row>
    <row r="203" ht="13.2" customHeight="1" s="405">
      <c r="B203" s="117" t="n"/>
    </row>
    <row r="204" ht="13.2" customHeight="1" s="405">
      <c r="B204" s="117" t="n"/>
    </row>
    <row r="205" ht="13.2" customHeight="1" s="405">
      <c r="B205" s="117" t="n"/>
    </row>
    <row r="206" ht="13.2" customHeight="1" s="405">
      <c r="B206" s="117" t="n"/>
    </row>
    <row r="207" ht="13.2" customHeight="1" s="405">
      <c r="B207" s="117" t="n"/>
    </row>
    <row r="208" ht="13.2" customHeight="1" s="405">
      <c r="B208" s="117" t="n"/>
    </row>
    <row r="209" ht="13.2" customHeight="1" s="405">
      <c r="B209" s="117" t="n"/>
    </row>
    <row r="210" ht="13.2" customHeight="1" s="405">
      <c r="B210" s="117" t="n"/>
    </row>
    <row r="211" ht="13.2" customHeight="1" s="405">
      <c r="B211" s="117" t="n"/>
    </row>
    <row r="212" ht="13.2" customHeight="1" s="405">
      <c r="B212" s="117" t="n"/>
    </row>
    <row r="213" ht="13.2" customHeight="1" s="405">
      <c r="B213" s="117" t="n"/>
    </row>
    <row r="214" ht="13.2" customHeight="1" s="405">
      <c r="B214" s="117" t="n"/>
    </row>
    <row r="215" ht="13.2" customHeight="1" s="405">
      <c r="B215" s="117" t="n"/>
    </row>
    <row r="216" ht="13.2" customHeight="1" s="405">
      <c r="B216" s="117" t="n"/>
    </row>
    <row r="217" ht="13.2" customHeight="1" s="405">
      <c r="B217" s="117" t="n"/>
    </row>
    <row r="218" ht="13.2" customHeight="1" s="405">
      <c r="B218" s="117" t="n"/>
    </row>
    <row r="219" ht="13.2" customHeight="1" s="405">
      <c r="B219" s="117" t="n"/>
    </row>
    <row r="220" ht="13.2" customHeight="1" s="405">
      <c r="B220" s="117" t="n"/>
    </row>
    <row r="221" ht="13.2" customHeight="1" s="405">
      <c r="B221" s="117" t="n"/>
    </row>
    <row r="222" ht="13.2" customHeight="1" s="405">
      <c r="B222" s="117" t="n"/>
    </row>
    <row r="223" ht="13.2" customHeight="1" s="405">
      <c r="B223" s="117" t="n"/>
    </row>
    <row r="224" ht="13.2" customHeight="1" s="405">
      <c r="B224" s="117" t="n"/>
    </row>
    <row r="225" ht="13.2" customHeight="1" s="405">
      <c r="B225" s="117" t="n"/>
    </row>
    <row r="226" ht="13.2" customHeight="1" s="405">
      <c r="B226" s="117" t="n"/>
    </row>
    <row r="227" ht="13.2" customHeight="1" s="405">
      <c r="B227" s="117" t="n"/>
    </row>
    <row r="228" ht="13.2" customHeight="1" s="405">
      <c r="B228" s="117" t="n"/>
    </row>
    <row r="229" ht="13.2" customHeight="1" s="405">
      <c r="B229" s="117" t="n"/>
    </row>
    <row r="230" ht="13.2" customHeight="1" s="405">
      <c r="B230" s="117" t="n"/>
    </row>
    <row r="231" ht="13.2" customHeight="1" s="405">
      <c r="B231" s="117" t="n"/>
    </row>
    <row r="232" ht="13.2" customHeight="1" s="405">
      <c r="B232" s="117" t="n"/>
    </row>
    <row r="233" ht="13.2" customHeight="1" s="405">
      <c r="B233" s="117" t="n"/>
    </row>
    <row r="234" ht="13.2" customHeight="1" s="405">
      <c r="B234" s="117" t="n"/>
    </row>
    <row r="235" ht="13.2" customHeight="1" s="405">
      <c r="B235" s="117" t="n"/>
    </row>
    <row r="236" ht="13.2" customHeight="1" s="405">
      <c r="B236" s="117" t="n"/>
    </row>
    <row r="237" ht="13.2" customHeight="1" s="405">
      <c r="B237" s="117" t="n"/>
    </row>
    <row r="238" ht="13.2" customHeight="1" s="405">
      <c r="B238" s="117" t="n"/>
    </row>
    <row r="239" ht="13.2" customHeight="1" s="405">
      <c r="B239" s="117" t="n"/>
    </row>
    <row r="240" ht="13.2" customHeight="1" s="405">
      <c r="B240" s="117" t="n"/>
    </row>
    <row r="241" ht="13.2" customHeight="1" s="405">
      <c r="B241" s="117" t="n"/>
    </row>
    <row r="242" ht="13.2" customHeight="1" s="405">
      <c r="B242" s="117" t="n"/>
    </row>
    <row r="243" ht="13.2" customHeight="1" s="405">
      <c r="B243" s="117" t="n"/>
    </row>
    <row r="244" ht="13.2" customHeight="1" s="405">
      <c r="B244" s="117" t="n"/>
    </row>
    <row r="245" ht="13.2" customHeight="1" s="405">
      <c r="B245" s="117" t="n"/>
    </row>
    <row r="246" ht="13.2" customHeight="1" s="405">
      <c r="B246" s="117" t="n"/>
    </row>
    <row r="247" ht="13.2" customHeight="1" s="405">
      <c r="B247" s="117" t="n"/>
    </row>
    <row r="248" ht="13.2" customHeight="1" s="405">
      <c r="B248" s="117" t="n"/>
    </row>
    <row r="249" ht="13.2" customHeight="1" s="405">
      <c r="B249" s="117" t="n"/>
    </row>
    <row r="250" ht="13.2" customHeight="1" s="405">
      <c r="B250" s="117" t="n"/>
    </row>
    <row r="251" ht="13.2" customHeight="1" s="405">
      <c r="B251" s="117" t="n"/>
    </row>
    <row r="252" ht="13.2" customHeight="1" s="405">
      <c r="B252" s="117" t="n"/>
    </row>
    <row r="253" ht="13.2" customHeight="1" s="405">
      <c r="B253" s="117" t="n"/>
    </row>
    <row r="254" ht="13.2" customHeight="1" s="405">
      <c r="B254" s="117" t="n"/>
    </row>
    <row r="255" ht="13.2" customHeight="1" s="405">
      <c r="B255" s="117" t="n"/>
    </row>
    <row r="256" ht="13.2" customHeight="1" s="405">
      <c r="B256" s="117" t="n"/>
    </row>
    <row r="257" ht="13.2" customHeight="1" s="405">
      <c r="B257" s="117" t="n"/>
    </row>
    <row r="258" ht="13.2" customHeight="1" s="405">
      <c r="B258" s="117" t="n"/>
    </row>
    <row r="259" ht="13.2" customHeight="1" s="405">
      <c r="B259" s="117" t="n"/>
    </row>
    <row r="260" ht="13.2" customHeight="1" s="405">
      <c r="B260" s="117" t="n"/>
    </row>
    <row r="261" ht="13.2" customHeight="1" s="405">
      <c r="B261" s="117" t="n"/>
    </row>
    <row r="262" ht="13.2" customHeight="1" s="405">
      <c r="B262" s="117" t="n"/>
    </row>
    <row r="263" ht="13.2" customHeight="1" s="405">
      <c r="B263" s="117" t="n"/>
    </row>
    <row r="264" ht="13.2" customHeight="1" s="405">
      <c r="B264" s="117" t="n"/>
    </row>
    <row r="265" ht="13.2" customHeight="1" s="405">
      <c r="B265" s="117" t="n"/>
    </row>
    <row r="266" ht="13.2" customHeight="1" s="405">
      <c r="B266" s="117" t="n"/>
    </row>
    <row r="267" ht="13.2" customHeight="1" s="405">
      <c r="B267" s="117" t="n"/>
    </row>
    <row r="268" ht="13.2" customHeight="1" s="405">
      <c r="B268" s="117" t="n"/>
    </row>
    <row r="269" ht="13.2" customHeight="1" s="405">
      <c r="B269" s="117" t="n"/>
    </row>
    <row r="270" ht="13.2" customHeight="1" s="405">
      <c r="B270" s="117" t="n"/>
    </row>
    <row r="271" ht="13.2" customHeight="1" s="405">
      <c r="B271" s="117" t="n"/>
    </row>
    <row r="272" ht="13.2" customHeight="1" s="405">
      <c r="B272" s="117" t="n"/>
    </row>
    <row r="273" ht="13.2" customHeight="1" s="405">
      <c r="B273" s="117" t="n"/>
    </row>
    <row r="274" ht="13.2" customHeight="1" s="405">
      <c r="B274" s="117" t="n"/>
    </row>
    <row r="275" ht="13.2" customHeight="1" s="405">
      <c r="B275" s="117" t="n"/>
    </row>
    <row r="276" ht="13.2" customHeight="1" s="405">
      <c r="B276" s="117" t="n"/>
    </row>
    <row r="277" ht="13.2" customHeight="1" s="405">
      <c r="B277" s="117" t="n"/>
    </row>
    <row r="278" ht="13.2" customHeight="1" s="405">
      <c r="B278" s="117" t="n"/>
    </row>
    <row r="279" ht="13.2" customHeight="1" s="405">
      <c r="B279" s="117" t="n"/>
    </row>
    <row r="280" ht="13.2" customHeight="1" s="405">
      <c r="B280" s="117" t="n"/>
    </row>
    <row r="281" ht="13.2" customHeight="1" s="405">
      <c r="B281" s="117" t="n"/>
    </row>
    <row r="282" ht="13.2" customHeight="1" s="405">
      <c r="B282" s="117" t="n"/>
    </row>
    <row r="283" ht="13.2" customHeight="1" s="405">
      <c r="B283" s="117" t="n"/>
    </row>
    <row r="284" ht="13.2" customHeight="1" s="405">
      <c r="B284" s="117" t="n"/>
    </row>
    <row r="285" ht="13.2" customHeight="1" s="405">
      <c r="B285" s="117" t="n"/>
    </row>
    <row r="286" ht="13.2" customHeight="1" s="405">
      <c r="B286" s="117" t="n"/>
    </row>
    <row r="287" ht="13.2" customHeight="1" s="405">
      <c r="B287" s="117" t="n"/>
    </row>
    <row r="288" ht="13.2" customHeight="1" s="405">
      <c r="B288" s="117" t="n"/>
    </row>
    <row r="289" ht="13.2" customHeight="1" s="405">
      <c r="B289" s="117" t="n"/>
    </row>
    <row r="290" ht="13.2" customHeight="1" s="405">
      <c r="B290" s="117" t="n"/>
    </row>
    <row r="291" ht="13.2" customHeight="1" s="405">
      <c r="B291" s="117" t="n"/>
    </row>
    <row r="292" ht="13.2" customHeight="1" s="405">
      <c r="B292" s="117" t="n"/>
    </row>
    <row r="293" ht="13.2" customHeight="1" s="405">
      <c r="B293" s="117" t="n"/>
    </row>
    <row r="294" ht="13.2" customHeight="1" s="405">
      <c r="B294" s="117" t="n"/>
    </row>
    <row r="295" ht="13.2" customHeight="1" s="405">
      <c r="B295" s="117" t="n"/>
    </row>
    <row r="296" ht="13.2" customHeight="1" s="405">
      <c r="B296" s="117" t="n"/>
    </row>
    <row r="297" ht="13.2" customHeight="1" s="405">
      <c r="B297" s="117" t="n"/>
    </row>
    <row r="298" ht="13.2" customHeight="1" s="405">
      <c r="B298" s="117" t="n"/>
    </row>
    <row r="299" ht="13.2" customHeight="1" s="405">
      <c r="B299" s="117" t="n"/>
    </row>
    <row r="300" ht="13.2" customHeight="1" s="405">
      <c r="B300" s="117" t="n"/>
    </row>
    <row r="301" ht="13.2" customHeight="1" s="405">
      <c r="B301" s="117" t="n"/>
    </row>
    <row r="302" ht="13.2" customHeight="1" s="405">
      <c r="B302" s="117" t="n"/>
    </row>
    <row r="303" ht="13.2" customHeight="1" s="405">
      <c r="B303" s="117" t="n"/>
    </row>
    <row r="304" ht="13.2" customHeight="1" s="405">
      <c r="B304" s="117" t="n"/>
    </row>
    <row r="305" ht="13.2" customHeight="1" s="405">
      <c r="B305" s="117" t="n"/>
    </row>
    <row r="306" ht="13.2" customHeight="1" s="405">
      <c r="B306" s="117" t="n"/>
    </row>
    <row r="307" ht="13.2" customHeight="1" s="405">
      <c r="B307" s="117" t="n"/>
    </row>
    <row r="308" ht="13.2" customHeight="1" s="405">
      <c r="B308" s="117" t="n"/>
    </row>
    <row r="309" ht="13.2" customHeight="1" s="405">
      <c r="B309" s="117" t="n"/>
    </row>
    <row r="310" ht="13.2" customHeight="1" s="405">
      <c r="B310" s="117" t="n"/>
    </row>
    <row r="311" ht="13.2" customHeight="1" s="405">
      <c r="B311" s="117" t="n"/>
    </row>
    <row r="312" ht="13.2" customHeight="1" s="405">
      <c r="B312" s="117" t="n"/>
    </row>
    <row r="313" ht="13.2" customHeight="1" s="405">
      <c r="B313" s="117" t="n"/>
    </row>
    <row r="314" ht="13.2" customHeight="1" s="405">
      <c r="B314" s="117" t="n"/>
    </row>
    <row r="315" ht="13.2" customHeight="1" s="405">
      <c r="B315" s="117" t="n"/>
    </row>
    <row r="316" ht="13.2" customHeight="1" s="405">
      <c r="B316" s="117" t="n"/>
    </row>
    <row r="317" ht="13.2" customHeight="1" s="405">
      <c r="B317" s="117" t="n"/>
    </row>
    <row r="318" ht="13.2" customHeight="1" s="405">
      <c r="B318" s="117" t="n"/>
    </row>
    <row r="319" ht="13.2" customHeight="1" s="405">
      <c r="B319" s="117" t="n"/>
    </row>
    <row r="320" ht="13.2" customHeight="1" s="405">
      <c r="B320" s="117" t="n"/>
    </row>
    <row r="321" ht="13.2" customHeight="1" s="405">
      <c r="B321" s="117" t="n"/>
    </row>
    <row r="322" ht="13.2" customHeight="1" s="405">
      <c r="B322" s="117" t="n"/>
    </row>
    <row r="323" ht="13.2" customHeight="1" s="405">
      <c r="B323" s="117" t="n"/>
    </row>
    <row r="324" ht="13.2" customHeight="1" s="405">
      <c r="B324" s="117" t="n"/>
    </row>
    <row r="325" ht="13.2" customHeight="1" s="405">
      <c r="B325" s="117" t="n"/>
    </row>
    <row r="326" ht="13.2" customHeight="1" s="405">
      <c r="B326" s="117" t="n"/>
    </row>
    <row r="327" ht="13.2" customHeight="1" s="405">
      <c r="B327" s="117" t="n"/>
    </row>
    <row r="328" ht="13.2" customHeight="1" s="405">
      <c r="B328" s="117" t="n"/>
    </row>
    <row r="329" ht="13.2" customHeight="1" s="405">
      <c r="B329" s="117" t="n"/>
    </row>
    <row r="330" ht="13.2" customHeight="1" s="405">
      <c r="B330" s="117" t="n"/>
    </row>
    <row r="331" ht="13.2" customHeight="1" s="405">
      <c r="B331" s="117" t="n"/>
    </row>
    <row r="332" ht="13.2" customHeight="1" s="405">
      <c r="B332" s="117" t="n"/>
    </row>
    <row r="333" ht="13.2" customHeight="1" s="405">
      <c r="B333" s="117" t="n"/>
    </row>
    <row r="334" ht="13.2" customHeight="1" s="405">
      <c r="B334" s="117" t="n"/>
    </row>
    <row r="335" ht="13.2" customHeight="1" s="405">
      <c r="B335" s="117" t="n"/>
    </row>
    <row r="336" ht="13.2" customHeight="1" s="405">
      <c r="B336" s="117" t="n"/>
    </row>
    <row r="337" ht="13.2" customHeight="1" s="405">
      <c r="B337" s="117" t="n"/>
    </row>
    <row r="338" ht="13.2" customHeight="1" s="405">
      <c r="B338" s="117" t="n"/>
    </row>
    <row r="339" ht="13.2" customHeight="1" s="405">
      <c r="B339" s="117" t="n"/>
    </row>
    <row r="340" ht="13.2" customHeight="1" s="405">
      <c r="B340" s="117" t="n"/>
    </row>
    <row r="341" ht="13.2" customHeight="1" s="405">
      <c r="B341" s="117" t="n"/>
    </row>
    <row r="342" ht="13.2" customHeight="1" s="405">
      <c r="B342" s="117" t="n"/>
    </row>
    <row r="343" ht="13.2" customHeight="1" s="405">
      <c r="B343" s="117" t="n"/>
    </row>
    <row r="344" ht="13.2" customHeight="1" s="405">
      <c r="B344" s="117" t="n"/>
    </row>
    <row r="345" ht="13.2" customHeight="1" s="405">
      <c r="B345" s="117" t="n"/>
    </row>
    <row r="346" ht="13.2" customHeight="1" s="405">
      <c r="B346" s="117" t="n"/>
    </row>
    <row r="347" ht="13.2" customHeight="1" s="405">
      <c r="B347" s="117" t="n"/>
    </row>
    <row r="348" ht="13.2" customHeight="1" s="405">
      <c r="B348" s="117" t="n"/>
    </row>
    <row r="349" ht="13.2" customHeight="1" s="405">
      <c r="B349" s="117" t="n"/>
    </row>
    <row r="350" ht="13.2" customHeight="1" s="405">
      <c r="B350" s="117" t="n"/>
    </row>
    <row r="351" ht="13.2" customHeight="1" s="405">
      <c r="B351" s="117" t="n"/>
    </row>
    <row r="352" ht="13.2" customHeight="1" s="405">
      <c r="B352" s="117" t="n"/>
    </row>
    <row r="353" ht="13.2" customHeight="1" s="405">
      <c r="B353" s="117" t="n"/>
    </row>
    <row r="354" ht="13.2" customHeight="1" s="405">
      <c r="B354" s="117" t="n"/>
    </row>
    <row r="355" ht="13.2" customHeight="1" s="405">
      <c r="B355" s="117" t="n"/>
    </row>
    <row r="356" ht="13.2" customHeight="1" s="405">
      <c r="B356" s="117" t="n"/>
    </row>
    <row r="357" ht="13.2" customHeight="1" s="405">
      <c r="B357" s="117" t="n"/>
    </row>
    <row r="358" ht="13.2" customHeight="1" s="405">
      <c r="B358" s="117" t="n"/>
    </row>
    <row r="359" ht="13.2" customHeight="1" s="405">
      <c r="B359" s="117" t="n"/>
    </row>
    <row r="360" ht="13.2" customHeight="1" s="405">
      <c r="B360" s="117" t="n"/>
    </row>
    <row r="361" ht="13.2" customHeight="1" s="405">
      <c r="B361" s="117" t="n"/>
    </row>
    <row r="362" ht="13.2" customHeight="1" s="405">
      <c r="B362" s="117" t="n"/>
    </row>
    <row r="363" ht="13.2" customHeight="1" s="405">
      <c r="B363" s="117" t="n"/>
    </row>
    <row r="364" ht="13.2" customHeight="1" s="405">
      <c r="B364" s="117" t="n"/>
    </row>
    <row r="365" ht="13.2" customHeight="1" s="405">
      <c r="B365" s="117" t="n"/>
    </row>
    <row r="366" ht="13.2" customHeight="1" s="405">
      <c r="B366" s="117" t="n"/>
    </row>
    <row r="367" ht="13.2" customHeight="1" s="405">
      <c r="B367" s="117" t="n"/>
    </row>
    <row r="368" ht="13.2" customHeight="1" s="405">
      <c r="B368" s="117" t="n"/>
    </row>
    <row r="369" ht="13.2" customHeight="1" s="405">
      <c r="B369" s="117" t="n"/>
    </row>
    <row r="370" ht="13.2" customHeight="1" s="405">
      <c r="B370" s="117" t="n"/>
    </row>
    <row r="371" ht="13.2" customHeight="1" s="405">
      <c r="B371" s="117" t="n"/>
    </row>
    <row r="372" ht="13.2" customHeight="1" s="405">
      <c r="B372" s="117" t="n"/>
    </row>
    <row r="373" ht="13.2" customHeight="1" s="405">
      <c r="B373" s="117" t="n"/>
    </row>
    <row r="374" ht="13.2" customHeight="1" s="405">
      <c r="B374" s="117" t="n"/>
    </row>
    <row r="375" ht="13.2" customHeight="1" s="405">
      <c r="B375" s="117" t="n"/>
    </row>
    <row r="376" ht="13.2" customHeight="1" s="405">
      <c r="B376" s="117" t="n"/>
    </row>
    <row r="377" ht="13.2" customHeight="1" s="405">
      <c r="B377" s="117" t="n"/>
    </row>
    <row r="378" ht="13.2" customHeight="1" s="405">
      <c r="B378" s="117" t="n"/>
    </row>
    <row r="379" ht="13.2" customHeight="1" s="405">
      <c r="B379" s="117" t="n"/>
    </row>
    <row r="380" ht="13.2" customHeight="1" s="405">
      <c r="B380" s="117" t="n"/>
    </row>
    <row r="381" ht="13.2" customHeight="1" s="405">
      <c r="B381" s="117" t="n"/>
    </row>
    <row r="382" ht="13.2" customHeight="1" s="405">
      <c r="B382" s="117" t="n"/>
    </row>
    <row r="383" ht="13.2" customHeight="1" s="405">
      <c r="B383" s="117" t="n"/>
    </row>
    <row r="384" ht="13.2" customHeight="1" s="405">
      <c r="B384" s="117" t="n"/>
    </row>
    <row r="385" ht="13.2" customHeight="1" s="405">
      <c r="B385" s="117" t="n"/>
    </row>
    <row r="386" ht="13.2" customHeight="1" s="405">
      <c r="B386" s="117" t="n"/>
    </row>
    <row r="387" ht="13.2" customHeight="1" s="405">
      <c r="B387" s="117" t="n"/>
    </row>
    <row r="388" ht="13.2" customHeight="1" s="405">
      <c r="B388" s="117" t="n"/>
    </row>
    <row r="389" ht="13.2" customHeight="1" s="405">
      <c r="B389" s="117" t="n"/>
    </row>
    <row r="390" ht="13.2" customHeight="1" s="405">
      <c r="B390" s="117" t="n"/>
    </row>
    <row r="391" ht="13.2" customHeight="1" s="405">
      <c r="B391" s="117" t="n"/>
    </row>
    <row r="392" ht="13.2" customHeight="1" s="405">
      <c r="B392" s="117" t="n"/>
    </row>
    <row r="393" ht="13.2" customHeight="1" s="405">
      <c r="B393" s="117" t="n"/>
    </row>
    <row r="394" ht="13.2" customHeight="1" s="405">
      <c r="B394" s="117" t="n"/>
    </row>
    <row r="395" ht="13.2" customHeight="1" s="405">
      <c r="B395" s="117" t="n"/>
    </row>
    <row r="396" ht="13.2" customHeight="1" s="405">
      <c r="B396" s="117" t="n"/>
    </row>
    <row r="397" ht="13.2" customHeight="1" s="405">
      <c r="B397" s="117" t="n"/>
    </row>
    <row r="398" ht="13.2" customHeight="1" s="405">
      <c r="B398" s="117" t="n"/>
    </row>
    <row r="399" ht="13.2" customHeight="1" s="405">
      <c r="B399" s="117" t="n"/>
    </row>
    <row r="400" ht="13.2" customHeight="1" s="405">
      <c r="B400" s="117" t="n"/>
    </row>
    <row r="401" ht="13.2" customHeight="1" s="405">
      <c r="B401" s="117" t="n"/>
    </row>
    <row r="402" ht="13.2" customHeight="1" s="405">
      <c r="B402" s="117" t="n"/>
    </row>
    <row r="403" ht="13.2" customHeight="1" s="405">
      <c r="B403" s="117" t="n"/>
    </row>
    <row r="404" ht="13.2" customHeight="1" s="405">
      <c r="B404" s="117" t="n"/>
    </row>
    <row r="405" ht="13.2" customHeight="1" s="405">
      <c r="B405" s="117" t="n"/>
    </row>
    <row r="406" ht="13.2" customHeight="1" s="405">
      <c r="B406" s="117" t="n"/>
    </row>
    <row r="407" ht="13.2" customHeight="1" s="405">
      <c r="B407" s="117" t="n"/>
    </row>
    <row r="408" ht="13.2" customHeight="1" s="405">
      <c r="B408" s="117" t="n"/>
    </row>
    <row r="409" ht="13.2" customHeight="1" s="405">
      <c r="B409" s="117" t="n"/>
    </row>
    <row r="410" ht="13.2" customHeight="1" s="405">
      <c r="B410" s="117" t="n"/>
    </row>
    <row r="411" ht="13.2" customHeight="1" s="405">
      <c r="B411" s="117" t="n"/>
    </row>
    <row r="412" ht="13.2" customHeight="1" s="405">
      <c r="B412" s="117" t="n"/>
    </row>
    <row r="413" ht="13.2" customHeight="1" s="405">
      <c r="B413" s="117" t="n"/>
    </row>
    <row r="414" ht="13.2" customHeight="1" s="405">
      <c r="B414" s="117" t="n"/>
    </row>
    <row r="415" ht="13.2" customHeight="1" s="405">
      <c r="B415" s="117" t="n"/>
    </row>
    <row r="416" ht="13.2" customHeight="1" s="405">
      <c r="B416" s="117" t="n"/>
    </row>
    <row r="417" ht="13.2" customHeight="1" s="405">
      <c r="B417" s="117" t="n"/>
    </row>
    <row r="418" ht="13.2" customHeight="1" s="405">
      <c r="B418" s="117" t="n"/>
    </row>
    <row r="419" ht="13.2" customHeight="1" s="405">
      <c r="B419" s="117" t="n"/>
    </row>
    <row r="420" ht="13.2" customHeight="1" s="405">
      <c r="B420" s="117" t="n"/>
    </row>
    <row r="421" ht="13.2" customHeight="1" s="405">
      <c r="B421" s="117" t="n"/>
    </row>
    <row r="422" ht="13.2" customHeight="1" s="405">
      <c r="B422" s="117" t="n"/>
    </row>
    <row r="423" ht="13.2" customHeight="1" s="405">
      <c r="B423" s="117" t="n"/>
    </row>
    <row r="424" ht="13.2" customHeight="1" s="405">
      <c r="B424" s="117" t="n"/>
    </row>
    <row r="425" ht="13.2" customHeight="1" s="405">
      <c r="B425" s="117" t="n"/>
    </row>
    <row r="426" ht="13.2" customHeight="1" s="405">
      <c r="B426" s="117" t="n"/>
    </row>
    <row r="427" ht="13.2" customHeight="1" s="405">
      <c r="B427" s="117" t="n"/>
    </row>
    <row r="428" ht="13.2" customHeight="1" s="405">
      <c r="B428" s="117" t="n"/>
    </row>
    <row r="429" ht="13.2" customHeight="1" s="405">
      <c r="B429" s="117" t="n"/>
    </row>
    <row r="430" ht="13.2" customHeight="1" s="405">
      <c r="B430" s="117" t="n"/>
    </row>
    <row r="431" ht="13.2" customHeight="1" s="405">
      <c r="B431" s="117" t="n"/>
    </row>
    <row r="432" ht="13.2" customHeight="1" s="405">
      <c r="B432" s="117" t="n"/>
    </row>
    <row r="433" ht="13.2" customHeight="1" s="405">
      <c r="B433" s="117" t="n"/>
    </row>
    <row r="434" ht="13.2" customHeight="1" s="405">
      <c r="B434" s="117" t="n"/>
    </row>
    <row r="435" ht="13.2" customHeight="1" s="405">
      <c r="B435" s="117" t="n"/>
    </row>
    <row r="436" ht="13.2" customHeight="1" s="405">
      <c r="B436" s="117" t="n"/>
    </row>
    <row r="437" ht="13.2" customHeight="1" s="405">
      <c r="B437" s="117" t="n"/>
    </row>
    <row r="438" ht="13.2" customHeight="1" s="405">
      <c r="B438" s="117" t="n"/>
    </row>
    <row r="439" ht="13.2" customHeight="1" s="405">
      <c r="B439" s="117" t="n"/>
    </row>
    <row r="440" ht="13.2" customHeight="1" s="405">
      <c r="B440" s="117" t="n"/>
    </row>
    <row r="441" ht="13.2" customHeight="1" s="405">
      <c r="B441" s="117" t="n"/>
    </row>
    <row r="442" ht="13.2" customHeight="1" s="405">
      <c r="B442" s="117" t="n"/>
    </row>
    <row r="443" ht="13.2" customHeight="1" s="405">
      <c r="B443" s="117" t="n"/>
    </row>
    <row r="444" ht="13.2" customHeight="1" s="405">
      <c r="B444" s="117" t="n"/>
    </row>
    <row r="445" ht="13.2" customHeight="1" s="405">
      <c r="B445" s="117" t="n"/>
    </row>
    <row r="446" ht="13.2" customHeight="1" s="405">
      <c r="B446" s="117" t="n"/>
    </row>
    <row r="447" ht="13.2" customHeight="1" s="405">
      <c r="B447" s="117" t="n"/>
    </row>
    <row r="448" ht="13.2" customHeight="1" s="405">
      <c r="B448" s="117" t="n"/>
    </row>
    <row r="449" ht="13.2" customHeight="1" s="405">
      <c r="B449" s="117" t="n"/>
    </row>
    <row r="450" ht="13.2" customHeight="1" s="405">
      <c r="B450" s="117" t="n"/>
    </row>
    <row r="451" ht="13.2" customHeight="1" s="405">
      <c r="B451" s="117" t="n"/>
    </row>
    <row r="452" ht="13.2" customHeight="1" s="405">
      <c r="B452" s="117" t="n"/>
    </row>
    <row r="453" ht="13.2" customHeight="1" s="405">
      <c r="B453" s="117" t="n"/>
    </row>
    <row r="454" ht="13.2" customHeight="1" s="405">
      <c r="B454" s="117" t="n"/>
    </row>
    <row r="455" ht="13.2" customHeight="1" s="405">
      <c r="B455" s="117" t="n"/>
    </row>
    <row r="456" ht="13.2" customHeight="1" s="405">
      <c r="B456" s="117" t="n"/>
    </row>
    <row r="457" ht="13.2" customHeight="1" s="405">
      <c r="B457" s="117" t="n"/>
    </row>
    <row r="458" ht="13.2" customHeight="1" s="405">
      <c r="B458" s="117" t="n"/>
    </row>
    <row r="459" ht="13.2" customHeight="1" s="405">
      <c r="B459" s="117" t="n"/>
    </row>
    <row r="460" ht="13.2" customHeight="1" s="405">
      <c r="B460" s="117" t="n"/>
    </row>
    <row r="461" ht="13.2" customHeight="1" s="405">
      <c r="B461" s="117" t="n"/>
    </row>
    <row r="462" ht="13.2" customHeight="1" s="405">
      <c r="B462" s="117" t="n"/>
    </row>
    <row r="463" ht="13.2" customHeight="1" s="405">
      <c r="B463" s="117" t="n"/>
    </row>
    <row r="464" ht="13.2" customHeight="1" s="405">
      <c r="B464" s="117" t="n"/>
    </row>
    <row r="465" ht="13.2" customHeight="1" s="405">
      <c r="B465" s="117" t="n"/>
    </row>
    <row r="466" ht="13.2" customHeight="1" s="405">
      <c r="B466" s="117" t="n"/>
    </row>
    <row r="467" ht="13.2" customHeight="1" s="405">
      <c r="B467" s="117" t="n"/>
    </row>
    <row r="468" ht="13.2" customHeight="1" s="405">
      <c r="B468" s="117" t="n"/>
    </row>
    <row r="469" ht="13.2" customHeight="1" s="405">
      <c r="B469" s="117" t="n"/>
    </row>
    <row r="470" ht="13.2" customHeight="1" s="405">
      <c r="B470" s="117" t="n"/>
    </row>
    <row r="471" ht="13.2" customHeight="1" s="405">
      <c r="B471" s="117" t="n"/>
    </row>
    <row r="472" ht="13.2" customHeight="1" s="405">
      <c r="B472" s="117" t="n"/>
    </row>
    <row r="473" ht="13.2" customHeight="1" s="405">
      <c r="B473" s="117" t="n"/>
    </row>
    <row r="474" ht="13.2" customHeight="1" s="405">
      <c r="B474" s="117" t="n"/>
    </row>
    <row r="475" ht="13.2" customHeight="1" s="405">
      <c r="B475" s="117" t="n"/>
    </row>
    <row r="476" ht="13.2" customHeight="1" s="405">
      <c r="B476" s="117" t="n"/>
    </row>
    <row r="477" ht="13.2" customHeight="1" s="405">
      <c r="B477" s="117" t="n"/>
    </row>
    <row r="478" ht="13.2" customHeight="1" s="405">
      <c r="B478" s="117" t="n"/>
    </row>
    <row r="479" ht="13.2" customHeight="1" s="405">
      <c r="B479" s="117" t="n"/>
    </row>
    <row r="480" ht="13.2" customHeight="1" s="405">
      <c r="B480" s="117" t="n"/>
    </row>
    <row r="481" ht="13.2" customHeight="1" s="405">
      <c r="B481" s="117" t="n"/>
    </row>
    <row r="482" ht="13.2" customHeight="1" s="405">
      <c r="B482" s="117" t="n"/>
    </row>
    <row r="483" ht="13.2" customHeight="1" s="405">
      <c r="B483" s="117" t="n"/>
    </row>
    <row r="484" ht="13.2" customHeight="1" s="405">
      <c r="B484" s="117" t="n"/>
    </row>
    <row r="485" ht="13.2" customHeight="1" s="405">
      <c r="B485" s="117" t="n"/>
    </row>
    <row r="486" ht="13.2" customHeight="1" s="405">
      <c r="B486" s="117" t="n"/>
    </row>
    <row r="487" ht="13.2" customHeight="1" s="405">
      <c r="B487" s="117" t="n"/>
    </row>
    <row r="488" ht="13.2" customHeight="1" s="405">
      <c r="B488" s="117" t="n"/>
    </row>
    <row r="489" ht="13.2" customHeight="1" s="405">
      <c r="B489" s="117" t="n"/>
    </row>
    <row r="490" ht="13.2" customHeight="1" s="405">
      <c r="B490" s="117" t="n"/>
    </row>
    <row r="491" ht="13.2" customHeight="1" s="405">
      <c r="B491" s="117" t="n"/>
    </row>
    <row r="492" ht="13.2" customHeight="1" s="405">
      <c r="B492" s="117" t="n"/>
    </row>
    <row r="493" ht="13.2" customHeight="1" s="405">
      <c r="B493" s="117" t="n"/>
    </row>
    <row r="494" ht="13.2" customHeight="1" s="405">
      <c r="B494" s="117" t="n"/>
    </row>
    <row r="495" ht="13.2" customHeight="1" s="405">
      <c r="B495" s="117" t="n"/>
    </row>
    <row r="496" ht="13.2" customHeight="1" s="405">
      <c r="B496" s="117" t="n"/>
    </row>
    <row r="497" ht="13.2" customHeight="1" s="405">
      <c r="B497" s="117" t="n"/>
    </row>
    <row r="498" ht="13.2" customHeight="1" s="405">
      <c r="B498" s="117" t="n"/>
    </row>
    <row r="499" ht="13.2" customHeight="1" s="405">
      <c r="B499" s="117" t="n"/>
    </row>
    <row r="500" ht="13.2" customHeight="1" s="405">
      <c r="B500" s="117" t="n"/>
    </row>
    <row r="501" ht="13.2" customHeight="1" s="405">
      <c r="B501" s="117" t="n"/>
    </row>
    <row r="502" ht="13.2" customHeight="1" s="405">
      <c r="B502" s="117" t="n"/>
    </row>
    <row r="503" ht="13.2" customHeight="1" s="405">
      <c r="B503" s="117" t="n"/>
    </row>
    <row r="504" ht="13.2" customHeight="1" s="405">
      <c r="B504" s="117" t="n"/>
    </row>
    <row r="505" ht="13.2" customHeight="1" s="405">
      <c r="B505" s="117" t="n"/>
    </row>
    <row r="506" ht="13.2" customHeight="1" s="405">
      <c r="B506" s="117" t="n"/>
    </row>
    <row r="507" ht="13.2" customHeight="1" s="405">
      <c r="B507" s="117" t="n"/>
    </row>
    <row r="508" ht="13.2" customHeight="1" s="405">
      <c r="B508" s="117" t="n"/>
    </row>
    <row r="509" ht="13.2" customHeight="1" s="405">
      <c r="B509" s="117" t="n"/>
    </row>
    <row r="510" ht="13.2" customHeight="1" s="405">
      <c r="B510" s="117" t="n"/>
    </row>
    <row r="511" ht="13.2" customHeight="1" s="405">
      <c r="B511" s="117" t="n"/>
    </row>
    <row r="512" ht="13.2" customHeight="1" s="405">
      <c r="B512" s="117" t="n"/>
    </row>
    <row r="513" ht="13.2" customHeight="1" s="405">
      <c r="B513" s="117" t="n"/>
    </row>
    <row r="514" ht="13.2" customHeight="1" s="405">
      <c r="B514" s="117" t="n"/>
    </row>
    <row r="515" ht="13.2" customHeight="1" s="405">
      <c r="B515" s="117" t="n"/>
    </row>
    <row r="516" ht="13.2" customHeight="1" s="405">
      <c r="B516" s="117" t="n"/>
    </row>
    <row r="517" ht="13.2" customHeight="1" s="405">
      <c r="B517" s="117" t="n"/>
    </row>
    <row r="518" ht="13.2" customHeight="1" s="405">
      <c r="B518" s="117" t="n"/>
    </row>
    <row r="519" ht="13.2" customHeight="1" s="405">
      <c r="B519" s="117" t="n"/>
    </row>
    <row r="520" ht="13.2" customHeight="1" s="405">
      <c r="B520" s="117" t="n"/>
    </row>
    <row r="521" ht="13.2" customHeight="1" s="405">
      <c r="B521" s="117" t="n"/>
    </row>
    <row r="522" ht="13.2" customHeight="1" s="405">
      <c r="B522" s="117" t="n"/>
    </row>
    <row r="523" ht="13.2" customHeight="1" s="405">
      <c r="B523" s="117" t="n"/>
    </row>
    <row r="524" ht="13.2" customHeight="1" s="405">
      <c r="B524" s="117" t="n"/>
    </row>
    <row r="525" ht="13.2" customHeight="1" s="405">
      <c r="B525" s="117" t="n"/>
    </row>
    <row r="526" ht="13.2" customHeight="1" s="405">
      <c r="B526" s="117" t="n"/>
    </row>
    <row r="527" ht="13.2" customHeight="1" s="405">
      <c r="B527" s="117" t="n"/>
    </row>
    <row r="528" ht="13.2" customHeight="1" s="405">
      <c r="B528" s="117" t="n"/>
    </row>
    <row r="529" ht="13.2" customHeight="1" s="405">
      <c r="B529" s="117" t="n"/>
    </row>
    <row r="530" ht="13.2" customHeight="1" s="405">
      <c r="B530" s="117" t="n"/>
    </row>
    <row r="531" ht="13.2" customHeight="1" s="405">
      <c r="B531" s="117" t="n"/>
    </row>
    <row r="532" ht="13.2" customHeight="1" s="405">
      <c r="B532" s="117" t="n"/>
    </row>
    <row r="533" ht="13.2" customHeight="1" s="405">
      <c r="B533" s="117" t="n"/>
    </row>
    <row r="534" ht="13.2" customHeight="1" s="405">
      <c r="B534" s="117" t="n"/>
    </row>
    <row r="535" ht="13.2" customHeight="1" s="405">
      <c r="B535" s="117" t="n"/>
    </row>
    <row r="536" ht="13.2" customHeight="1" s="405">
      <c r="B536" s="117" t="n"/>
    </row>
    <row r="537" ht="13.2" customHeight="1" s="405">
      <c r="B537" s="117" t="n"/>
    </row>
    <row r="538" ht="13.2" customHeight="1" s="405">
      <c r="B538" s="117" t="n"/>
    </row>
    <row r="539" ht="13.2" customHeight="1" s="405">
      <c r="B539" s="117" t="n"/>
    </row>
    <row r="540" ht="13.2" customHeight="1" s="405">
      <c r="B540" s="117" t="n"/>
    </row>
    <row r="541" ht="13.2" customHeight="1" s="405">
      <c r="B541" s="117" t="n"/>
    </row>
    <row r="542" ht="13.2" customHeight="1" s="405">
      <c r="B542" s="117" t="n"/>
    </row>
    <row r="543" ht="13.2" customHeight="1" s="405">
      <c r="B543" s="117" t="n"/>
    </row>
    <row r="544" ht="13.2" customHeight="1" s="405">
      <c r="B544" s="117" t="n"/>
    </row>
    <row r="545" ht="13.2" customHeight="1" s="405">
      <c r="B545" s="117" t="n"/>
    </row>
    <row r="546" ht="13.2" customHeight="1" s="405">
      <c r="B546" s="117" t="n"/>
    </row>
    <row r="547" ht="13.2" customHeight="1" s="405">
      <c r="B547" s="117" t="n"/>
    </row>
    <row r="548" ht="13.2" customHeight="1" s="405">
      <c r="B548" s="117" t="n"/>
    </row>
    <row r="549" ht="13.2" customHeight="1" s="405">
      <c r="B549" s="117" t="n"/>
    </row>
    <row r="550" ht="13.2" customHeight="1" s="405">
      <c r="B550" s="117" t="n"/>
    </row>
    <row r="551" ht="13.2" customHeight="1" s="405">
      <c r="B551" s="117" t="n"/>
    </row>
    <row r="552" ht="13.2" customHeight="1" s="405">
      <c r="B552" s="117" t="n"/>
    </row>
    <row r="553" ht="13.2" customHeight="1" s="405">
      <c r="B553" s="117" t="n"/>
    </row>
    <row r="554" ht="13.2" customHeight="1" s="405">
      <c r="B554" s="117" t="n"/>
    </row>
    <row r="555" ht="13.2" customHeight="1" s="405">
      <c r="B555" s="117" t="n"/>
    </row>
    <row r="556" ht="13.2" customHeight="1" s="405">
      <c r="B556" s="117" t="n"/>
    </row>
    <row r="557" ht="13.2" customHeight="1" s="405">
      <c r="B557" s="117" t="n"/>
    </row>
    <row r="558" ht="13.2" customHeight="1" s="405">
      <c r="B558" s="117" t="n"/>
    </row>
    <row r="559" ht="13.2" customHeight="1" s="405">
      <c r="B559" s="117" t="n"/>
    </row>
    <row r="560" ht="13.2" customHeight="1" s="405">
      <c r="B560" s="117" t="n"/>
    </row>
    <row r="561" ht="13.2" customHeight="1" s="405">
      <c r="B561" s="117" t="n"/>
    </row>
    <row r="562" ht="13.2" customHeight="1" s="405">
      <c r="B562" s="117" t="n"/>
    </row>
    <row r="563" ht="13.2" customHeight="1" s="405">
      <c r="B563" s="117" t="n"/>
    </row>
    <row r="564" ht="13.2" customHeight="1" s="405">
      <c r="B564" s="117" t="n"/>
    </row>
    <row r="565" ht="13.2" customHeight="1" s="405">
      <c r="B565" s="117" t="n"/>
    </row>
    <row r="566" ht="13.2" customHeight="1" s="405">
      <c r="B566" s="117" t="n"/>
    </row>
    <row r="567" ht="13.2" customHeight="1" s="405">
      <c r="B567" s="117" t="n"/>
    </row>
    <row r="568" ht="13.2" customHeight="1" s="405">
      <c r="B568" s="117" t="n"/>
    </row>
    <row r="569" ht="13.2" customHeight="1" s="405">
      <c r="B569" s="117" t="n"/>
    </row>
    <row r="570" ht="13.2" customHeight="1" s="405">
      <c r="B570" s="117" t="n"/>
    </row>
    <row r="571" ht="13.2" customHeight="1" s="405">
      <c r="B571" s="117" t="n"/>
    </row>
    <row r="572" ht="13.2" customHeight="1" s="405">
      <c r="B572" s="117" t="n"/>
    </row>
    <row r="573" ht="13.2" customHeight="1" s="405">
      <c r="B573" s="117" t="n"/>
    </row>
    <row r="574" ht="13.2" customHeight="1" s="405">
      <c r="B574" s="117" t="n"/>
    </row>
    <row r="575" ht="13.2" customHeight="1" s="405">
      <c r="B575" s="117" t="n"/>
    </row>
    <row r="576" ht="13.2" customHeight="1" s="405">
      <c r="B576" s="117" t="n"/>
    </row>
    <row r="577" ht="13.2" customHeight="1" s="405">
      <c r="B577" s="117" t="n"/>
    </row>
    <row r="578" ht="13.2" customHeight="1" s="405">
      <c r="B578" s="117" t="n"/>
    </row>
    <row r="579" ht="13.2" customHeight="1" s="405">
      <c r="B579" s="117" t="n"/>
    </row>
    <row r="580" ht="13.2" customHeight="1" s="405">
      <c r="B580" s="117" t="n"/>
    </row>
    <row r="581" ht="13.2" customHeight="1" s="405">
      <c r="B581" s="117" t="n"/>
    </row>
    <row r="582" ht="13.2" customHeight="1" s="405">
      <c r="B582" s="117" t="n"/>
    </row>
    <row r="583" ht="13.2" customHeight="1" s="405">
      <c r="B583" s="117" t="n"/>
    </row>
    <row r="584" ht="13.2" customHeight="1" s="405">
      <c r="B584" s="117" t="n"/>
    </row>
    <row r="585" ht="13.2" customHeight="1" s="405">
      <c r="B585" s="117" t="n"/>
    </row>
    <row r="586" ht="13.2" customHeight="1" s="405">
      <c r="B586" s="117" t="n"/>
    </row>
    <row r="587" ht="13.2" customHeight="1" s="405">
      <c r="B587" s="117" t="n"/>
    </row>
    <row r="588" ht="13.2" customHeight="1" s="405">
      <c r="B588" s="117" t="n"/>
    </row>
    <row r="589" ht="13.2" customHeight="1" s="405">
      <c r="B589" s="117" t="n"/>
    </row>
    <row r="590" ht="13.2" customHeight="1" s="405">
      <c r="B590" s="117" t="n"/>
    </row>
    <row r="591" ht="13.2" customHeight="1" s="405">
      <c r="B591" s="117" t="n"/>
    </row>
    <row r="592" ht="13.2" customHeight="1" s="405">
      <c r="B592" s="117" t="n"/>
    </row>
    <row r="593" ht="13.2" customHeight="1" s="405">
      <c r="B593" s="117" t="n"/>
    </row>
    <row r="594" ht="13.2" customHeight="1" s="405">
      <c r="B594" s="117" t="n"/>
    </row>
    <row r="595" ht="13.2" customHeight="1" s="405">
      <c r="B595" s="117" t="n"/>
    </row>
    <row r="596" ht="13.2" customHeight="1" s="405">
      <c r="B596" s="117" t="n"/>
    </row>
    <row r="597" ht="13.2" customHeight="1" s="405">
      <c r="B597" s="117" t="n"/>
    </row>
    <row r="598" ht="13.2" customHeight="1" s="405">
      <c r="B598" s="117" t="n"/>
    </row>
    <row r="599" ht="13.2" customHeight="1" s="405">
      <c r="B599" s="117" t="n"/>
    </row>
    <row r="600" ht="13.2" customHeight="1" s="405">
      <c r="B600" s="117" t="n"/>
    </row>
    <row r="601" ht="13.2" customHeight="1" s="405">
      <c r="B601" s="117" t="n"/>
    </row>
    <row r="602" ht="13.2" customHeight="1" s="405">
      <c r="B602" s="117" t="n"/>
    </row>
    <row r="603" ht="13.2" customHeight="1" s="405">
      <c r="B603" s="117" t="n"/>
    </row>
    <row r="604" ht="13.2" customHeight="1" s="405">
      <c r="B604" s="117" t="n"/>
    </row>
    <row r="605" ht="13.2" customHeight="1" s="405">
      <c r="B605" s="117" t="n"/>
    </row>
    <row r="606" ht="13.2" customHeight="1" s="405">
      <c r="B606" s="117" t="n"/>
    </row>
    <row r="607" ht="13.2" customHeight="1" s="405">
      <c r="B607" s="117" t="n"/>
    </row>
    <row r="608" ht="13.2" customHeight="1" s="405">
      <c r="B608" s="117" t="n"/>
    </row>
    <row r="609" ht="13.2" customHeight="1" s="405">
      <c r="B609" s="117" t="n"/>
    </row>
    <row r="610" ht="13.2" customHeight="1" s="405">
      <c r="B610" s="117" t="n"/>
    </row>
    <row r="611" ht="13.2" customHeight="1" s="405">
      <c r="B611" s="117" t="n"/>
    </row>
    <row r="612" ht="13.2" customHeight="1" s="405">
      <c r="B612" s="117" t="n"/>
    </row>
    <row r="613" ht="13.2" customHeight="1" s="405">
      <c r="B613" s="117" t="n"/>
    </row>
    <row r="614" ht="13.2" customHeight="1" s="405">
      <c r="B614" s="117" t="n"/>
    </row>
    <row r="615" ht="13.2" customHeight="1" s="405">
      <c r="B615" s="117" t="n"/>
    </row>
    <row r="616" ht="13.2" customHeight="1" s="405">
      <c r="B616" s="117" t="n"/>
    </row>
    <row r="617" ht="13.2" customHeight="1" s="405">
      <c r="B617" s="117" t="n"/>
    </row>
    <row r="618" ht="13.2" customHeight="1" s="405">
      <c r="B618" s="117" t="n"/>
    </row>
    <row r="619" ht="13.2" customHeight="1" s="405">
      <c r="B619" s="117" t="n"/>
    </row>
    <row r="620" ht="13.2" customHeight="1" s="405">
      <c r="B620" s="117" t="n"/>
    </row>
    <row r="621" ht="13.2" customHeight="1" s="405">
      <c r="B621" s="117" t="n"/>
    </row>
    <row r="622" ht="13.2" customHeight="1" s="405">
      <c r="B622" s="117" t="n"/>
    </row>
    <row r="623" ht="13.2" customHeight="1" s="405">
      <c r="B623" s="117" t="n"/>
    </row>
    <row r="624" ht="13.2" customHeight="1" s="405">
      <c r="B624" s="117" t="n"/>
    </row>
    <row r="625" ht="13.2" customHeight="1" s="405">
      <c r="B625" s="117" t="n"/>
    </row>
    <row r="626" ht="13.2" customHeight="1" s="405">
      <c r="B626" s="117" t="n"/>
    </row>
    <row r="627" ht="13.2" customHeight="1" s="405">
      <c r="B627" s="117" t="n"/>
    </row>
    <row r="628" ht="13.2" customHeight="1" s="405">
      <c r="B628" s="117" t="n"/>
    </row>
    <row r="629" ht="13.2" customHeight="1" s="405">
      <c r="B629" s="117" t="n"/>
    </row>
    <row r="630" ht="13.2" customHeight="1" s="405">
      <c r="B630" s="117" t="n"/>
    </row>
    <row r="631" ht="13.2" customHeight="1" s="405">
      <c r="B631" s="117" t="n"/>
    </row>
    <row r="632" ht="13.2" customHeight="1" s="405">
      <c r="B632" s="117" t="n"/>
    </row>
    <row r="633" ht="13.2" customHeight="1" s="405">
      <c r="B633" s="117" t="n"/>
    </row>
    <row r="634" ht="13.2" customHeight="1" s="405">
      <c r="B634" s="117" t="n"/>
    </row>
    <row r="635" ht="13.2" customHeight="1" s="405">
      <c r="B635" s="117" t="n"/>
    </row>
    <row r="636" ht="13.2" customHeight="1" s="405">
      <c r="B636" s="117" t="n"/>
    </row>
    <row r="637" ht="13.2" customHeight="1" s="405">
      <c r="B637" s="117" t="n"/>
    </row>
    <row r="638" ht="13.2" customHeight="1" s="405">
      <c r="B638" s="117" t="n"/>
    </row>
    <row r="639" ht="13.2" customHeight="1" s="405">
      <c r="B639" s="117" t="n"/>
    </row>
    <row r="640" ht="13.2" customHeight="1" s="405">
      <c r="B640" s="117" t="n"/>
    </row>
    <row r="641" ht="13.2" customHeight="1" s="405">
      <c r="B641" s="117" t="n"/>
    </row>
    <row r="642" ht="13.2" customHeight="1" s="405">
      <c r="B642" s="117" t="n"/>
    </row>
    <row r="643" ht="13.2" customHeight="1" s="405">
      <c r="B643" s="117" t="n"/>
    </row>
    <row r="644" ht="13.2" customHeight="1" s="405">
      <c r="B644" s="117" t="n"/>
    </row>
    <row r="645" ht="13.2" customHeight="1" s="405">
      <c r="B645" s="117" t="n"/>
    </row>
    <row r="646" ht="13.2" customHeight="1" s="405">
      <c r="B646" s="117" t="n"/>
    </row>
    <row r="647" ht="13.2" customHeight="1" s="405">
      <c r="B647" s="117" t="n"/>
    </row>
    <row r="648" ht="13.2" customHeight="1" s="405">
      <c r="B648" s="117" t="n"/>
    </row>
    <row r="649" ht="13.2" customHeight="1" s="405">
      <c r="B649" s="117" t="n"/>
    </row>
    <row r="650" ht="13.2" customHeight="1" s="405">
      <c r="B650" s="117" t="n"/>
    </row>
    <row r="651" ht="13.2" customHeight="1" s="405">
      <c r="B651" s="117" t="n"/>
    </row>
    <row r="652" ht="13.2" customHeight="1" s="405">
      <c r="B652" s="117" t="n"/>
    </row>
    <row r="653" ht="13.2" customHeight="1" s="405">
      <c r="B653" s="117" t="n"/>
    </row>
    <row r="654" ht="13.2" customHeight="1" s="405">
      <c r="B654" s="117" t="n"/>
    </row>
    <row r="655" ht="13.2" customHeight="1" s="405">
      <c r="B655" s="117" t="n"/>
    </row>
    <row r="656" ht="13.2" customHeight="1" s="405">
      <c r="B656" s="117" t="n"/>
    </row>
    <row r="657" ht="13.2" customHeight="1" s="405">
      <c r="B657" s="117" t="n"/>
    </row>
    <row r="658" ht="13.2" customHeight="1" s="405">
      <c r="B658" s="117" t="n"/>
    </row>
    <row r="659" ht="13.2" customHeight="1" s="405">
      <c r="B659" s="117" t="n"/>
    </row>
    <row r="660" ht="13.2" customHeight="1" s="405">
      <c r="B660" s="117" t="n"/>
    </row>
    <row r="661" ht="13.2" customHeight="1" s="405">
      <c r="B661" s="117" t="n"/>
    </row>
    <row r="662" ht="13.2" customHeight="1" s="405">
      <c r="B662" s="117" t="n"/>
    </row>
    <row r="663" ht="13.2" customHeight="1" s="405">
      <c r="B663" s="117" t="n"/>
    </row>
    <row r="664" ht="13.2" customHeight="1" s="405">
      <c r="B664" s="117" t="n"/>
    </row>
    <row r="665" ht="13.2" customHeight="1" s="405">
      <c r="B665" s="117" t="n"/>
    </row>
    <row r="666" ht="13.2" customHeight="1" s="405">
      <c r="B666" s="117" t="n"/>
    </row>
    <row r="667" ht="13.2" customHeight="1" s="405">
      <c r="B667" s="117" t="n"/>
    </row>
    <row r="668" ht="13.2" customHeight="1" s="405">
      <c r="B668" s="117" t="n"/>
    </row>
    <row r="669" ht="13.2" customHeight="1" s="405">
      <c r="B669" s="117" t="n"/>
    </row>
    <row r="670" ht="13.2" customHeight="1" s="405">
      <c r="B670" s="117" t="n"/>
    </row>
    <row r="671" ht="13.2" customHeight="1" s="405">
      <c r="B671" s="117" t="n"/>
    </row>
    <row r="672" ht="13.2" customHeight="1" s="405">
      <c r="B672" s="117" t="n"/>
    </row>
    <row r="673" ht="13.2" customHeight="1" s="405">
      <c r="B673" s="117" t="n"/>
    </row>
    <row r="674" ht="13.2" customHeight="1" s="405">
      <c r="B674" s="117" t="n"/>
    </row>
    <row r="675" ht="13.2" customHeight="1" s="405">
      <c r="B675" s="117" t="n"/>
    </row>
    <row r="676" ht="13.2" customHeight="1" s="405">
      <c r="B676" s="117" t="n"/>
    </row>
    <row r="677" ht="13.2" customHeight="1" s="405">
      <c r="B677" s="117" t="n"/>
    </row>
    <row r="678" ht="13.2" customHeight="1" s="405">
      <c r="B678" s="117" t="n"/>
    </row>
    <row r="679" ht="13.2" customHeight="1" s="405">
      <c r="B679" s="117" t="n"/>
    </row>
    <row r="680" ht="13.2" customHeight="1" s="405">
      <c r="B680" s="117" t="n"/>
    </row>
    <row r="681" ht="13.2" customHeight="1" s="405">
      <c r="B681" s="117" t="n"/>
    </row>
    <row r="682" ht="13.2" customHeight="1" s="405">
      <c r="B682" s="117" t="n"/>
    </row>
    <row r="683" ht="13.2" customHeight="1" s="405">
      <c r="B683" s="117" t="n"/>
    </row>
    <row r="684" ht="13.2" customHeight="1" s="405">
      <c r="B684" s="117" t="n"/>
    </row>
    <row r="685" ht="13.2" customHeight="1" s="405">
      <c r="B685" s="117" t="n"/>
    </row>
    <row r="686" ht="13.2" customHeight="1" s="405">
      <c r="B686" s="117" t="n"/>
    </row>
    <row r="687" ht="13.2" customHeight="1" s="405">
      <c r="B687" s="117" t="n"/>
    </row>
    <row r="688" ht="13.2" customHeight="1" s="405">
      <c r="B688" s="117" t="n"/>
    </row>
    <row r="689" ht="13.2" customHeight="1" s="405">
      <c r="B689" s="117" t="n"/>
    </row>
    <row r="690" ht="13.2" customHeight="1" s="405">
      <c r="B690" s="117" t="n"/>
    </row>
    <row r="691" ht="13.2" customHeight="1" s="405">
      <c r="B691" s="117" t="n"/>
    </row>
    <row r="692" ht="13.2" customHeight="1" s="405">
      <c r="B692" s="117" t="n"/>
    </row>
    <row r="693" ht="13.2" customHeight="1" s="405">
      <c r="B693" s="117" t="n"/>
    </row>
    <row r="694" ht="13.2" customHeight="1" s="405">
      <c r="B694" s="117" t="n"/>
    </row>
    <row r="695" ht="13.2" customHeight="1" s="405">
      <c r="B695" s="117" t="n"/>
    </row>
    <row r="696" ht="13.2" customHeight="1" s="405">
      <c r="B696" s="117" t="n"/>
    </row>
    <row r="697" ht="13.2" customHeight="1" s="405">
      <c r="B697" s="117" t="n"/>
    </row>
    <row r="698" ht="13.2" customHeight="1" s="405">
      <c r="B698" s="117" t="n"/>
    </row>
    <row r="699" ht="13.2" customHeight="1" s="405">
      <c r="B699" s="117" t="n"/>
    </row>
    <row r="700" ht="13.2" customHeight="1" s="405">
      <c r="B700" s="117" t="n"/>
    </row>
    <row r="701" ht="13.2" customHeight="1" s="405">
      <c r="B701" s="117" t="n"/>
    </row>
    <row r="702" ht="13.2" customHeight="1" s="405">
      <c r="B702" s="117" t="n"/>
    </row>
    <row r="703" ht="13.2" customHeight="1" s="405">
      <c r="B703" s="117" t="n"/>
    </row>
    <row r="704" ht="13.2" customHeight="1" s="405">
      <c r="B704" s="117" t="n"/>
    </row>
    <row r="705" ht="13.2" customHeight="1" s="405">
      <c r="B705" s="117" t="n"/>
    </row>
    <row r="706" ht="13.2" customHeight="1" s="405">
      <c r="B706" s="117" t="n"/>
    </row>
    <row r="707" ht="13.2" customHeight="1" s="405">
      <c r="B707" s="117" t="n"/>
    </row>
    <row r="708" ht="13.2" customHeight="1" s="405">
      <c r="B708" s="117" t="n"/>
    </row>
    <row r="709" ht="13.2" customHeight="1" s="405">
      <c r="B709" s="117" t="n"/>
    </row>
    <row r="710" ht="13.2" customHeight="1" s="405">
      <c r="B710" s="117" t="n"/>
    </row>
    <row r="711" ht="13.2" customHeight="1" s="405">
      <c r="B711" s="117" t="n"/>
    </row>
    <row r="712" ht="13.2" customHeight="1" s="405">
      <c r="B712" s="117" t="n"/>
    </row>
    <row r="713" ht="13.2" customHeight="1" s="405">
      <c r="B713" s="117" t="n"/>
    </row>
    <row r="714" ht="13.2" customHeight="1" s="405">
      <c r="B714" s="117" t="n"/>
    </row>
    <row r="715" ht="13.2" customHeight="1" s="405">
      <c r="B715" s="117" t="n"/>
    </row>
    <row r="716" ht="13.2" customHeight="1" s="405">
      <c r="B716" s="117" t="n"/>
    </row>
    <row r="717" ht="13.2" customHeight="1" s="405">
      <c r="B717" s="117" t="n"/>
    </row>
    <row r="718" ht="13.2" customHeight="1" s="405">
      <c r="B718" s="117" t="n"/>
    </row>
    <row r="719" ht="13.2" customHeight="1" s="405">
      <c r="B719" s="117" t="n"/>
    </row>
    <row r="720" ht="13.2" customHeight="1" s="405">
      <c r="B720" s="117" t="n"/>
    </row>
    <row r="721" ht="13.2" customHeight="1" s="405">
      <c r="B721" s="117" t="n"/>
    </row>
    <row r="722" ht="13.2" customHeight="1" s="405">
      <c r="B722" s="117" t="n"/>
    </row>
    <row r="723" ht="13.2" customHeight="1" s="405">
      <c r="B723" s="117" t="n"/>
    </row>
    <row r="724" ht="13.2" customHeight="1" s="405">
      <c r="B724" s="117" t="n"/>
    </row>
    <row r="725" ht="13.2" customHeight="1" s="405">
      <c r="B725" s="117" t="n"/>
    </row>
    <row r="726" ht="13.2" customHeight="1" s="405">
      <c r="B726" s="117" t="n"/>
    </row>
    <row r="727" ht="13.2" customHeight="1" s="405">
      <c r="B727" s="117" t="n"/>
    </row>
    <row r="728" ht="13.2" customHeight="1" s="405">
      <c r="B728" s="117" t="n"/>
    </row>
    <row r="729" ht="13.2" customHeight="1" s="405">
      <c r="B729" s="117" t="n"/>
    </row>
    <row r="730" ht="13.2" customHeight="1" s="405">
      <c r="B730" s="117" t="n"/>
    </row>
    <row r="731" ht="13.2" customHeight="1" s="405">
      <c r="B731" s="117" t="n"/>
    </row>
    <row r="732" ht="13.2" customHeight="1" s="405">
      <c r="B732" s="117" t="n"/>
    </row>
    <row r="733" ht="13.2" customHeight="1" s="405">
      <c r="B733" s="117" t="n"/>
    </row>
    <row r="734" ht="13.2" customHeight="1" s="405">
      <c r="B734" s="117" t="n"/>
    </row>
    <row r="735" ht="13.2" customHeight="1" s="405">
      <c r="B735" s="117" t="n"/>
    </row>
    <row r="736" ht="13.2" customHeight="1" s="405">
      <c r="B736" s="117" t="n"/>
    </row>
    <row r="737" ht="13.2" customHeight="1" s="405">
      <c r="B737" s="117" t="n"/>
    </row>
    <row r="738" ht="13.2" customHeight="1" s="405">
      <c r="B738" s="117" t="n"/>
    </row>
    <row r="739" ht="13.2" customHeight="1" s="405">
      <c r="B739" s="117" t="n"/>
    </row>
    <row r="740" ht="13.2" customHeight="1" s="405">
      <c r="B740" s="117" t="n"/>
    </row>
    <row r="741" ht="13.2" customHeight="1" s="405">
      <c r="B741" s="117" t="n"/>
    </row>
    <row r="742" ht="13.2" customHeight="1" s="405">
      <c r="B742" s="117" t="n"/>
    </row>
    <row r="743" ht="13.2" customHeight="1" s="405">
      <c r="B743" s="117" t="n"/>
    </row>
    <row r="744" ht="13.2" customHeight="1" s="405">
      <c r="B744" s="117" t="n"/>
    </row>
    <row r="745" ht="13.2" customHeight="1" s="405">
      <c r="B745" s="117" t="n"/>
    </row>
    <row r="746" ht="13.2" customHeight="1" s="405">
      <c r="B746" s="117" t="n"/>
    </row>
    <row r="747" ht="13.2" customHeight="1" s="405">
      <c r="B747" s="117" t="n"/>
    </row>
    <row r="748" ht="13.2" customHeight="1" s="405">
      <c r="B748" s="117" t="n"/>
    </row>
    <row r="749" ht="13.2" customHeight="1" s="405">
      <c r="B749" s="117" t="n"/>
    </row>
    <row r="750" ht="13.2" customHeight="1" s="405">
      <c r="B750" s="117" t="n"/>
    </row>
    <row r="751" ht="13.2" customHeight="1" s="405">
      <c r="B751" s="117" t="n"/>
    </row>
    <row r="752" ht="13.2" customHeight="1" s="405">
      <c r="B752" s="117" t="n"/>
    </row>
    <row r="753" ht="13.2" customHeight="1" s="405">
      <c r="B753" s="117" t="n"/>
    </row>
    <row r="754" ht="13.2" customHeight="1" s="405">
      <c r="B754" s="117" t="n"/>
    </row>
    <row r="755" ht="13.2" customHeight="1" s="405">
      <c r="B755" s="117" t="n"/>
    </row>
    <row r="756" ht="13.2" customHeight="1" s="405">
      <c r="B756" s="117" t="n"/>
    </row>
    <row r="757" ht="13.2" customHeight="1" s="405">
      <c r="B757" s="117" t="n"/>
    </row>
    <row r="758" ht="13.2" customHeight="1" s="405">
      <c r="B758" s="117" t="n"/>
    </row>
    <row r="759" ht="13.2" customHeight="1" s="405">
      <c r="B759" s="117" t="n"/>
    </row>
    <row r="760" ht="13.2" customHeight="1" s="405">
      <c r="B760" s="117" t="n"/>
    </row>
    <row r="761" ht="13.2" customHeight="1" s="405">
      <c r="B761" s="117" t="n"/>
    </row>
    <row r="762" ht="13.2" customHeight="1" s="405">
      <c r="B762" s="117" t="n"/>
    </row>
    <row r="763" ht="13.2" customHeight="1" s="405">
      <c r="B763" s="117" t="n"/>
    </row>
    <row r="764" ht="13.2" customHeight="1" s="405">
      <c r="B764" s="117" t="n"/>
    </row>
    <row r="765" ht="13.2" customHeight="1" s="405">
      <c r="B765" s="117" t="n"/>
    </row>
    <row r="766" ht="13.2" customHeight="1" s="405">
      <c r="B766" s="117" t="n"/>
    </row>
    <row r="767" ht="13.2" customHeight="1" s="405">
      <c r="B767" s="117" t="n"/>
    </row>
    <row r="768" ht="13.2" customHeight="1" s="405">
      <c r="B768" s="117" t="n"/>
    </row>
    <row r="769" ht="13.2" customHeight="1" s="405">
      <c r="B769" s="117" t="n"/>
    </row>
    <row r="770" ht="13.2" customHeight="1" s="405">
      <c r="B770" s="117" t="n"/>
    </row>
    <row r="771" ht="13.2" customHeight="1" s="405">
      <c r="B771" s="117" t="n"/>
    </row>
    <row r="772" ht="13.2" customHeight="1" s="405">
      <c r="B772" s="117" t="n"/>
    </row>
    <row r="773" ht="13.2" customHeight="1" s="405">
      <c r="B773" s="117" t="n"/>
    </row>
    <row r="774" ht="13.2" customHeight="1" s="405">
      <c r="B774" s="117" t="n"/>
    </row>
    <row r="775" ht="13.2" customHeight="1" s="405">
      <c r="B775" s="117" t="n"/>
    </row>
    <row r="776" ht="13.2" customHeight="1" s="405">
      <c r="B776" s="117" t="n"/>
    </row>
    <row r="777" ht="13.2" customHeight="1" s="405">
      <c r="B777" s="117" t="n"/>
    </row>
    <row r="778" ht="13.2" customHeight="1" s="405">
      <c r="B778" s="117" t="n"/>
    </row>
    <row r="779" ht="13.2" customHeight="1" s="405">
      <c r="B779" s="117" t="n"/>
    </row>
    <row r="780" ht="13.2" customHeight="1" s="405">
      <c r="B780" s="117" t="n"/>
    </row>
    <row r="781" ht="13.2" customHeight="1" s="405">
      <c r="B781" s="117" t="n"/>
    </row>
    <row r="782" ht="13.2" customHeight="1" s="405">
      <c r="B782" s="117" t="n"/>
    </row>
    <row r="783" ht="13.2" customHeight="1" s="405">
      <c r="B783" s="117" t="n"/>
    </row>
    <row r="784" ht="13.2" customHeight="1" s="405">
      <c r="B784" s="117" t="n"/>
    </row>
    <row r="785" ht="13.2" customHeight="1" s="405">
      <c r="B785" s="117" t="n"/>
    </row>
    <row r="786" ht="13.2" customHeight="1" s="405">
      <c r="B786" s="117" t="n"/>
    </row>
    <row r="787" ht="13.2" customHeight="1" s="405">
      <c r="B787" s="117" t="n"/>
    </row>
    <row r="788" ht="13.2" customHeight="1" s="405">
      <c r="B788" s="117" t="n"/>
    </row>
    <row r="789" ht="13.2" customHeight="1" s="405">
      <c r="B789" s="117" t="n"/>
    </row>
    <row r="790" ht="13.2" customHeight="1" s="405">
      <c r="B790" s="117" t="n"/>
    </row>
    <row r="791" ht="13.2" customHeight="1" s="405">
      <c r="B791" s="117" t="n"/>
    </row>
    <row r="792" ht="13.2" customHeight="1" s="405">
      <c r="B792" s="117" t="n"/>
    </row>
    <row r="793" ht="13.2" customHeight="1" s="405">
      <c r="B793" s="117" t="n"/>
    </row>
    <row r="794" ht="13.2" customHeight="1" s="405">
      <c r="B794" s="117" t="n"/>
    </row>
    <row r="795" ht="13.2" customHeight="1" s="405">
      <c r="B795" s="117" t="n"/>
    </row>
    <row r="796" ht="13.2" customHeight="1" s="405">
      <c r="B796" s="117" t="n"/>
    </row>
    <row r="797" ht="13.2" customHeight="1" s="405">
      <c r="B797" s="117" t="n"/>
    </row>
    <row r="798" ht="13.2" customHeight="1" s="405">
      <c r="B798" s="117" t="n"/>
    </row>
    <row r="799" ht="13.2" customHeight="1" s="405">
      <c r="B799" s="117" t="n"/>
    </row>
    <row r="800" ht="13.2" customHeight="1" s="405">
      <c r="B800" s="117" t="n"/>
    </row>
    <row r="801" ht="13.2" customHeight="1" s="405">
      <c r="B801" s="117" t="n"/>
    </row>
    <row r="802" ht="13.2" customHeight="1" s="405">
      <c r="B802" s="117" t="n"/>
    </row>
    <row r="803" ht="13.2" customHeight="1" s="405">
      <c r="B803" s="117" t="n"/>
    </row>
    <row r="804" ht="13.2" customHeight="1" s="405">
      <c r="B804" s="117" t="n"/>
    </row>
    <row r="805" ht="13.2" customHeight="1" s="405">
      <c r="B805" s="117" t="n"/>
    </row>
    <row r="806" ht="13.2" customHeight="1" s="405">
      <c r="B806" s="117" t="n"/>
    </row>
    <row r="807" ht="13.2" customHeight="1" s="405">
      <c r="B807" s="117" t="n"/>
    </row>
    <row r="808" ht="13.2" customHeight="1" s="405">
      <c r="B808" s="117" t="n"/>
    </row>
    <row r="809" ht="13.2" customHeight="1" s="405">
      <c r="B809" s="117" t="n"/>
    </row>
    <row r="810" ht="13.2" customHeight="1" s="405">
      <c r="B810" s="117" t="n"/>
    </row>
    <row r="811" ht="13.2" customHeight="1" s="405">
      <c r="B811" s="117" t="n"/>
    </row>
    <row r="812" ht="13.2" customHeight="1" s="405">
      <c r="B812" s="117" t="n"/>
    </row>
    <row r="813" ht="13.2" customHeight="1" s="405">
      <c r="B813" s="117" t="n"/>
    </row>
    <row r="814" ht="13.2" customHeight="1" s="405">
      <c r="B814" s="117" t="n"/>
    </row>
    <row r="815" ht="13.2" customHeight="1" s="405">
      <c r="B815" s="117" t="n"/>
    </row>
    <row r="816" ht="13.2" customHeight="1" s="405">
      <c r="B816" s="117" t="n"/>
    </row>
    <row r="817" ht="13.2" customHeight="1" s="405">
      <c r="B817" s="117" t="n"/>
    </row>
    <row r="818" ht="13.2" customHeight="1" s="405">
      <c r="B818" s="117" t="n"/>
    </row>
    <row r="819" ht="13.2" customHeight="1" s="405">
      <c r="B819" s="117" t="n"/>
    </row>
    <row r="820" ht="13.2" customHeight="1" s="405">
      <c r="B820" s="117" t="n"/>
    </row>
    <row r="821" ht="13.2" customHeight="1" s="405">
      <c r="B821" s="117" t="n"/>
    </row>
    <row r="822" ht="13.2" customHeight="1" s="405">
      <c r="B822" s="117" t="n"/>
    </row>
    <row r="823" ht="13.2" customHeight="1" s="405">
      <c r="B823" s="117" t="n"/>
    </row>
    <row r="824" ht="13.2" customHeight="1" s="405">
      <c r="B824" s="117" t="n"/>
    </row>
    <row r="825" ht="13.2" customHeight="1" s="405">
      <c r="B825" s="117" t="n"/>
    </row>
    <row r="826" ht="13.2" customHeight="1" s="405">
      <c r="B826" s="117" t="n"/>
    </row>
    <row r="827" ht="13.2" customHeight="1" s="405">
      <c r="B827" s="117" t="n"/>
    </row>
    <row r="828" ht="13.2" customHeight="1" s="405">
      <c r="B828" s="117" t="n"/>
    </row>
    <row r="829" ht="13.2" customHeight="1" s="405">
      <c r="B829" s="117" t="n"/>
    </row>
    <row r="830" ht="13.2" customHeight="1" s="405">
      <c r="B830" s="117" t="n"/>
    </row>
    <row r="831" ht="13.2" customHeight="1" s="405">
      <c r="B831" s="117" t="n"/>
    </row>
    <row r="832" ht="13.2" customHeight="1" s="405">
      <c r="B832" s="117" t="n"/>
    </row>
    <row r="833" ht="13.2" customHeight="1" s="405">
      <c r="B833" s="117" t="n"/>
    </row>
    <row r="834" ht="13.2" customHeight="1" s="405">
      <c r="B834" s="117" t="n"/>
    </row>
    <row r="835" ht="13.2" customHeight="1" s="405">
      <c r="B835" s="117" t="n"/>
    </row>
    <row r="836" ht="13.2" customHeight="1" s="405">
      <c r="B836" s="117" t="n"/>
    </row>
    <row r="837" ht="13.2" customHeight="1" s="405">
      <c r="B837" s="117" t="n"/>
    </row>
    <row r="838" ht="13.2" customHeight="1" s="405">
      <c r="B838" s="117" t="n"/>
    </row>
    <row r="839" ht="13.2" customHeight="1" s="405">
      <c r="B839" s="117" t="n"/>
    </row>
    <row r="840" ht="13.2" customHeight="1" s="405">
      <c r="B840" s="117" t="n"/>
    </row>
    <row r="841" ht="13.2" customHeight="1" s="405">
      <c r="B841" s="117" t="n"/>
    </row>
    <row r="842" ht="13.2" customHeight="1" s="405">
      <c r="B842" s="117" t="n"/>
    </row>
    <row r="843" ht="13.2" customHeight="1" s="405">
      <c r="B843" s="117" t="n"/>
    </row>
    <row r="844" ht="13.2" customHeight="1" s="405">
      <c r="B844" s="117" t="n"/>
    </row>
    <row r="845" ht="13.2" customHeight="1" s="405">
      <c r="B845" s="117" t="n"/>
    </row>
    <row r="846" ht="13.2" customHeight="1" s="405">
      <c r="B846" s="117" t="n"/>
    </row>
    <row r="847" ht="13.2" customHeight="1" s="405">
      <c r="B847" s="117" t="n"/>
    </row>
    <row r="848" ht="13.2" customHeight="1" s="405">
      <c r="B848" s="117" t="n"/>
    </row>
    <row r="849" ht="13.2" customHeight="1" s="405">
      <c r="B849" s="117" t="n"/>
    </row>
    <row r="850" ht="13.2" customHeight="1" s="405">
      <c r="B850" s="117" t="n"/>
    </row>
    <row r="851" ht="13.2" customHeight="1" s="405">
      <c r="B851" s="117" t="n"/>
    </row>
    <row r="852" ht="13.2" customHeight="1" s="405">
      <c r="B852" s="117" t="n"/>
    </row>
    <row r="853" ht="13.2" customHeight="1" s="405">
      <c r="B853" s="117" t="n"/>
    </row>
    <row r="854" ht="13.2" customHeight="1" s="405">
      <c r="B854" s="117" t="n"/>
    </row>
    <row r="855" ht="13.2" customHeight="1" s="405">
      <c r="B855" s="117" t="n"/>
    </row>
    <row r="856" ht="13.2" customHeight="1" s="405">
      <c r="B856" s="117" t="n"/>
    </row>
    <row r="857" ht="13.2" customHeight="1" s="405">
      <c r="B857" s="117" t="n"/>
    </row>
    <row r="858" ht="13.2" customHeight="1" s="405">
      <c r="B858" s="117" t="n"/>
    </row>
    <row r="859" ht="13.2" customHeight="1" s="405">
      <c r="B859" s="117" t="n"/>
    </row>
    <row r="860" ht="13.2" customHeight="1" s="405">
      <c r="B860" s="117" t="n"/>
    </row>
    <row r="861" ht="13.2" customHeight="1" s="405">
      <c r="B861" s="117" t="n"/>
    </row>
    <row r="862" ht="13.2" customHeight="1" s="405">
      <c r="B862" s="117" t="n"/>
    </row>
    <row r="863" ht="13.2" customHeight="1" s="405">
      <c r="B863" s="117" t="n"/>
    </row>
    <row r="864" ht="13.2" customHeight="1" s="405">
      <c r="B864" s="117" t="n"/>
    </row>
    <row r="865" ht="13.2" customHeight="1" s="405">
      <c r="B865" s="117" t="n"/>
    </row>
    <row r="866" ht="13.2" customHeight="1" s="405">
      <c r="B866" s="117" t="n"/>
    </row>
    <row r="867" ht="13.2" customHeight="1" s="405">
      <c r="B867" s="117" t="n"/>
    </row>
    <row r="868" ht="13.2" customHeight="1" s="405">
      <c r="B868" s="117" t="n"/>
    </row>
    <row r="869" ht="13.2" customHeight="1" s="405">
      <c r="B869" s="117" t="n"/>
    </row>
    <row r="870" ht="13.2" customHeight="1" s="405">
      <c r="B870" s="117" t="n"/>
    </row>
    <row r="871" ht="13.2" customHeight="1" s="405">
      <c r="B871" s="117" t="n"/>
    </row>
    <row r="872" ht="13.2" customHeight="1" s="405">
      <c r="B872" s="117" t="n"/>
    </row>
    <row r="873" ht="13.2" customHeight="1" s="405">
      <c r="B873" s="117" t="n"/>
    </row>
    <row r="874" ht="13.2" customHeight="1" s="405">
      <c r="B874" s="117" t="n"/>
    </row>
    <row r="875" ht="13.2" customHeight="1" s="405">
      <c r="B875" s="117" t="n"/>
    </row>
    <row r="876" ht="13.2" customHeight="1" s="405">
      <c r="B876" s="117" t="n"/>
    </row>
    <row r="877" ht="13.2" customHeight="1" s="405">
      <c r="B877" s="117" t="n"/>
    </row>
    <row r="878" ht="13.2" customHeight="1" s="405">
      <c r="B878" s="117" t="n"/>
    </row>
    <row r="879" ht="13.2" customHeight="1" s="405">
      <c r="B879" s="117" t="n"/>
    </row>
    <row r="880" ht="13.2" customHeight="1" s="405">
      <c r="B880" s="117" t="n"/>
    </row>
    <row r="881" ht="13.2" customHeight="1" s="405">
      <c r="B881" s="117" t="n"/>
    </row>
    <row r="882" ht="13.2" customHeight="1" s="405">
      <c r="B882" s="117" t="n"/>
    </row>
    <row r="883" ht="13.2" customHeight="1" s="405">
      <c r="B883" s="117" t="n"/>
    </row>
    <row r="884" ht="13.2" customHeight="1" s="405">
      <c r="B884" s="117" t="n"/>
    </row>
    <row r="885" ht="13.2" customHeight="1" s="405">
      <c r="B885" s="117" t="n"/>
    </row>
    <row r="886" ht="13.2" customHeight="1" s="405">
      <c r="B886" s="117" t="n"/>
    </row>
    <row r="887" ht="13.2" customHeight="1" s="405">
      <c r="B887" s="117" t="n"/>
    </row>
    <row r="888" ht="13.2" customHeight="1" s="405">
      <c r="B888" s="117" t="n"/>
    </row>
    <row r="889" ht="13.2" customHeight="1" s="405">
      <c r="B889" s="117" t="n"/>
    </row>
    <row r="890" ht="13.2" customHeight="1" s="405">
      <c r="B890" s="117" t="n"/>
    </row>
    <row r="891" ht="13.2" customHeight="1" s="405">
      <c r="B891" s="117" t="n"/>
    </row>
    <row r="892" ht="13.2" customHeight="1" s="405">
      <c r="B892" s="117" t="n"/>
    </row>
    <row r="893" ht="13.2" customHeight="1" s="405">
      <c r="B893" s="117" t="n"/>
    </row>
    <row r="894" ht="13.2" customHeight="1" s="405">
      <c r="B894" s="117" t="n"/>
    </row>
    <row r="895" ht="13.2" customHeight="1" s="405">
      <c r="B895" s="117" t="n"/>
    </row>
    <row r="896" ht="13.2" customHeight="1" s="405">
      <c r="B896" s="117" t="n"/>
    </row>
    <row r="897" ht="13.2" customHeight="1" s="405">
      <c r="B897" s="117" t="n"/>
    </row>
    <row r="898" ht="13.2" customHeight="1" s="405">
      <c r="B898" s="117" t="n"/>
    </row>
    <row r="899" ht="13.2" customHeight="1" s="405">
      <c r="B899" s="117" t="n"/>
    </row>
    <row r="900" ht="13.2" customHeight="1" s="405">
      <c r="B900" s="117" t="n"/>
    </row>
    <row r="901" ht="13.2" customHeight="1" s="405">
      <c r="B901" s="117" t="n"/>
    </row>
    <row r="902" ht="13.2" customHeight="1" s="405">
      <c r="B902" s="117" t="n"/>
    </row>
    <row r="903" ht="13.2" customHeight="1" s="405">
      <c r="B903" s="117" t="n"/>
    </row>
    <row r="904" ht="13.2" customHeight="1" s="405">
      <c r="B904" s="117" t="n"/>
    </row>
    <row r="905" ht="13.2" customHeight="1" s="405">
      <c r="B905" s="117" t="n"/>
    </row>
    <row r="906" ht="13.2" customHeight="1" s="405">
      <c r="B906" s="117" t="n"/>
    </row>
    <row r="907" ht="13.2" customHeight="1" s="405">
      <c r="B907" s="117" t="n"/>
    </row>
    <row r="908" ht="13.2" customHeight="1" s="405">
      <c r="B908" s="117" t="n"/>
    </row>
    <row r="909" ht="13.2" customHeight="1" s="405">
      <c r="B909" s="117" t="n"/>
    </row>
    <row r="910" ht="13.2" customHeight="1" s="405">
      <c r="B910" s="117" t="n"/>
    </row>
    <row r="911" ht="13.2" customHeight="1" s="405">
      <c r="B911" s="117" t="n"/>
    </row>
    <row r="912" ht="13.2" customHeight="1" s="405">
      <c r="B912" s="117" t="n"/>
    </row>
    <row r="913" ht="13.2" customHeight="1" s="405">
      <c r="B913" s="117" t="n"/>
    </row>
    <row r="914" ht="13.2" customHeight="1" s="405">
      <c r="B914" s="117" t="n"/>
    </row>
    <row r="915" ht="13.2" customHeight="1" s="405">
      <c r="B915" s="117" t="n"/>
    </row>
    <row r="916" ht="13.2" customHeight="1" s="405">
      <c r="B916" s="117" t="n"/>
    </row>
    <row r="917" ht="13.2" customHeight="1" s="405">
      <c r="B917" s="117" t="n"/>
    </row>
    <row r="918" ht="13.2" customHeight="1" s="405">
      <c r="B918" s="117" t="n"/>
    </row>
    <row r="919" ht="13.2" customHeight="1" s="405">
      <c r="B919" s="117" t="n"/>
    </row>
    <row r="920" ht="13.2" customHeight="1" s="405">
      <c r="B920" s="117" t="n"/>
    </row>
    <row r="921" ht="13.2" customHeight="1" s="405">
      <c r="B921" s="117" t="n"/>
    </row>
    <row r="922" ht="13.2" customHeight="1" s="405">
      <c r="B922" s="117" t="n"/>
    </row>
    <row r="923" ht="13.2" customHeight="1" s="405">
      <c r="B923" s="117" t="n"/>
    </row>
    <row r="924" ht="13.2" customHeight="1" s="405">
      <c r="B924" s="117" t="n"/>
    </row>
    <row r="925" ht="13.2" customHeight="1" s="405">
      <c r="B925" s="117" t="n"/>
    </row>
    <row r="926" ht="13.2" customHeight="1" s="405">
      <c r="B926" s="117" t="n"/>
    </row>
    <row r="927" ht="13.2" customHeight="1" s="405">
      <c r="B927" s="117" t="n"/>
    </row>
    <row r="928" ht="13.2" customHeight="1" s="405">
      <c r="B928" s="117" t="n"/>
    </row>
    <row r="929" ht="13.2" customHeight="1" s="405">
      <c r="B929" s="117" t="n"/>
    </row>
    <row r="930" ht="13.2" customHeight="1" s="405">
      <c r="B930" s="117" t="n"/>
    </row>
    <row r="931" ht="13.2" customHeight="1" s="405">
      <c r="B931" s="117" t="n"/>
    </row>
    <row r="932" ht="13.2" customHeight="1" s="405">
      <c r="B932" s="117" t="n"/>
    </row>
    <row r="933" ht="13.2" customHeight="1" s="405">
      <c r="B933" s="117" t="n"/>
    </row>
    <row r="934" ht="13.2" customHeight="1" s="405">
      <c r="B934" s="117" t="n"/>
    </row>
    <row r="935" ht="13.2" customHeight="1" s="405">
      <c r="B935" s="117" t="n"/>
    </row>
    <row r="936" ht="13.2" customHeight="1" s="405">
      <c r="B936" s="117" t="n"/>
    </row>
    <row r="937" ht="13.2" customHeight="1" s="405">
      <c r="B937" s="117" t="n"/>
    </row>
    <row r="938" ht="13.2" customHeight="1" s="405">
      <c r="B938" s="117" t="n"/>
    </row>
    <row r="939" ht="13.2" customHeight="1" s="405">
      <c r="B939" s="117" t="n"/>
    </row>
    <row r="940" ht="13.2" customHeight="1" s="405">
      <c r="B940" s="117" t="n"/>
    </row>
    <row r="941" ht="13.2" customHeight="1" s="405">
      <c r="B941" s="117" t="n"/>
    </row>
    <row r="942" ht="13.2" customHeight="1" s="405">
      <c r="B942" s="117" t="n"/>
    </row>
    <row r="943" ht="13.2" customHeight="1" s="405">
      <c r="B943" s="117" t="n"/>
    </row>
    <row r="944" ht="13.2" customHeight="1" s="405">
      <c r="B944" s="117" t="n"/>
    </row>
    <row r="945" ht="13.2" customHeight="1" s="405">
      <c r="B945" s="117" t="n"/>
    </row>
    <row r="946" ht="13.2" customHeight="1" s="405">
      <c r="B946" s="117" t="n"/>
    </row>
    <row r="947" ht="13.2" customHeight="1" s="405">
      <c r="B947" s="117" t="n"/>
    </row>
    <row r="948" ht="13.2" customHeight="1" s="405">
      <c r="B948" s="117" t="n"/>
    </row>
    <row r="949" ht="13.2" customHeight="1" s="405">
      <c r="B949" s="117" t="n"/>
    </row>
    <row r="950" ht="13.2" customHeight="1" s="405">
      <c r="B950" s="117" t="n"/>
    </row>
    <row r="951" ht="13.2" customHeight="1" s="405">
      <c r="B951" s="117" t="n"/>
    </row>
    <row r="952" ht="13.2" customHeight="1" s="405">
      <c r="B952" s="117" t="n"/>
    </row>
    <row r="953" ht="13.2" customHeight="1" s="405">
      <c r="B953" s="117" t="n"/>
    </row>
    <row r="954" ht="13.2" customHeight="1" s="405">
      <c r="B954" s="117" t="n"/>
    </row>
    <row r="955" ht="13.2" customHeight="1" s="405">
      <c r="B955" s="117" t="n"/>
    </row>
    <row r="956" ht="13.2" customHeight="1" s="405">
      <c r="B956" s="117" t="n"/>
    </row>
    <row r="957" ht="13.2" customHeight="1" s="405">
      <c r="B957" s="117" t="n"/>
    </row>
    <row r="958" ht="13.2" customHeight="1" s="405">
      <c r="B958" s="117" t="n"/>
    </row>
    <row r="959" ht="13.2" customHeight="1" s="405">
      <c r="B959" s="117" t="n"/>
    </row>
    <row r="960" ht="13.2" customHeight="1" s="405">
      <c r="B960" s="117" t="n"/>
    </row>
    <row r="961" ht="13.2" customHeight="1" s="405">
      <c r="B961" s="117" t="n"/>
    </row>
    <row r="962" ht="13.2" customHeight="1" s="405">
      <c r="B962" s="117" t="n"/>
    </row>
    <row r="963" ht="13.2" customHeight="1" s="405">
      <c r="B963" s="117" t="n"/>
    </row>
    <row r="964" ht="13.2" customHeight="1" s="405">
      <c r="B964" s="117" t="n"/>
    </row>
    <row r="965" ht="13.2" customHeight="1" s="405">
      <c r="B965" s="117" t="n"/>
    </row>
    <row r="966" ht="13.2" customHeight="1" s="405">
      <c r="B966" s="117" t="n"/>
    </row>
    <row r="967" ht="13.2" customHeight="1" s="405">
      <c r="B967" s="117" t="n"/>
    </row>
    <row r="968" ht="13.2" customHeight="1" s="405">
      <c r="B968" s="117" t="n"/>
    </row>
    <row r="969" ht="13.2" customHeight="1" s="405">
      <c r="B969" s="117" t="n"/>
    </row>
    <row r="970" ht="13.2" customHeight="1" s="405">
      <c r="B970" s="117" t="n"/>
    </row>
    <row r="971" ht="13.2" customHeight="1" s="405">
      <c r="B971" s="117" t="n"/>
    </row>
    <row r="972" ht="13.2" customHeight="1" s="405">
      <c r="B972" s="117" t="n"/>
    </row>
    <row r="973" ht="13.2" customHeight="1" s="405">
      <c r="B973" s="117" t="n"/>
    </row>
    <row r="974" ht="13.2" customHeight="1" s="405">
      <c r="B974" s="117" t="n"/>
    </row>
    <row r="975" ht="13.2" customHeight="1" s="405">
      <c r="B975" s="117" t="n"/>
    </row>
    <row r="976" ht="13.2" customHeight="1" s="405">
      <c r="B976" s="117" t="n"/>
    </row>
    <row r="977" ht="13.2" customHeight="1" s="405">
      <c r="B977" s="117" t="n"/>
    </row>
    <row r="978" ht="13.2" customHeight="1" s="405">
      <c r="B978" s="117" t="n"/>
    </row>
    <row r="979" ht="13.2" customHeight="1" s="405">
      <c r="B979" s="117" t="n"/>
    </row>
    <row r="980" ht="13.2" customHeight="1" s="405">
      <c r="B980" s="117" t="n"/>
    </row>
    <row r="981" ht="13.2" customHeight="1" s="405">
      <c r="B981" s="117" t="n"/>
    </row>
    <row r="982" ht="13.2" customHeight="1" s="405">
      <c r="B982" s="117" t="n"/>
    </row>
    <row r="983" ht="13.2" customHeight="1" s="405">
      <c r="B983" s="117" t="n"/>
    </row>
    <row r="984" ht="13.2" customHeight="1" s="405">
      <c r="B984" s="117" t="n"/>
    </row>
    <row r="985" ht="13.2" customHeight="1" s="405">
      <c r="B985" s="117" t="n"/>
    </row>
    <row r="986" ht="13.2" customHeight="1" s="405">
      <c r="B986" s="117" t="n"/>
    </row>
    <row r="987" ht="13.2" customHeight="1" s="405">
      <c r="B987" s="117" t="n"/>
    </row>
    <row r="988" ht="13.2" customHeight="1" s="405">
      <c r="B988" s="117" t="n"/>
    </row>
    <row r="989" ht="13.2" customHeight="1" s="405">
      <c r="B989" s="117" t="n"/>
    </row>
    <row r="990" ht="13.2" customHeight="1" s="405">
      <c r="B990" s="117" t="n"/>
    </row>
    <row r="991" ht="13.2" customHeight="1" s="405">
      <c r="B991" s="117" t="n"/>
    </row>
    <row r="992" ht="13.2" customHeight="1" s="405">
      <c r="B992" s="117" t="n"/>
    </row>
    <row r="993" ht="13.2" customHeight="1" s="405">
      <c r="B993" s="117" t="n"/>
    </row>
    <row r="994" ht="13.2" customHeight="1" s="405">
      <c r="B994" s="117" t="n"/>
    </row>
    <row r="995" ht="13.2" customHeight="1" s="405">
      <c r="B995" s="117" t="n"/>
    </row>
    <row r="996" ht="13.2" customHeight="1" s="405">
      <c r="B996" s="117" t="n"/>
    </row>
    <row r="997" ht="13.2" customHeight="1" s="405">
      <c r="B997" s="117" t="n"/>
    </row>
    <row r="998" ht="13.2" customHeight="1" s="405">
      <c r="B998" s="117" t="n"/>
    </row>
    <row r="999" ht="13.2" customHeight="1" s="405">
      <c r="B999" s="117" t="n"/>
    </row>
  </sheetData>
  <mergeCells count="3">
    <mergeCell ref="A1:D1"/>
    <mergeCell ref="A2:A3"/>
    <mergeCell ref="B2:B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AI67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D4" sqref="D4"/>
    </sheetView>
  </sheetViews>
  <sheetFormatPr baseColWidth="8" defaultColWidth="12.6640625" defaultRowHeight="15.75" customHeight="1"/>
  <cols>
    <col width="5.33203125" customWidth="1" style="405" min="1" max="1"/>
    <col width="20.109375" customWidth="1" style="405" min="2" max="2"/>
    <col width="34" customWidth="1" style="405" min="10" max="10"/>
  </cols>
  <sheetData>
    <row r="1" ht="14.4" customHeight="1" s="405">
      <c r="A1" s="345" t="n"/>
      <c r="B1" s="345" t="n"/>
      <c r="C1" s="345" t="n"/>
      <c r="D1" s="8" t="n"/>
      <c r="E1" s="345" t="n"/>
      <c r="F1" s="345" t="n"/>
      <c r="G1" s="345" t="n"/>
      <c r="H1" s="345" t="n"/>
      <c r="I1" s="345" t="n"/>
      <c r="J1" s="345" t="n"/>
      <c r="K1" s="345" t="n"/>
      <c r="L1" s="345" t="n"/>
      <c r="M1" s="345" t="n"/>
      <c r="N1" s="345" t="n"/>
      <c r="O1" s="345" t="n"/>
      <c r="P1" s="9" t="n"/>
      <c r="Q1" s="9" t="n"/>
      <c r="R1" s="9" t="n"/>
      <c r="S1" s="9" t="n"/>
      <c r="T1" s="9" t="n"/>
      <c r="U1" s="9" t="n"/>
      <c r="V1" s="9" t="n"/>
      <c r="W1" s="9" t="n"/>
      <c r="X1" s="9" t="n"/>
      <c r="Y1" s="9" t="n"/>
      <c r="Z1" s="9" t="n"/>
      <c r="AA1" s="9" t="n"/>
      <c r="AB1" s="9" t="n"/>
      <c r="AC1" s="9" t="n"/>
      <c r="AD1" s="9" t="n"/>
      <c r="AE1" s="9" t="n"/>
      <c r="AF1" s="9" t="n"/>
      <c r="AG1" s="9" t="n"/>
      <c r="AH1" s="9" t="n"/>
      <c r="AI1" s="9" t="n"/>
    </row>
    <row r="2" ht="14.4" customHeight="1" s="405">
      <c r="A2" s="434" t="inlineStr">
        <is>
          <t>STT</t>
        </is>
      </c>
      <c r="B2" s="22" t="inlineStr">
        <is>
          <t>Số tài khoản</t>
        </is>
      </c>
      <c r="C2" s="212" t="inlineStr">
        <is>
          <t>Số Thẻ</t>
        </is>
      </c>
      <c r="D2" s="19" t="inlineStr">
        <is>
          <t>Số tiền chi tiêu hàng ngày theo đầu thẻ</t>
        </is>
      </c>
      <c r="E2" s="23" t="n"/>
      <c r="F2" s="23" t="n"/>
      <c r="G2" s="23" t="n"/>
      <c r="H2" s="23" t="n"/>
      <c r="I2" s="23" t="n"/>
      <c r="J2" s="23" t="n"/>
      <c r="K2" s="23" t="n"/>
      <c r="L2" s="23" t="n"/>
      <c r="M2" s="23" t="n"/>
      <c r="N2" s="23" t="n"/>
      <c r="O2" s="23" t="n"/>
      <c r="P2" s="23" t="n"/>
      <c r="Q2" s="23" t="n"/>
      <c r="R2" s="23" t="n"/>
      <c r="S2" s="23" t="n"/>
      <c r="T2" s="23" t="n"/>
      <c r="U2" s="23" t="n"/>
      <c r="V2" s="23" t="n"/>
      <c r="W2" s="23" t="n"/>
      <c r="X2" s="23" t="n"/>
      <c r="Y2" s="23" t="n"/>
      <c r="Z2" s="23" t="n"/>
      <c r="AA2" s="23" t="n"/>
      <c r="AB2" s="23" t="n"/>
      <c r="AC2" s="23" t="n"/>
      <c r="AD2" s="23" t="n"/>
      <c r="AE2" s="23" t="n"/>
      <c r="AF2" s="23" t="n"/>
      <c r="AG2" s="23" t="n"/>
      <c r="AH2" s="37" t="n"/>
      <c r="AI2" s="9" t="n"/>
    </row>
    <row r="3" ht="14.4" customHeight="1" s="405">
      <c r="A3" s="433" t="n"/>
      <c r="B3" s="433" t="n"/>
      <c r="C3" s="433" t="n"/>
      <c r="D3" s="41" t="n">
        <v>46204</v>
      </c>
      <c r="E3" s="41" t="n">
        <v>46205</v>
      </c>
      <c r="F3" s="41" t="n">
        <v>46206</v>
      </c>
      <c r="G3" s="41" t="n">
        <v>46207</v>
      </c>
      <c r="H3" s="41" t="n">
        <v>46208</v>
      </c>
      <c r="I3" s="41" t="n">
        <v>46209</v>
      </c>
      <c r="J3" s="41" t="n">
        <v>46210</v>
      </c>
      <c r="K3" s="41" t="n">
        <v>46211</v>
      </c>
      <c r="L3" s="41" t="n">
        <v>46212</v>
      </c>
      <c r="M3" s="41" t="n">
        <v>46213</v>
      </c>
      <c r="N3" s="41" t="n">
        <v>46214</v>
      </c>
      <c r="O3" s="41" t="n">
        <v>46215</v>
      </c>
      <c r="P3" s="41" t="n">
        <v>46216</v>
      </c>
      <c r="Q3" s="41" t="n">
        <v>46217</v>
      </c>
      <c r="R3" s="41" t="n">
        <v>46218</v>
      </c>
      <c r="S3" s="41" t="n">
        <v>46219</v>
      </c>
      <c r="T3" s="41" t="n">
        <v>46220</v>
      </c>
      <c r="U3" s="41" t="n">
        <v>46221</v>
      </c>
      <c r="V3" s="41" t="n">
        <v>46222</v>
      </c>
      <c r="W3" s="41" t="n">
        <v>46223</v>
      </c>
      <c r="X3" s="41" t="n">
        <v>46224</v>
      </c>
      <c r="Y3" s="41" t="n">
        <v>46225</v>
      </c>
      <c r="Z3" s="41" t="n">
        <v>46226</v>
      </c>
      <c r="AA3" s="41" t="n">
        <v>46227</v>
      </c>
      <c r="AB3" s="41" t="n">
        <v>46228</v>
      </c>
      <c r="AC3" s="41" t="n">
        <v>46229</v>
      </c>
      <c r="AD3" s="41" t="n">
        <v>46230</v>
      </c>
      <c r="AE3" s="41" t="n">
        <v>46231</v>
      </c>
      <c r="AF3" s="41" t="n">
        <v>46232</v>
      </c>
      <c r="AG3" s="41" t="n">
        <v>46233</v>
      </c>
      <c r="AH3" s="41" t="n">
        <v>46234</v>
      </c>
      <c r="AI3" s="9" t="n"/>
    </row>
    <row r="4" ht="15.6" customHeight="1" s="405">
      <c r="A4" s="347" t="n">
        <v>1</v>
      </c>
      <c r="B4" s="324" t="inlineStr">
        <is>
          <t>9793 - 801</t>
        </is>
      </c>
      <c r="C4" s="324" t="n">
        <v>9793</v>
      </c>
      <c r="D4" s="255" t="n">
        <v>9229260</v>
      </c>
      <c r="E4" s="257" t="n">
        <v>5182161</v>
      </c>
      <c r="F4" s="255" t="n">
        <v>8289036</v>
      </c>
      <c r="G4" s="257" t="n">
        <v>8289036</v>
      </c>
      <c r="H4" s="258" t="n">
        <v>0</v>
      </c>
      <c r="I4" s="259" t="n">
        <v>8289036</v>
      </c>
      <c r="J4" s="257" t="n">
        <v>0</v>
      </c>
      <c r="K4" s="257" t="n">
        <v>7805956</v>
      </c>
      <c r="L4" s="255" t="n">
        <v>3521304</v>
      </c>
      <c r="M4" s="257" t="n">
        <v>6123162</v>
      </c>
      <c r="N4" s="255" t="n">
        <v>0</v>
      </c>
      <c r="O4" s="255" t="n">
        <v>9383041</v>
      </c>
      <c r="P4" s="257" t="n">
        <v>0</v>
      </c>
      <c r="Q4" s="257" t="n">
        <v>9690633</v>
      </c>
      <c r="R4" s="255" t="n">
        <v>9690633</v>
      </c>
      <c r="S4" s="257" t="n">
        <v>0</v>
      </c>
      <c r="T4" s="260" t="n">
        <v>0</v>
      </c>
      <c r="U4" s="255" t="n">
        <v>10034153</v>
      </c>
      <c r="V4" s="257" t="n">
        <v>0</v>
      </c>
      <c r="W4" s="257" t="n">
        <v>9213361</v>
      </c>
      <c r="X4" s="261" t="n">
        <v>0</v>
      </c>
      <c r="Y4" s="261" t="n">
        <v>0</v>
      </c>
      <c r="Z4" s="257" t="n">
        <v>8984129</v>
      </c>
      <c r="AA4" s="262" t="n">
        <v>0</v>
      </c>
      <c r="AB4" s="263" t="n"/>
      <c r="AC4" s="263" t="n">
        <v>12456320</v>
      </c>
      <c r="AD4" s="262" t="n">
        <v>0</v>
      </c>
      <c r="AE4" s="265" t="n">
        <v>8522833</v>
      </c>
      <c r="AF4" s="262" t="n"/>
      <c r="AG4" s="263" t="n"/>
      <c r="AH4" s="262" t="n"/>
      <c r="AI4" s="76" t="n"/>
    </row>
    <row r="5" ht="14.4" customHeight="1" s="405">
      <c r="A5" s="347" t="n">
        <v>2</v>
      </c>
      <c r="B5" s="325" t="n"/>
      <c r="C5" s="325" t="n"/>
      <c r="D5" s="257" t="n">
        <v>5032621</v>
      </c>
      <c r="E5" s="257" t="n">
        <v>2720540</v>
      </c>
      <c r="F5" s="257" t="n">
        <v>7120282</v>
      </c>
      <c r="G5" s="257" t="n">
        <v>6257497</v>
      </c>
      <c r="H5" s="257" t="n">
        <v>1327332</v>
      </c>
      <c r="I5" s="257" t="n"/>
      <c r="J5" s="257" t="n">
        <v>7120282</v>
      </c>
      <c r="K5" s="257" t="n">
        <v>6838226</v>
      </c>
      <c r="L5" s="257" t="n">
        <v>0</v>
      </c>
      <c r="M5" s="257" t="n">
        <v>7363186</v>
      </c>
      <c r="N5" s="257" t="n">
        <v>0</v>
      </c>
      <c r="O5" s="325" t="n">
        <v>8159955</v>
      </c>
      <c r="P5" s="257" t="n">
        <v>0</v>
      </c>
      <c r="Q5" s="257" t="n">
        <v>0</v>
      </c>
      <c r="R5" s="257" t="n">
        <v>9332600</v>
      </c>
      <c r="S5" s="257" t="n">
        <v>0</v>
      </c>
      <c r="T5" s="257" t="n">
        <v>9314531</v>
      </c>
      <c r="U5" s="257" t="n">
        <v>0</v>
      </c>
      <c r="V5" s="257" t="n">
        <v>7995856</v>
      </c>
      <c r="W5" s="257" t="n">
        <v>0</v>
      </c>
      <c r="X5" s="257" t="n">
        <v>7995856</v>
      </c>
      <c r="Y5" s="257" t="n"/>
      <c r="Z5" s="257" t="n">
        <v>11170786</v>
      </c>
      <c r="AA5" s="262" t="n">
        <v>0</v>
      </c>
      <c r="AB5" s="263" t="n">
        <v>0</v>
      </c>
      <c r="AC5" s="263" t="n">
        <v>14549784</v>
      </c>
      <c r="AD5" s="262" t="n">
        <v>7248401</v>
      </c>
      <c r="AE5" s="262" t="n">
        <v>7248401</v>
      </c>
      <c r="AF5" s="262" t="n"/>
      <c r="AG5" s="263" t="n"/>
      <c r="AH5" s="262" t="n"/>
      <c r="AI5" s="76" t="n"/>
    </row>
    <row r="6" ht="14.4" customHeight="1" s="405">
      <c r="A6" s="347" t="n">
        <v>3</v>
      </c>
      <c r="B6" s="325" t="n"/>
      <c r="C6" s="325" t="n"/>
      <c r="D6" s="257" t="n">
        <v>2074621</v>
      </c>
      <c r="E6" s="257" t="n">
        <v>4061484</v>
      </c>
      <c r="F6" s="257" t="n">
        <v>3000727</v>
      </c>
      <c r="G6" s="257" t="n">
        <v>3000727</v>
      </c>
      <c r="H6" s="257" t="n">
        <v>3280813</v>
      </c>
      <c r="I6" s="257" t="n">
        <v>3025743</v>
      </c>
      <c r="J6" s="257" t="n">
        <v>3017731</v>
      </c>
      <c r="K6" s="257" t="n">
        <v>0</v>
      </c>
      <c r="L6" s="257" t="n">
        <v>4914457</v>
      </c>
      <c r="M6" s="257" t="n">
        <v>0</v>
      </c>
      <c r="N6" s="257" t="n">
        <v>3337232</v>
      </c>
      <c r="O6" s="257" t="n">
        <v>0</v>
      </c>
      <c r="P6" s="257" t="n">
        <v>0</v>
      </c>
      <c r="Q6" s="257" t="n">
        <v>0</v>
      </c>
      <c r="R6" s="257" t="n">
        <v>0</v>
      </c>
      <c r="S6" s="257" t="n">
        <v>6652375</v>
      </c>
      <c r="T6" s="257" t="n">
        <v>0</v>
      </c>
      <c r="U6" s="257" t="n">
        <v>0</v>
      </c>
      <c r="V6" s="257" t="n">
        <v>0</v>
      </c>
      <c r="W6" s="257" t="n">
        <v>0</v>
      </c>
      <c r="X6" s="257" t="n">
        <v>0</v>
      </c>
      <c r="Y6" s="325" t="n">
        <v>0</v>
      </c>
      <c r="Z6" s="265" t="n"/>
      <c r="AA6" s="262" t="n">
        <v>0</v>
      </c>
      <c r="AB6" s="265" t="n">
        <v>0</v>
      </c>
      <c r="AC6" s="267" t="n">
        <v>0</v>
      </c>
      <c r="AD6" s="267" t="n">
        <v>0</v>
      </c>
      <c r="AE6" s="262" t="n"/>
      <c r="AF6" s="265" t="n"/>
      <c r="AG6" s="76" t="n"/>
      <c r="AH6" s="265" t="n"/>
      <c r="AI6" s="76" t="n"/>
    </row>
    <row r="7" ht="14.4" customHeight="1" s="405">
      <c r="A7" s="347" t="n">
        <v>4</v>
      </c>
      <c r="B7" s="325" t="n"/>
      <c r="C7" s="325" t="n"/>
      <c r="D7" s="257" t="n"/>
      <c r="E7" s="257" t="n">
        <v>1934231</v>
      </c>
      <c r="F7" s="257" t="n"/>
      <c r="G7" s="257" t="n"/>
      <c r="H7" s="257" t="n"/>
      <c r="I7" s="257" t="n"/>
      <c r="J7" s="257" t="n"/>
      <c r="K7" s="257" t="n"/>
      <c r="L7" s="257" t="n"/>
      <c r="M7" s="257" t="n"/>
      <c r="N7" s="257" t="n"/>
      <c r="O7" s="267" t="n"/>
      <c r="P7" s="257" t="n"/>
      <c r="Q7" s="257" t="n"/>
      <c r="R7" s="257" t="n"/>
      <c r="S7" s="257" t="n"/>
      <c r="T7" s="257" t="n"/>
      <c r="U7" s="257" t="n"/>
      <c r="V7" s="257" t="n"/>
      <c r="W7" s="257" t="n"/>
      <c r="X7" s="257" t="n"/>
      <c r="Y7" s="265" t="n"/>
      <c r="Z7" s="265" t="n"/>
      <c r="AA7" s="265" t="n"/>
      <c r="AB7" s="262" t="n"/>
      <c r="AC7" s="265" t="n"/>
      <c r="AD7" s="267" t="n"/>
      <c r="AE7" s="263" t="n"/>
      <c r="AF7" s="265" t="n"/>
      <c r="AG7" s="268" t="n"/>
      <c r="AH7" s="265" t="n"/>
      <c r="AI7" s="76" t="n"/>
    </row>
    <row r="8" ht="14.4" customHeight="1" s="405">
      <c r="A8" s="82" t="inlineStr">
        <is>
          <t>Tổng</t>
        </is>
      </c>
      <c r="B8" s="83" t="n"/>
      <c r="C8" s="83">
        <f>+D8+E8+F8+G8+H8+I8+J8+K8+L8+M8+N8+O8++P8+Q8+R8+S8+T8+U8+V8+W8+X8+Y8+Z8+AA8+AB8+AC8+AD8+AE8+AF8+AG8+AH8</f>
        <v/>
      </c>
      <c r="D8" s="83">
        <f>SUM(D4:D7) /1.1</f>
        <v/>
      </c>
      <c r="E8" s="83">
        <f>SUM(E4:E7) /1.1</f>
        <v/>
      </c>
      <c r="F8" s="83">
        <f>SUM(F4:F7) /1.1</f>
        <v/>
      </c>
      <c r="G8" s="83">
        <f>SUM(G4:G7) /1.1</f>
        <v/>
      </c>
      <c r="H8" s="83">
        <f>SUM(H4:H7) /1.1</f>
        <v/>
      </c>
      <c r="I8" s="83">
        <f>SUM(I4:I7) /1.1</f>
        <v/>
      </c>
      <c r="J8" s="83">
        <f>SUM(J4:J7) /1.1</f>
        <v/>
      </c>
      <c r="K8" s="83">
        <f>SUM(K4:K7) /1.1</f>
        <v/>
      </c>
      <c r="L8" s="83">
        <f>SUM(L4:L7) /1.1</f>
        <v/>
      </c>
      <c r="M8" s="83">
        <f>SUM(M4:M7) /1.1</f>
        <v/>
      </c>
      <c r="N8" s="83">
        <f>SUM(N4:N7) /1.1</f>
        <v/>
      </c>
      <c r="O8" s="83">
        <f>SUM(O4:O7) /1.1</f>
        <v/>
      </c>
      <c r="P8" s="83">
        <f>SUM(P4:P7) /1.1</f>
        <v/>
      </c>
      <c r="Q8" s="83">
        <f>SUM(Q4:Q7) /1.1</f>
        <v/>
      </c>
      <c r="R8" s="83">
        <f>SUM(R4:R7) /1.1</f>
        <v/>
      </c>
      <c r="S8" s="83">
        <f>SUM(S4:S7) /1.1</f>
        <v/>
      </c>
      <c r="T8" s="83">
        <f>SUM(T4:T7) /1.1</f>
        <v/>
      </c>
      <c r="U8" s="83">
        <f>SUM(U4:U7) /1.1</f>
        <v/>
      </c>
      <c r="V8" s="83">
        <f>SUM(V4:V7) /1.1</f>
        <v/>
      </c>
      <c r="W8" s="83">
        <f>SUM(W4:W7) /1.1</f>
        <v/>
      </c>
      <c r="X8" s="83">
        <f>SUM(X4:X7) /1.1</f>
        <v/>
      </c>
      <c r="Y8" s="83">
        <f>SUM(Y4:Y7) /1.1</f>
        <v/>
      </c>
      <c r="Z8" s="83">
        <f>SUM(Z4:Z7) /1.1</f>
        <v/>
      </c>
      <c r="AA8" s="83">
        <f>SUM(AA4:AA7) /1.1</f>
        <v/>
      </c>
      <c r="AB8" s="83">
        <f>SUM(AB4:AB7) /1.1</f>
        <v/>
      </c>
      <c r="AC8" s="83">
        <f>SUM(AC4:AC7) /1.1</f>
        <v/>
      </c>
      <c r="AD8" s="83">
        <f>SUM(AD4:AD7) /1.1</f>
        <v/>
      </c>
      <c r="AE8" s="83">
        <f>SUM(AE4:AE7) /1.1</f>
        <v/>
      </c>
      <c r="AF8" s="83">
        <f>SUM(AF4:AF7) /1.1</f>
        <v/>
      </c>
      <c r="AG8" s="83">
        <f>SUM(AG4:AG7) /1.1</f>
        <v/>
      </c>
      <c r="AH8" s="83">
        <f>SUM(AH4:AH7) /1.1</f>
        <v/>
      </c>
      <c r="AI8" s="76" t="n"/>
    </row>
    <row r="9" ht="24.75" customHeight="1" s="405">
      <c r="A9" s="283" t="inlineStr">
        <is>
          <t>Kế toán check Hóa đơn</t>
        </is>
      </c>
      <c r="B9" s="345" t="n"/>
      <c r="C9" s="345" t="n"/>
      <c r="D9" s="8" t="n"/>
      <c r="E9" s="345" t="n"/>
      <c r="F9" s="345" t="n"/>
      <c r="G9" s="345" t="n"/>
      <c r="H9" s="345" t="n"/>
      <c r="I9" s="345" t="n"/>
      <c r="J9" s="345" t="n"/>
      <c r="K9" s="345" t="n"/>
      <c r="L9" s="345" t="n"/>
      <c r="M9" s="345" t="n"/>
      <c r="N9" s="345" t="n"/>
      <c r="O9" s="345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</row>
    <row r="10" ht="24.75" customHeight="1" s="405">
      <c r="A10" s="284" t="inlineStr">
        <is>
          <t>Chênh lệch</t>
        </is>
      </c>
      <c r="B10" s="345" t="n"/>
      <c r="C10" s="345" t="n"/>
      <c r="D10" s="113">
        <f>D8-D9</f>
        <v/>
      </c>
      <c r="E10" s="113">
        <f>E8-E9</f>
        <v/>
      </c>
      <c r="F10" s="113">
        <f>F8-F9</f>
        <v/>
      </c>
      <c r="G10" s="113">
        <f>G8-G9</f>
        <v/>
      </c>
      <c r="H10" s="113">
        <f>H8-H9</f>
        <v/>
      </c>
      <c r="I10" s="113">
        <f>I8-I9</f>
        <v/>
      </c>
      <c r="J10" s="113">
        <f>J8-J9</f>
        <v/>
      </c>
      <c r="K10" s="113">
        <f>K8-K9</f>
        <v/>
      </c>
      <c r="L10" s="113">
        <f>L8-L9</f>
        <v/>
      </c>
      <c r="M10" s="113">
        <f>M8-M9</f>
        <v/>
      </c>
      <c r="N10" s="113">
        <f>N8-N9</f>
        <v/>
      </c>
      <c r="O10" s="113">
        <f>O8-O9</f>
        <v/>
      </c>
      <c r="P10" s="113">
        <f>P8-P9</f>
        <v/>
      </c>
      <c r="Q10" s="113">
        <f>Q8-Q9</f>
        <v/>
      </c>
      <c r="R10" s="113">
        <f>R8-R9</f>
        <v/>
      </c>
      <c r="S10" s="113">
        <f>S8-S9</f>
        <v/>
      </c>
      <c r="T10" s="113">
        <f>T8-T9</f>
        <v/>
      </c>
      <c r="U10" s="113">
        <f>U8-U9</f>
        <v/>
      </c>
      <c r="V10" s="113">
        <f>V8-V9</f>
        <v/>
      </c>
      <c r="W10" s="113">
        <f>W8-W9</f>
        <v/>
      </c>
      <c r="X10" s="113">
        <f>X8-X9</f>
        <v/>
      </c>
      <c r="Y10" s="113">
        <f>Y8-Y9</f>
        <v/>
      </c>
      <c r="Z10" s="113">
        <f>Z8-Z9</f>
        <v/>
      </c>
      <c r="AA10" s="113">
        <f>AA8-AA9</f>
        <v/>
      </c>
      <c r="AB10" s="113">
        <f>AB8-AB9</f>
        <v/>
      </c>
      <c r="AC10" s="113">
        <f>AC8-AC9</f>
        <v/>
      </c>
      <c r="AD10" s="113">
        <f>AD8-AD9</f>
        <v/>
      </c>
      <c r="AE10" s="113">
        <f>AE8-AE9</f>
        <v/>
      </c>
      <c r="AF10" s="113">
        <f>AF8-AF9</f>
        <v/>
      </c>
      <c r="AG10" s="113">
        <f>AG8-AG9</f>
        <v/>
      </c>
      <c r="AH10" s="113">
        <f>AH8-AH9</f>
        <v/>
      </c>
      <c r="AI10" s="9" t="n"/>
    </row>
    <row r="11"/>
    <row r="12"/>
    <row r="13"/>
    <row r="14" ht="13.8" customHeight="1" s="405">
      <c r="B14" s="118" t="inlineStr">
        <is>
          <t>Facebook Billing</t>
        </is>
      </c>
      <c r="D14" s="118" t="n"/>
    </row>
    <row r="15" ht="31.2" customHeight="1" s="405">
      <c r="B15" s="119" t="inlineStr">
        <is>
          <t>Ngày thanh toán</t>
        </is>
      </c>
      <c r="C15" s="119" t="inlineStr">
        <is>
          <t>Phương thức TT</t>
        </is>
      </c>
      <c r="D15" s="119" t="inlineStr">
        <is>
          <t>Số tham chiếu thẻ</t>
        </is>
      </c>
      <c r="E15" s="120" t="inlineStr">
        <is>
          <t>Số tiền</t>
        </is>
      </c>
      <c r="G15" s="419" t="inlineStr">
        <is>
          <t xml:space="preserve">Link thư mục ảnh hóa đơn </t>
        </is>
      </c>
      <c r="I15" s="326" t="inlineStr">
        <is>
          <t>Hóa Đơn Tháng 7</t>
        </is>
      </c>
      <c r="J15" t="inlineStr">
        <is>
          <t>Ten tab nguon</t>
        </is>
      </c>
    </row>
    <row r="16" ht="13.2" customHeight="1" s="405">
      <c r="B16" s="327" t="n">
        <v>46204</v>
      </c>
      <c r="C16" s="328" t="inlineStr">
        <is>
          <t>Visa ···· 9793</t>
        </is>
      </c>
      <c r="D16" s="328" t="inlineStr">
        <is>
          <t>TQWMGV5HX2</t>
        </is>
      </c>
      <c r="E16" s="329" t="n">
        <v>9229260</v>
      </c>
      <c r="F16" s="327" t="inlineStr">
        <is>
          <t>1 Tháng 7, 2026</t>
        </is>
      </c>
      <c r="G16" s="329" t="n">
        <v>9229260</v>
      </c>
      <c r="H16" s="328" t="inlineStr">
        <is>
          <t>Visa ···· 9793</t>
        </is>
      </c>
      <c r="I16" s="328" t="inlineStr">
        <is>
          <t>TQWMGV5HX2</t>
        </is>
      </c>
      <c r="J16" s="328" t="inlineStr">
        <is>
          <t>Trang tính12</t>
        </is>
      </c>
    </row>
    <row r="17" ht="13.2" customHeight="1" s="405">
      <c r="B17" s="327" t="n">
        <v>46204</v>
      </c>
      <c r="C17" s="328" t="inlineStr">
        <is>
          <t>Visa ···· 9793</t>
        </is>
      </c>
      <c r="D17" s="328" t="inlineStr">
        <is>
          <t>9YWUKV9HX2</t>
        </is>
      </c>
      <c r="E17" s="329" t="n">
        <v>5032621</v>
      </c>
      <c r="F17" s="327" t="inlineStr">
        <is>
          <t>1 Tháng 7, 2026</t>
        </is>
      </c>
      <c r="G17" s="329" t="n">
        <v>5032621</v>
      </c>
      <c r="H17" s="328" t="inlineStr">
        <is>
          <t>Visa ···· 9793</t>
        </is>
      </c>
      <c r="I17" s="328" t="inlineStr">
        <is>
          <t>9YWUKV9HX2</t>
        </is>
      </c>
      <c r="J17" s="328" t="inlineStr">
        <is>
          <t>Trang tính8</t>
        </is>
      </c>
    </row>
    <row r="18" ht="13.2" customHeight="1" s="405">
      <c r="B18" s="327" t="n">
        <v>46204</v>
      </c>
      <c r="C18" s="328" t="inlineStr">
        <is>
          <t>Visa ···· 9793</t>
        </is>
      </c>
      <c r="D18" s="328" t="inlineStr">
        <is>
          <t>CM3HYVVJK2</t>
        </is>
      </c>
      <c r="E18" s="329" t="n">
        <v>2074621</v>
      </c>
      <c r="F18" s="327" t="inlineStr">
        <is>
          <t>1 Tháng 7, 2026</t>
        </is>
      </c>
      <c r="G18" s="329" t="n">
        <v>2074621</v>
      </c>
      <c r="H18" s="328" t="inlineStr">
        <is>
          <t>Visa ···· 9793</t>
        </is>
      </c>
      <c r="I18" s="328" t="inlineStr">
        <is>
          <t>CM3HYVVJK2</t>
        </is>
      </c>
      <c r="J18" s="328" t="inlineStr">
        <is>
          <t>Quang Anh 1 +7 (861578506991731</t>
        </is>
      </c>
    </row>
    <row r="19" ht="13.2" customHeight="1" s="405">
      <c r="B19" s="327" t="n">
        <v>46205</v>
      </c>
      <c r="C19" s="328" t="inlineStr">
        <is>
          <t>Visa ···· 9793</t>
        </is>
      </c>
      <c r="D19" s="328" t="inlineStr">
        <is>
          <t>CNFBXUMHX2</t>
        </is>
      </c>
      <c r="E19" s="329" t="n">
        <v>5182161</v>
      </c>
      <c r="F19" s="327" t="inlineStr">
        <is>
          <t>2 Tháng 7, 2026</t>
        </is>
      </c>
      <c r="G19" s="329" t="n">
        <v>5182161</v>
      </c>
      <c r="H19" s="328" t="inlineStr">
        <is>
          <t>Visa ···· 9793</t>
        </is>
      </c>
      <c r="I19" s="328" t="inlineStr">
        <is>
          <t>CNFBXUMHX2</t>
        </is>
      </c>
      <c r="J19" s="328" t="inlineStr">
        <is>
          <t>Trang tính12</t>
        </is>
      </c>
    </row>
    <row r="20" ht="13.2" customHeight="1" s="405">
      <c r="B20" s="327" t="n">
        <v>46205</v>
      </c>
      <c r="C20" s="328" t="inlineStr">
        <is>
          <t>Visa ···· 9793</t>
        </is>
      </c>
      <c r="D20" s="328" t="inlineStr">
        <is>
          <t>P242LV5HX2</t>
        </is>
      </c>
      <c r="E20" s="329" t="n">
        <v>2720540</v>
      </c>
      <c r="F20" s="327" t="inlineStr">
        <is>
          <t>2 Tháng 7, 2026</t>
        </is>
      </c>
      <c r="G20" s="329" t="n">
        <v>2720540</v>
      </c>
      <c r="H20" s="328" t="inlineStr">
        <is>
          <t>Visa ···· 9793</t>
        </is>
      </c>
      <c r="I20" s="328" t="inlineStr">
        <is>
          <t>P242LV5HX2</t>
        </is>
      </c>
      <c r="J20" s="328" t="inlineStr">
        <is>
          <t>Trang tính8</t>
        </is>
      </c>
    </row>
    <row r="21" ht="13.2" customHeight="1" s="405">
      <c r="B21" s="327" t="n">
        <v>46205</v>
      </c>
      <c r="C21" s="328" t="inlineStr">
        <is>
          <t>Visa ···· 9793</t>
        </is>
      </c>
      <c r="D21" s="328" t="inlineStr">
        <is>
          <t>A7FBYUMHX2</t>
        </is>
      </c>
      <c r="E21" s="331" t="n">
        <v>1934231</v>
      </c>
      <c r="F21" s="327" t="inlineStr">
        <is>
          <t>2 Tháng 7, 2026</t>
        </is>
      </c>
      <c r="G21" s="460" t="n">
        <v>1934231</v>
      </c>
      <c r="H21" s="328" t="inlineStr">
        <is>
          <t>Visa ···· 9793</t>
        </is>
      </c>
      <c r="I21" s="328" t="inlineStr">
        <is>
          <t>A7FBYUMHX2</t>
        </is>
      </c>
      <c r="J21" s="328" t="inlineStr">
        <is>
          <t>Trang tính14</t>
        </is>
      </c>
    </row>
    <row r="22" ht="13.2" customHeight="1" s="405">
      <c r="B22" s="327" t="n">
        <v>46205</v>
      </c>
      <c r="C22" s="328" t="inlineStr">
        <is>
          <t>Visa ···· 9793</t>
        </is>
      </c>
      <c r="D22" s="328" t="inlineStr">
        <is>
          <t>XJCLBUZJK2</t>
        </is>
      </c>
      <c r="E22" s="329" t="n">
        <v>2030742</v>
      </c>
      <c r="F22" s="327" t="inlineStr">
        <is>
          <t>2 Tháng 7, 2026</t>
        </is>
      </c>
      <c r="G22" s="329" t="n">
        <v>2030742</v>
      </c>
      <c r="H22" s="328" t="inlineStr">
        <is>
          <t>Visa ···· 9793</t>
        </is>
      </c>
      <c r="I22" s="328" t="inlineStr">
        <is>
          <t>XJCLBUZJK2</t>
        </is>
      </c>
      <c r="J22" s="328" t="inlineStr">
        <is>
          <t>Quang Anh 1 +7 (861578506991731</t>
        </is>
      </c>
    </row>
    <row r="23" ht="13.2" customHeight="1" s="405">
      <c r="B23" s="327" t="n">
        <v>46205</v>
      </c>
      <c r="C23" s="328" t="inlineStr">
        <is>
          <t>Visa ···· 9793</t>
        </is>
      </c>
      <c r="D23" s="328" t="inlineStr">
        <is>
          <t>GGZP3WDJK2</t>
        </is>
      </c>
      <c r="E23" s="329" t="n">
        <v>2030742</v>
      </c>
      <c r="F23" s="327" t="inlineStr">
        <is>
          <t>2 Tháng 7, 2026</t>
        </is>
      </c>
      <c r="G23" s="329" t="n">
        <v>2030742</v>
      </c>
      <c r="H23" s="328" t="inlineStr">
        <is>
          <t>Visa ···· 9793</t>
        </is>
      </c>
      <c r="I23" s="328" t="inlineStr">
        <is>
          <t>GGZP3WDJK2</t>
        </is>
      </c>
      <c r="J23" s="328" t="inlineStr">
        <is>
          <t>Quang Anh 1 +7 (861578506991731</t>
        </is>
      </c>
    </row>
    <row r="24" ht="13.2" customHeight="1" s="405">
      <c r="B24" s="333" t="n">
        <v>46206</v>
      </c>
      <c r="C24" s="328" t="inlineStr">
        <is>
          <t>Visa ···· 9793</t>
        </is>
      </c>
      <c r="D24" s="328" t="inlineStr">
        <is>
          <t>DNH6XVDHX2</t>
        </is>
      </c>
      <c r="E24" s="329" t="n">
        <v>8289036</v>
      </c>
      <c r="F24" s="333" t="inlineStr">
        <is>
          <t>3 Tháng 7, 2026</t>
        </is>
      </c>
      <c r="G24" s="329" t="n">
        <v>8289036</v>
      </c>
      <c r="H24" s="328" t="inlineStr">
        <is>
          <t>Visa ···· 9793</t>
        </is>
      </c>
      <c r="I24" s="328" t="inlineStr">
        <is>
          <t>DNH6XVDHX2</t>
        </is>
      </c>
      <c r="J24" s="328" t="inlineStr">
        <is>
          <t>Trang tính12</t>
        </is>
      </c>
    </row>
    <row r="25" ht="13.2" customHeight="1" s="405">
      <c r="B25" s="333" t="n">
        <v>46206</v>
      </c>
      <c r="C25" s="328" t="inlineStr">
        <is>
          <t>Visa ···· 9793</t>
        </is>
      </c>
      <c r="D25" s="328" t="inlineStr">
        <is>
          <t>ZAAXCVVHX2</t>
        </is>
      </c>
      <c r="E25" s="329" t="n">
        <v>7120282</v>
      </c>
      <c r="F25" s="333" t="inlineStr">
        <is>
          <t>3 Tháng 7, 2026</t>
        </is>
      </c>
      <c r="G25" s="329" t="n">
        <v>7120282</v>
      </c>
      <c r="H25" s="328" t="inlineStr">
        <is>
          <t>Visa ···· 9793</t>
        </is>
      </c>
      <c r="I25" s="328" t="inlineStr">
        <is>
          <t>ZAAXCVVHX2</t>
        </is>
      </c>
      <c r="J25" s="328" t="inlineStr">
        <is>
          <t>Trang tính8</t>
        </is>
      </c>
    </row>
    <row r="26" ht="13.2" customHeight="1" s="405">
      <c r="B26" s="333" t="n">
        <v>46206</v>
      </c>
      <c r="C26" s="328" t="inlineStr">
        <is>
          <t>Visa ···· 9793</t>
        </is>
      </c>
      <c r="D26" s="328" t="inlineStr">
        <is>
          <t>3QUFBURJK2</t>
        </is>
      </c>
      <c r="E26" s="329" t="n">
        <v>3000727</v>
      </c>
      <c r="F26" s="333" t="inlineStr">
        <is>
          <t>3 Tháng 7, 2026</t>
        </is>
      </c>
      <c r="G26" s="329" t="n">
        <v>3000727</v>
      </c>
      <c r="H26" s="328" t="inlineStr">
        <is>
          <t>Visa ···· 9793</t>
        </is>
      </c>
      <c r="I26" s="328" t="inlineStr">
        <is>
          <t>3QUFBURJK2</t>
        </is>
      </c>
      <c r="J26" s="328" t="inlineStr">
        <is>
          <t>Quang Anh 1 +7 (861578506991731</t>
        </is>
      </c>
    </row>
    <row r="27" ht="13.2" customHeight="1" s="405">
      <c r="B27" s="334" t="n">
        <v>46207</v>
      </c>
      <c r="C27" s="328" t="inlineStr">
        <is>
          <t>Visa ···· 9793</t>
        </is>
      </c>
      <c r="D27" s="328" t="inlineStr">
        <is>
          <t>WSB23WDHX2</t>
        </is>
      </c>
      <c r="E27" s="329" t="n">
        <v>8289036</v>
      </c>
      <c r="F27" s="334" t="inlineStr">
        <is>
          <t>4 Tháng 7, 2026</t>
        </is>
      </c>
      <c r="G27" s="329" t="n">
        <v>8289036</v>
      </c>
      <c r="H27" s="328" t="inlineStr">
        <is>
          <t>Visa ···· 9793</t>
        </is>
      </c>
      <c r="I27" s="328" t="inlineStr">
        <is>
          <t>WSB23WDHX2</t>
        </is>
      </c>
      <c r="J27" s="328" t="inlineStr">
        <is>
          <t>Trang tính12</t>
        </is>
      </c>
    </row>
    <row r="28" ht="13.2" customHeight="1" s="405">
      <c r="B28" s="334" t="n">
        <v>46207</v>
      </c>
      <c r="C28" s="328" t="inlineStr">
        <is>
          <t>Visa ···· 9793</t>
        </is>
      </c>
      <c r="D28" s="328" t="inlineStr">
        <is>
          <t>3AT2GWZGX2</t>
        </is>
      </c>
      <c r="E28" s="329" t="n">
        <v>893928</v>
      </c>
      <c r="F28" s="334" t="inlineStr">
        <is>
          <t>4 Tháng 7, 2026</t>
        </is>
      </c>
      <c r="G28" s="329" t="n">
        <v>893928</v>
      </c>
      <c r="H28" s="328" t="inlineStr">
        <is>
          <t>Visa ···· 9793</t>
        </is>
      </c>
      <c r="I28" s="328" t="inlineStr">
        <is>
          <t>3AT2GWZGX2</t>
        </is>
      </c>
      <c r="J28" s="328" t="inlineStr">
        <is>
          <t>Trang tính8</t>
        </is>
      </c>
    </row>
    <row r="29" ht="13.2" customHeight="1" s="405">
      <c r="B29" s="334" t="n">
        <v>46207</v>
      </c>
      <c r="C29" s="328" t="inlineStr">
        <is>
          <t>Visa ···· 9793</t>
        </is>
      </c>
      <c r="D29" s="328" t="inlineStr">
        <is>
          <t>EHSEHVVHX2</t>
        </is>
      </c>
      <c r="E29" s="329" t="n">
        <v>1787856</v>
      </c>
      <c r="F29" s="334" t="inlineStr">
        <is>
          <t>4 Tháng 7, 2026</t>
        </is>
      </c>
      <c r="G29" s="329" t="n">
        <v>1787856</v>
      </c>
      <c r="H29" s="328" t="inlineStr">
        <is>
          <t>Visa ···· 9793</t>
        </is>
      </c>
      <c r="I29" s="328" t="inlineStr">
        <is>
          <t>EHSEHVVHX2</t>
        </is>
      </c>
      <c r="J29" s="328" t="inlineStr">
        <is>
          <t>Trang tính8</t>
        </is>
      </c>
    </row>
    <row r="30" ht="13.2" customHeight="1" s="405">
      <c r="B30" s="334" t="n">
        <v>46207</v>
      </c>
      <c r="C30" s="328" t="inlineStr">
        <is>
          <t>Visa ···· 9793</t>
        </is>
      </c>
      <c r="D30" s="335" t="inlineStr">
        <is>
          <t>WGY99XHHX2</t>
        </is>
      </c>
      <c r="E30" s="329" t="n">
        <v>3575713</v>
      </c>
      <c r="F30" s="334" t="inlineStr">
        <is>
          <t>4 Tháng 7, 2026</t>
        </is>
      </c>
      <c r="G30" s="329" t="n">
        <v>3575713</v>
      </c>
      <c r="H30" s="328" t="inlineStr">
        <is>
          <t>Visa ···· 9793</t>
        </is>
      </c>
      <c r="I30" s="335" t="inlineStr">
        <is>
          <t>WGY99XHHX2</t>
        </is>
      </c>
      <c r="J30" s="335" t="inlineStr">
        <is>
          <t>Trang tính8</t>
        </is>
      </c>
    </row>
    <row r="31" ht="13.2" customHeight="1" s="405">
      <c r="B31" s="334" t="n">
        <v>46207</v>
      </c>
      <c r="C31" s="328" t="inlineStr">
        <is>
          <t>Visa ···· 9793</t>
        </is>
      </c>
      <c r="D31" s="328" t="inlineStr">
        <is>
          <t>RURQJUZJK2</t>
        </is>
      </c>
      <c r="E31" s="329" t="n">
        <v>3000727</v>
      </c>
      <c r="F31" s="334" t="inlineStr">
        <is>
          <t>4 Tháng 7, 2026</t>
        </is>
      </c>
      <c r="G31" s="329" t="n">
        <v>3000727</v>
      </c>
      <c r="H31" s="328" t="inlineStr">
        <is>
          <t>Visa ···· 9793</t>
        </is>
      </c>
      <c r="I31" s="328" t="inlineStr">
        <is>
          <t>RURQJUZJK2</t>
        </is>
      </c>
      <c r="J31" s="328" t="inlineStr">
        <is>
          <t>Quang Anh 1 +7 (861578506991731</t>
        </is>
      </c>
    </row>
    <row r="32" ht="13.2" customHeight="1" s="405">
      <c r="B32" s="334" t="n">
        <v>46208</v>
      </c>
      <c r="C32" s="328" t="inlineStr">
        <is>
          <t>Visa ···· 9793</t>
        </is>
      </c>
      <c r="D32" s="328" t="inlineStr">
        <is>
          <t>BBFKJWZGX2</t>
        </is>
      </c>
      <c r="E32" s="329" t="n">
        <v>1327332</v>
      </c>
      <c r="F32" s="334" t="inlineStr">
        <is>
          <t>5 Tháng 7, 2026</t>
        </is>
      </c>
      <c r="G32" s="329" t="n">
        <v>1327332</v>
      </c>
      <c r="H32" s="328" t="inlineStr">
        <is>
          <t>Visa ···· 9793</t>
        </is>
      </c>
      <c r="I32" s="328" t="inlineStr">
        <is>
          <t>BBFKJWZGX2</t>
        </is>
      </c>
      <c r="J32" s="328" t="inlineStr">
        <is>
          <t>Trang tính8</t>
        </is>
      </c>
    </row>
    <row r="33" ht="13.2" customHeight="1" s="405">
      <c r="B33" s="334" t="n">
        <v>46208</v>
      </c>
      <c r="C33" s="328" t="inlineStr">
        <is>
          <t>Visa ···· 9793</t>
        </is>
      </c>
      <c r="D33" s="328" t="inlineStr">
        <is>
          <t>8ZUQNZHJK2</t>
        </is>
      </c>
      <c r="E33" s="329" t="n">
        <v>3280813</v>
      </c>
      <c r="F33" s="334" t="inlineStr">
        <is>
          <t>5 Tháng 7, 2026</t>
        </is>
      </c>
      <c r="G33" s="329" t="n">
        <v>3280813</v>
      </c>
      <c r="H33" s="328" t="inlineStr">
        <is>
          <t>Visa ···· 9793</t>
        </is>
      </c>
      <c r="I33" s="328" t="inlineStr">
        <is>
          <t>8ZUQNZHJK2</t>
        </is>
      </c>
      <c r="J33" s="328" t="inlineStr">
        <is>
          <t>Quang Anh 1 +7 (861578506991731</t>
        </is>
      </c>
    </row>
    <row r="34" ht="13.2" customHeight="1" s="405">
      <c r="B34" s="334" t="n">
        <v>46209</v>
      </c>
      <c r="C34" s="328" t="inlineStr">
        <is>
          <t>Visa ···· 9793</t>
        </is>
      </c>
      <c r="D34" s="328" t="inlineStr">
        <is>
          <t>FXQX2W5HX2</t>
        </is>
      </c>
      <c r="E34" s="329" t="n">
        <v>8289036</v>
      </c>
      <c r="F34" s="334" t="inlineStr">
        <is>
          <t>6 Tháng 7, 2026</t>
        </is>
      </c>
      <c r="G34" s="329" t="n">
        <v>8289036</v>
      </c>
      <c r="H34" s="328" t="inlineStr">
        <is>
          <t>Visa ···· 9793</t>
        </is>
      </c>
      <c r="I34" s="328" t="inlineStr">
        <is>
          <t>FXQX2W5HX2</t>
        </is>
      </c>
      <c r="J34" s="328" t="inlineStr">
        <is>
          <t>Trang tính12</t>
        </is>
      </c>
    </row>
    <row r="35" ht="13.2" customHeight="1" s="405">
      <c r="B35" s="334" t="n">
        <v>46209</v>
      </c>
      <c r="C35" s="328" t="inlineStr">
        <is>
          <t>Visa ···· 9793</t>
        </is>
      </c>
      <c r="D35" s="328" t="inlineStr">
        <is>
          <t>7GFNQUZJK2</t>
        </is>
      </c>
      <c r="E35" s="329" t="n">
        <v>378062</v>
      </c>
      <c r="F35" s="334" t="inlineStr">
        <is>
          <t>6 Tháng 7, 2026</t>
        </is>
      </c>
      <c r="G35" s="329" t="n">
        <v>378062</v>
      </c>
      <c r="H35" s="328" t="inlineStr">
        <is>
          <t>Visa ···· 9793</t>
        </is>
      </c>
      <c r="I35" s="328" t="inlineStr">
        <is>
          <t>7GFNQUZJK2</t>
        </is>
      </c>
      <c r="J35" s="328" t="inlineStr">
        <is>
          <t>Quang Anh 1 +7 (861578506991731</t>
        </is>
      </c>
    </row>
    <row r="36" ht="13.2" customHeight="1" s="405">
      <c r="B36" s="334" t="n">
        <v>46209</v>
      </c>
      <c r="C36" s="328" t="inlineStr">
        <is>
          <t>Visa ···· 9793</t>
        </is>
      </c>
      <c r="D36" s="328" t="inlineStr">
        <is>
          <t>K87ZGXDKK2</t>
        </is>
      </c>
      <c r="E36" s="329" t="n">
        <v>2647681</v>
      </c>
      <c r="F36" s="334" t="inlineStr">
        <is>
          <t>6 Tháng 7, 2026</t>
        </is>
      </c>
      <c r="G36" s="329" t="n">
        <v>2647681</v>
      </c>
      <c r="H36" s="328" t="inlineStr">
        <is>
          <t>Visa ···· 9793</t>
        </is>
      </c>
      <c r="I36" s="328" t="inlineStr">
        <is>
          <t>K87ZGXDKK2</t>
        </is>
      </c>
      <c r="J36" s="328" t="inlineStr">
        <is>
          <t>Quang Anh 1 +7 (861578506991731</t>
        </is>
      </c>
    </row>
    <row r="37" ht="13.2" customHeight="1" s="405">
      <c r="B37" s="334" t="n">
        <v>46210</v>
      </c>
      <c r="C37" s="328" t="inlineStr">
        <is>
          <t>Visa ···· 9793</t>
        </is>
      </c>
      <c r="D37" s="328" t="inlineStr">
        <is>
          <t>K6JADWVGX2</t>
        </is>
      </c>
      <c r="E37" s="329" t="n">
        <v>7120282</v>
      </c>
      <c r="F37" s="334" t="inlineStr">
        <is>
          <t>7 Tháng 7, 2026</t>
        </is>
      </c>
      <c r="G37" s="329" t="n">
        <v>7120282</v>
      </c>
      <c r="H37" s="328" t="inlineStr">
        <is>
          <t>Visa ···· 9793</t>
        </is>
      </c>
      <c r="I37" s="328" t="inlineStr">
        <is>
          <t>K6JADWVGX2</t>
        </is>
      </c>
      <c r="J37" s="328" t="inlineStr">
        <is>
          <t>Trang tính8</t>
        </is>
      </c>
    </row>
    <row r="38" ht="13.2" customHeight="1" s="405">
      <c r="B38" s="334" t="n">
        <v>46210</v>
      </c>
      <c r="C38" s="328" t="inlineStr">
        <is>
          <t>Visa ···· 9793</t>
        </is>
      </c>
      <c r="D38" s="328" t="inlineStr">
        <is>
          <t>FJF9QURJK2</t>
        </is>
      </c>
      <c r="E38" s="329" t="n">
        <v>3017731</v>
      </c>
      <c r="F38" s="334" t="inlineStr">
        <is>
          <t>7 Tháng 7, 2026</t>
        </is>
      </c>
      <c r="G38" s="329" t="n">
        <v>3017731</v>
      </c>
      <c r="H38" s="328" t="inlineStr">
        <is>
          <t>Visa ···· 9793</t>
        </is>
      </c>
      <c r="I38" s="328" t="inlineStr">
        <is>
          <t>FJF9QURJK2</t>
        </is>
      </c>
      <c r="J38" s="328" t="inlineStr">
        <is>
          <t>Quang Anh 1 +7 (861578506991731</t>
        </is>
      </c>
    </row>
    <row r="39" ht="13.2" customHeight="1" s="405">
      <c r="B39" s="334" t="n">
        <v>46211</v>
      </c>
      <c r="C39" s="328" t="inlineStr">
        <is>
          <t>Visa ···· 9793</t>
        </is>
      </c>
      <c r="D39" s="328" t="inlineStr">
        <is>
          <t>JE4DVVVHX2</t>
        </is>
      </c>
      <c r="E39" s="329" t="n">
        <v>7805956</v>
      </c>
      <c r="F39" s="334" t="inlineStr">
        <is>
          <t>8 Tháng 7, 2026</t>
        </is>
      </c>
      <c r="G39" s="329" t="n">
        <v>7805956</v>
      </c>
      <c r="H39" s="328" t="inlineStr">
        <is>
          <t>Visa ···· 9793</t>
        </is>
      </c>
      <c r="I39" s="328" t="inlineStr">
        <is>
          <t>JE4DVVVHX2</t>
        </is>
      </c>
      <c r="J39" s="328" t="inlineStr">
        <is>
          <t>Trang tính12</t>
        </is>
      </c>
    </row>
    <row r="40" ht="13.2" customHeight="1" s="405">
      <c r="B40" s="334" t="n">
        <v>46211</v>
      </c>
      <c r="C40" s="328" t="inlineStr">
        <is>
          <t>Visa ···· 9793</t>
        </is>
      </c>
      <c r="D40" s="328" t="inlineStr">
        <is>
          <t>Y3W6HWDHX2</t>
        </is>
      </c>
      <c r="E40" s="329" t="n">
        <v>6838226</v>
      </c>
      <c r="F40" s="334" t="inlineStr">
        <is>
          <t>8 Tháng 7, 2026</t>
        </is>
      </c>
      <c r="G40" s="329" t="n">
        <v>6838226</v>
      </c>
      <c r="H40" s="328" t="inlineStr">
        <is>
          <t>Visa ···· 9793</t>
        </is>
      </c>
      <c r="I40" s="328" t="inlineStr">
        <is>
          <t>Y3W6HWDHX2</t>
        </is>
      </c>
      <c r="J40" s="328" t="inlineStr">
        <is>
          <t>Trang tính8</t>
        </is>
      </c>
    </row>
    <row r="41" ht="13.2" customHeight="1" s="405">
      <c r="B41" s="334" t="n">
        <v>46212</v>
      </c>
      <c r="C41" s="328" t="inlineStr">
        <is>
          <t>Visa ···· 9793</t>
        </is>
      </c>
      <c r="D41" s="328" t="inlineStr">
        <is>
          <t>CSFSGW9HX2</t>
        </is>
      </c>
      <c r="E41" s="329" t="n">
        <v>1173768</v>
      </c>
      <c r="F41" s="334" t="inlineStr">
        <is>
          <t>9 Tháng 7, 2026</t>
        </is>
      </c>
      <c r="G41" s="329" t="n">
        <v>1173768</v>
      </c>
      <c r="H41" s="328" t="inlineStr">
        <is>
          <t>Visa ···· 9793</t>
        </is>
      </c>
      <c r="I41" s="328" t="inlineStr">
        <is>
          <t>CSFSGW9HX2</t>
        </is>
      </c>
      <c r="J41" s="328" t="inlineStr">
        <is>
          <t>Trang tính12</t>
        </is>
      </c>
    </row>
    <row r="42" ht="13.2" customHeight="1" s="405">
      <c r="B42" s="334" t="n">
        <v>46212</v>
      </c>
      <c r="C42" s="328" t="inlineStr">
        <is>
          <t>Visa ···· 9793</t>
        </is>
      </c>
      <c r="D42" s="328" t="inlineStr">
        <is>
          <t>TLK92WVHX2</t>
        </is>
      </c>
      <c r="E42" s="329" t="n">
        <v>2347536</v>
      </c>
      <c r="F42" s="334" t="inlineStr">
        <is>
          <t>9 Tháng 7, 2026</t>
        </is>
      </c>
      <c r="G42" s="329" t="n">
        <v>2347536</v>
      </c>
      <c r="H42" s="328" t="inlineStr">
        <is>
          <t>Visa ···· 9793</t>
        </is>
      </c>
      <c r="I42" s="328" t="inlineStr">
        <is>
          <t>TLK92WVHX2</t>
        </is>
      </c>
      <c r="J42" s="328" t="inlineStr">
        <is>
          <t>Trang tính12</t>
        </is>
      </c>
    </row>
    <row r="43" ht="13.2" customHeight="1" s="405">
      <c r="B43" s="334" t="n">
        <v>46212</v>
      </c>
      <c r="C43" s="328" t="inlineStr">
        <is>
          <t>Visa ···· 9793</t>
        </is>
      </c>
      <c r="D43" s="328" t="inlineStr">
        <is>
          <t>R62UEV9KK2</t>
        </is>
      </c>
      <c r="E43" s="329" t="n">
        <v>4914457</v>
      </c>
      <c r="F43" s="334" t="inlineStr">
        <is>
          <t>9 Tháng 7, 2026</t>
        </is>
      </c>
      <c r="G43" s="329" t="n">
        <v>4914457</v>
      </c>
      <c r="H43" s="328" t="inlineStr">
        <is>
          <t>Visa ···· 9793</t>
        </is>
      </c>
      <c r="I43" s="328" t="inlineStr">
        <is>
          <t>R62UEV9KK2</t>
        </is>
      </c>
      <c r="J43" s="328" t="inlineStr">
        <is>
          <t>Quang Anh 1 +7 (861578506991731</t>
        </is>
      </c>
    </row>
    <row r="44" ht="13.2" customHeight="1" s="405">
      <c r="B44" s="334" t="n">
        <v>46213</v>
      </c>
      <c r="C44" s="328" t="inlineStr">
        <is>
          <t>Visa ···· 9793</t>
        </is>
      </c>
      <c r="D44" s="328" t="inlineStr">
        <is>
          <t>7QWWTXHHX2</t>
        </is>
      </c>
      <c r="E44" s="329" t="n">
        <v>6123162</v>
      </c>
      <c r="F44" s="334" t="inlineStr">
        <is>
          <t>10 Tháng 7, 2026</t>
        </is>
      </c>
      <c r="G44" s="329" t="n">
        <v>6123162</v>
      </c>
      <c r="H44" s="328" t="inlineStr">
        <is>
          <t>Visa ···· 9793</t>
        </is>
      </c>
      <c r="I44" s="328" t="inlineStr">
        <is>
          <t>7QWWTXHHX2</t>
        </is>
      </c>
      <c r="J44" s="328" t="inlineStr">
        <is>
          <t>Trang tính12</t>
        </is>
      </c>
    </row>
    <row r="45" ht="13.2" customHeight="1" s="405">
      <c r="B45" s="334" t="n">
        <v>46213</v>
      </c>
      <c r="C45" s="328" t="inlineStr">
        <is>
          <t>Visa ···· 9793</t>
        </is>
      </c>
      <c r="D45" s="328" t="inlineStr">
        <is>
          <t>5LHVGZRHX2</t>
        </is>
      </c>
      <c r="E45" s="329" t="n">
        <v>7363186</v>
      </c>
      <c r="F45" s="334" t="inlineStr">
        <is>
          <t>10 Tháng 7, 2026</t>
        </is>
      </c>
      <c r="G45" s="329" t="n">
        <v>7363186</v>
      </c>
      <c r="H45" s="328" t="inlineStr">
        <is>
          <t>Visa ···· 9793</t>
        </is>
      </c>
      <c r="I45" s="328" t="inlineStr">
        <is>
          <t>5LHVGZRHX2</t>
        </is>
      </c>
      <c r="J45" s="328" t="inlineStr">
        <is>
          <t>Trang tính8</t>
        </is>
      </c>
    </row>
    <row r="46" ht="13.2" customHeight="1" s="405">
      <c r="B46" s="334" t="n">
        <v>46214</v>
      </c>
      <c r="C46" s="328" t="inlineStr">
        <is>
          <t>Visa ···· 9793</t>
        </is>
      </c>
      <c r="D46" s="328" t="inlineStr">
        <is>
          <t>NPUELV9KK2</t>
        </is>
      </c>
      <c r="E46" s="329" t="n">
        <v>3337232</v>
      </c>
      <c r="F46" s="334" t="inlineStr">
        <is>
          <t>11 Tháng 7, 2026</t>
        </is>
      </c>
      <c r="G46" s="329" t="n">
        <v>3337232</v>
      </c>
      <c r="H46" s="328" t="inlineStr">
        <is>
          <t>Visa ···· 9793</t>
        </is>
      </c>
      <c r="I46" s="328" t="inlineStr">
        <is>
          <t>NPUELV9KK2</t>
        </is>
      </c>
      <c r="J46" s="328" t="inlineStr">
        <is>
          <t>Quang Anh 1 +7 (861578506991731</t>
        </is>
      </c>
    </row>
    <row r="47" ht="13.2" customHeight="1" s="405">
      <c r="B47" s="334" t="n">
        <v>46215</v>
      </c>
      <c r="C47" s="328" t="inlineStr">
        <is>
          <t>Visa ···· 9793</t>
        </is>
      </c>
      <c r="D47" s="328" t="inlineStr">
        <is>
          <t>X85NUWDHX2</t>
        </is>
      </c>
      <c r="E47" s="329" t="n">
        <v>9383041</v>
      </c>
      <c r="F47" s="334" t="inlineStr">
        <is>
          <t>12 Tháng 7, 2026</t>
        </is>
      </c>
      <c r="G47" s="329" t="n">
        <v>9383041</v>
      </c>
      <c r="H47" s="328" t="inlineStr">
        <is>
          <t>Visa ···· 9793</t>
        </is>
      </c>
      <c r="I47" s="328" t="inlineStr">
        <is>
          <t>X85NUWDHX2</t>
        </is>
      </c>
      <c r="J47" s="328" t="inlineStr">
        <is>
          <t>Trang tính12</t>
        </is>
      </c>
    </row>
    <row r="48" ht="13.2" customHeight="1" s="405">
      <c r="B48" s="334" t="n">
        <v>46215</v>
      </c>
      <c r="C48" s="328" t="inlineStr">
        <is>
          <t>Visa ···· 9793</t>
        </is>
      </c>
      <c r="D48" s="328" t="inlineStr">
        <is>
          <t>T7ZQSW9HX2</t>
        </is>
      </c>
      <c r="E48" s="329" t="n">
        <v>8159955</v>
      </c>
      <c r="F48" s="334" t="inlineStr">
        <is>
          <t>12 Tháng 7, 2026</t>
        </is>
      </c>
      <c r="G48" s="329" t="n">
        <v>8159955</v>
      </c>
      <c r="H48" s="328" t="inlineStr">
        <is>
          <t>Visa ···· 9793</t>
        </is>
      </c>
      <c r="I48" s="328" t="inlineStr">
        <is>
          <t>T7ZQSW9HX2</t>
        </is>
      </c>
      <c r="J48" s="328" t="inlineStr">
        <is>
          <t>Trang tính8</t>
        </is>
      </c>
    </row>
    <row r="49" ht="13.2" customHeight="1" s="405">
      <c r="B49" s="334" t="n">
        <v>46217</v>
      </c>
      <c r="C49" s="328" t="inlineStr">
        <is>
          <t>Visa ···· 9793</t>
        </is>
      </c>
      <c r="D49" s="328" t="inlineStr">
        <is>
          <t>X2737WMHX2</t>
        </is>
      </c>
      <c r="E49" s="329" t="n">
        <v>9690633</v>
      </c>
      <c r="F49" s="334" t="inlineStr">
        <is>
          <t>14 Tháng 7, 2026</t>
        </is>
      </c>
      <c r="G49" s="329" t="n">
        <v>9690633</v>
      </c>
      <c r="H49" s="328" t="inlineStr">
        <is>
          <t>Visa ···· 9793</t>
        </is>
      </c>
      <c r="I49" s="328" t="inlineStr">
        <is>
          <t>X2737WMHX2</t>
        </is>
      </c>
      <c r="J49" s="328" t="inlineStr">
        <is>
          <t>Trang tính12</t>
        </is>
      </c>
    </row>
    <row r="50" ht="13.2" customHeight="1" s="405">
      <c r="B50" s="327" t="n">
        <v>46218</v>
      </c>
      <c r="C50" s="328" t="inlineStr">
        <is>
          <t>Visa ···· 9793</t>
        </is>
      </c>
      <c r="D50" s="328" t="inlineStr">
        <is>
          <t>28S6ZW5HX2</t>
        </is>
      </c>
      <c r="E50" s="329" t="n">
        <v>9690633</v>
      </c>
      <c r="F50" s="327" t="inlineStr">
        <is>
          <t>15 Tháng 7, 2026</t>
        </is>
      </c>
      <c r="G50" s="329" t="n">
        <v>9690633</v>
      </c>
      <c r="H50" s="328" t="inlineStr">
        <is>
          <t>Visa ···· 9793</t>
        </is>
      </c>
      <c r="I50" s="328" t="inlineStr">
        <is>
          <t>28S6ZW5HX2</t>
        </is>
      </c>
      <c r="J50" s="328" t="inlineStr">
        <is>
          <t>Trang tính12</t>
        </is>
      </c>
    </row>
    <row r="51" ht="13.2" customHeight="1" s="405">
      <c r="B51" s="327" t="n">
        <v>46218</v>
      </c>
      <c r="C51" s="328" t="inlineStr">
        <is>
          <t>Visa ···· 9793</t>
        </is>
      </c>
      <c r="D51" s="328" t="inlineStr">
        <is>
          <t>29M2JXZGX2</t>
        </is>
      </c>
      <c r="E51" s="329" t="n">
        <v>1164317</v>
      </c>
      <c r="F51" s="327" t="inlineStr">
        <is>
          <t>15 Tháng 7, 2026</t>
        </is>
      </c>
      <c r="G51" s="329" t="n">
        <v>1164317</v>
      </c>
      <c r="H51" s="328" t="inlineStr">
        <is>
          <t>Visa ···· 9793</t>
        </is>
      </c>
      <c r="I51" s="328" t="inlineStr">
        <is>
          <t>29M2JXZGX2</t>
        </is>
      </c>
      <c r="J51" s="328" t="inlineStr">
        <is>
          <t>Trang tính8</t>
        </is>
      </c>
    </row>
    <row r="52" ht="13.2" customHeight="1" s="405">
      <c r="B52" s="327" t="n">
        <v>46218</v>
      </c>
      <c r="C52" s="328" t="inlineStr">
        <is>
          <t>Visa ···· 9793</t>
        </is>
      </c>
      <c r="D52" s="328" t="inlineStr">
        <is>
          <t>TEM2JXZGX2</t>
        </is>
      </c>
      <c r="E52" s="329" t="n">
        <v>2328634</v>
      </c>
      <c r="F52" s="327" t="inlineStr">
        <is>
          <t>15 Tháng 7, 2026</t>
        </is>
      </c>
      <c r="G52" s="329" t="n">
        <v>2328634</v>
      </c>
      <c r="H52" s="328" t="inlineStr">
        <is>
          <t>Visa ···· 9793</t>
        </is>
      </c>
      <c r="I52" s="328" t="inlineStr">
        <is>
          <t>TEM2JXZGX2</t>
        </is>
      </c>
      <c r="J52" s="328" t="inlineStr">
        <is>
          <t>Trang tính8</t>
        </is>
      </c>
    </row>
    <row r="53" ht="13.2" customHeight="1" s="405">
      <c r="B53" s="327" t="n">
        <v>46218</v>
      </c>
      <c r="C53" s="328" t="inlineStr">
        <is>
          <t>Visa ···· 9793</t>
        </is>
      </c>
      <c r="D53" s="328" t="inlineStr">
        <is>
          <t>58UANWVHX2</t>
        </is>
      </c>
      <c r="E53" s="329" t="n">
        <v>5840309</v>
      </c>
      <c r="F53" s="327" t="inlineStr">
        <is>
          <t>15 Tháng 7, 2026</t>
        </is>
      </c>
      <c r="G53" s="329" t="n">
        <v>5840309</v>
      </c>
      <c r="H53" s="328" t="inlineStr">
        <is>
          <t>Visa ···· 9793</t>
        </is>
      </c>
      <c r="I53" s="328" t="inlineStr">
        <is>
          <t>58UANWVHX2</t>
        </is>
      </c>
      <c r="J53" s="328" t="inlineStr">
        <is>
          <t>Trang tính8</t>
        </is>
      </c>
    </row>
    <row r="54" ht="13.2" customHeight="1" s="405">
      <c r="B54" s="327" t="n">
        <v>46219</v>
      </c>
      <c r="C54" s="328" t="inlineStr">
        <is>
          <t>Visa ···· 9793</t>
        </is>
      </c>
      <c r="D54" s="328" t="inlineStr">
        <is>
          <t>ABNSU2EJK4</t>
        </is>
      </c>
      <c r="E54" s="329" t="n">
        <v>6652375</v>
      </c>
      <c r="F54" s="327" t="inlineStr">
        <is>
          <t>16 Tháng 7, 2026</t>
        </is>
      </c>
      <c r="G54" s="329" t="n">
        <v>6652375</v>
      </c>
      <c r="H54" s="328" t="inlineStr">
        <is>
          <t>Visa ···· 9793</t>
        </is>
      </c>
      <c r="I54" s="328" t="inlineStr">
        <is>
          <t>ABNSU2EJK4</t>
        </is>
      </c>
      <c r="J54" s="328" t="inlineStr">
        <is>
          <t>Quang Anh 1 +7 (861578506991731</t>
        </is>
      </c>
    </row>
    <row r="55" ht="13.2" customHeight="1" s="405">
      <c r="B55" s="327" t="n">
        <v>46220</v>
      </c>
      <c r="C55" s="328" t="inlineStr">
        <is>
          <t>Visa ···· 9793</t>
        </is>
      </c>
      <c r="D55" s="328" t="inlineStr">
        <is>
          <t>KLM6BX9HX2</t>
        </is>
      </c>
      <c r="E55" s="329" t="n">
        <v>9314531</v>
      </c>
      <c r="F55" s="327" t="inlineStr">
        <is>
          <t>17 Tháng 7, 2026</t>
        </is>
      </c>
      <c r="G55" s="329" t="n">
        <v>9314531</v>
      </c>
      <c r="H55" s="328" t="inlineStr">
        <is>
          <t>Visa ···· 9793</t>
        </is>
      </c>
      <c r="I55" s="328" t="inlineStr">
        <is>
          <t>KLM6BX9HX2</t>
        </is>
      </c>
      <c r="J55" s="328" t="inlineStr">
        <is>
          <t>Trang tính8</t>
        </is>
      </c>
    </row>
    <row r="56" ht="13.2" customHeight="1" s="405">
      <c r="B56" s="334" t="n">
        <v>46221</v>
      </c>
      <c r="C56" s="328" t="inlineStr">
        <is>
          <t>Visa ···· 9793</t>
        </is>
      </c>
      <c r="D56" s="328" t="inlineStr">
        <is>
          <t>ER3VHXVGX2</t>
        </is>
      </c>
      <c r="E56" s="329" t="n">
        <v>10034153</v>
      </c>
      <c r="F56" s="334" t="inlineStr">
        <is>
          <t>18 Tháng 7, 2026</t>
        </is>
      </c>
      <c r="G56" s="329" t="n">
        <v>10034153</v>
      </c>
      <c r="H56" s="328" t="inlineStr">
        <is>
          <t>Visa ···· 9793</t>
        </is>
      </c>
      <c r="I56" s="328" t="inlineStr">
        <is>
          <t>ER3VHXVGX2</t>
        </is>
      </c>
      <c r="J56" s="328" t="inlineStr">
        <is>
          <t>Trang tính12</t>
        </is>
      </c>
    </row>
    <row r="57" ht="13.2" customHeight="1" s="405">
      <c r="B57" s="327" t="n">
        <v>46222</v>
      </c>
      <c r="C57" s="328" t="inlineStr">
        <is>
          <t>Visa ···· 9793</t>
        </is>
      </c>
      <c r="D57" s="328" t="inlineStr">
        <is>
          <t>F6AAZXZGX2</t>
        </is>
      </c>
      <c r="E57" s="329" t="n">
        <v>7995856</v>
      </c>
      <c r="F57" s="327" t="inlineStr">
        <is>
          <t>19 Tháng 7, 2026</t>
        </is>
      </c>
      <c r="G57" s="329" t="n">
        <v>7995856</v>
      </c>
      <c r="H57" s="328" t="inlineStr">
        <is>
          <t>Visa ···· 9793</t>
        </is>
      </c>
      <c r="I57" s="328" t="inlineStr">
        <is>
          <t>F6AAZXZGX2</t>
        </is>
      </c>
      <c r="J57" s="328" t="inlineStr">
        <is>
          <t>Trang tính8</t>
        </is>
      </c>
    </row>
    <row r="58" ht="13.2" customHeight="1" s="405">
      <c r="B58" s="327" t="n">
        <v>46223</v>
      </c>
      <c r="C58" s="328" t="inlineStr">
        <is>
          <t>Visa ···· 9793</t>
        </is>
      </c>
      <c r="D58" s="328" t="inlineStr">
        <is>
          <t>48EEWYHHX2</t>
        </is>
      </c>
      <c r="E58" s="329" t="n">
        <v>9213361</v>
      </c>
      <c r="F58" s="327" t="inlineStr">
        <is>
          <t>20 Tháng 7, 2026</t>
        </is>
      </c>
      <c r="G58" s="329" t="n">
        <v>9213361</v>
      </c>
      <c r="H58" s="328" t="inlineStr">
        <is>
          <t>Visa ···· 9793</t>
        </is>
      </c>
      <c r="I58" s="328" t="inlineStr">
        <is>
          <t>48EEWYHHX2</t>
        </is>
      </c>
      <c r="J58" s="328" t="inlineStr">
        <is>
          <t>Trang tính12</t>
        </is>
      </c>
    </row>
    <row r="59" ht="13.2" customHeight="1" s="405">
      <c r="B59" s="327" t="n">
        <v>46224</v>
      </c>
      <c r="C59" s="328" t="inlineStr">
        <is>
          <t>Visa ···· 9793</t>
        </is>
      </c>
      <c r="D59" s="328" t="inlineStr">
        <is>
          <t>LGPJSXDHX2</t>
        </is>
      </c>
      <c r="E59" s="329" t="n">
        <v>7995856</v>
      </c>
      <c r="F59" s="327" t="inlineStr">
        <is>
          <t>21 Tháng 7, 2026</t>
        </is>
      </c>
      <c r="G59" s="329" t="n">
        <v>7995856</v>
      </c>
      <c r="H59" s="328" t="inlineStr">
        <is>
          <t>Visa ···· 9793</t>
        </is>
      </c>
      <c r="I59" s="328" t="inlineStr">
        <is>
          <t>LGPJSXDHX2</t>
        </is>
      </c>
      <c r="J59" s="328" t="inlineStr">
        <is>
          <t>Trang tính8</t>
        </is>
      </c>
    </row>
    <row r="60" ht="13.2" customHeight="1" s="405">
      <c r="B60" s="333" t="n">
        <v>46226</v>
      </c>
      <c r="C60" s="328" t="inlineStr">
        <is>
          <t>Visa ···· 9793</t>
        </is>
      </c>
      <c r="D60" s="328" t="inlineStr">
        <is>
          <t>XUVE8ZHHX2</t>
        </is>
      </c>
      <c r="E60" s="329" t="n">
        <v>8984129</v>
      </c>
      <c r="F60" s="333" t="inlineStr">
        <is>
          <t>23 Tháng 7, 2026</t>
        </is>
      </c>
      <c r="G60" s="329" t="n">
        <v>8984129</v>
      </c>
      <c r="H60" s="328" t="inlineStr">
        <is>
          <t>Visa ···· 9793</t>
        </is>
      </c>
      <c r="I60" s="328" t="inlineStr">
        <is>
          <t>XUVE8ZHHX2</t>
        </is>
      </c>
      <c r="J60" s="328" t="inlineStr">
        <is>
          <t>Trang tính12</t>
        </is>
      </c>
    </row>
    <row r="61" ht="13.2" customHeight="1" s="405">
      <c r="B61" s="333" t="n">
        <v>46226</v>
      </c>
      <c r="C61" s="328" t="inlineStr">
        <is>
          <t>Visa ···· 9793</t>
        </is>
      </c>
      <c r="D61" s="328" t="inlineStr">
        <is>
          <t>XL4J6XMHX2</t>
        </is>
      </c>
      <c r="E61" s="329" t="n">
        <v>11170786</v>
      </c>
      <c r="F61" s="333" t="inlineStr">
        <is>
          <t>23 Tháng 7, 2026</t>
        </is>
      </c>
      <c r="G61" s="329" t="n">
        <v>11170786</v>
      </c>
      <c r="H61" s="328" t="inlineStr">
        <is>
          <t>Visa ···· 9793</t>
        </is>
      </c>
      <c r="I61" s="328" t="inlineStr">
        <is>
          <t>XL4J6XMHX2</t>
        </is>
      </c>
      <c r="J61" s="328" t="inlineStr">
        <is>
          <t>Trang tính8</t>
        </is>
      </c>
    </row>
    <row r="62" ht="13.2" customHeight="1" s="405">
      <c r="B62" s="334" t="n">
        <v>46229</v>
      </c>
      <c r="C62" s="328" t="inlineStr">
        <is>
          <t>Visa ···· 9793</t>
        </is>
      </c>
      <c r="D62" s="328" t="inlineStr">
        <is>
          <t>JGN283NHX4</t>
        </is>
      </c>
      <c r="E62" s="329" t="n">
        <v>12456320</v>
      </c>
      <c r="F62" s="334" t="inlineStr">
        <is>
          <t>26 Tháng 7, 2026</t>
        </is>
      </c>
      <c r="G62" s="329" t="n">
        <v>12456320</v>
      </c>
      <c r="H62" s="328" t="inlineStr">
        <is>
          <t>Visa ···· 9793</t>
        </is>
      </c>
      <c r="I62" s="328" t="inlineStr">
        <is>
          <t>JGN283NHX4</t>
        </is>
      </c>
      <c r="J62" s="328" t="inlineStr">
        <is>
          <t>Trang tính12</t>
        </is>
      </c>
    </row>
    <row r="63" ht="13.2" customHeight="1" s="405">
      <c r="B63" s="334" t="n">
        <v>46229</v>
      </c>
      <c r="C63" s="328" t="inlineStr">
        <is>
          <t>Visa ···· 9793</t>
        </is>
      </c>
      <c r="D63" s="328" t="inlineStr">
        <is>
          <t>LCJSGXMHX2</t>
        </is>
      </c>
      <c r="E63" s="329" t="n">
        <v>14549784</v>
      </c>
      <c r="F63" s="334" t="inlineStr">
        <is>
          <t>26 Tháng 7, 2026</t>
        </is>
      </c>
      <c r="G63" s="329" t="n">
        <v>14549784</v>
      </c>
      <c r="H63" s="328" t="inlineStr">
        <is>
          <t>Visa ···· 9793</t>
        </is>
      </c>
      <c r="I63" s="328" t="inlineStr">
        <is>
          <t>LCJSGXMHX2</t>
        </is>
      </c>
      <c r="J63" s="328" t="inlineStr">
        <is>
          <t>Trang tính8</t>
        </is>
      </c>
    </row>
    <row r="64" ht="13.2" customHeight="1" s="405">
      <c r="B64" s="334" t="n">
        <v>46230</v>
      </c>
      <c r="C64" s="328" t="inlineStr">
        <is>
          <t>Visa ···· 9793</t>
        </is>
      </c>
      <c r="D64" s="328" t="inlineStr">
        <is>
          <t>7KAEPZHHX2</t>
        </is>
      </c>
      <c r="E64" s="336" t="n">
        <v>7248401</v>
      </c>
      <c r="F64" s="334" t="inlineStr">
        <is>
          <t>27 Tháng 7, 2026</t>
        </is>
      </c>
      <c r="G64" s="336" t="n">
        <v>7248401</v>
      </c>
      <c r="H64" s="328" t="inlineStr">
        <is>
          <t>Visa ···· 9793</t>
        </is>
      </c>
      <c r="I64" s="328" t="inlineStr">
        <is>
          <t>7KAEPZHHX2</t>
        </is>
      </c>
      <c r="J64" s="328" t="inlineStr">
        <is>
          <t>Trang tính8</t>
        </is>
      </c>
    </row>
    <row r="65" ht="13.2" customHeight="1" s="405">
      <c r="B65" s="334" t="n">
        <v>46231</v>
      </c>
      <c r="C65" s="328" t="inlineStr">
        <is>
          <t>Visa ···· 9793</t>
        </is>
      </c>
      <c r="D65" s="328" t="inlineStr">
        <is>
          <t>97JWYYZGX2</t>
        </is>
      </c>
      <c r="E65" s="329" t="n">
        <v>8522833</v>
      </c>
      <c r="F65" s="334" t="inlineStr">
        <is>
          <t>28 Tháng 7, 2026</t>
        </is>
      </c>
      <c r="G65" s="329" t="n">
        <v>8522833</v>
      </c>
      <c r="H65" s="328" t="inlineStr">
        <is>
          <t>Visa ···· 9793</t>
        </is>
      </c>
      <c r="I65" s="328" t="inlineStr">
        <is>
          <t>97JWYYZGX2</t>
        </is>
      </c>
      <c r="J65" s="328" t="inlineStr">
        <is>
          <t>Trang tính12</t>
        </is>
      </c>
    </row>
    <row r="66" ht="13.2" customHeight="1" s="405">
      <c r="B66" s="334" t="n">
        <v>46231</v>
      </c>
      <c r="C66" s="328" t="inlineStr">
        <is>
          <t>Visa ···· 9793</t>
        </is>
      </c>
      <c r="D66" s="328" t="inlineStr">
        <is>
          <t>XLQUNYDHX2</t>
        </is>
      </c>
      <c r="E66" s="329" t="n">
        <v>7248401</v>
      </c>
      <c r="F66" s="334" t="inlineStr">
        <is>
          <t>28 Tháng 7, 2026</t>
        </is>
      </c>
      <c r="G66" s="329" t="n">
        <v>7248401</v>
      </c>
      <c r="H66" s="328" t="inlineStr">
        <is>
          <t>Visa ···· 9793</t>
        </is>
      </c>
      <c r="I66" s="328" t="inlineStr">
        <is>
          <t>XLQUNYDHX2</t>
        </is>
      </c>
      <c r="J66" s="328" t="inlineStr">
        <is>
          <t>Trang tính8</t>
        </is>
      </c>
    </row>
    <row r="67" ht="13.2" customHeight="1" s="405">
      <c r="B67" s="461" t="inlineStr">
        <is>
          <t>Tổng Bill Tháng 7 (Chưa - 10% VAT)</t>
        </is>
      </c>
      <c r="C67" s="439" t="n"/>
      <c r="D67" s="94" t="n"/>
      <c r="E67" s="338">
        <f>SUM(E15:E66)</f>
        <v/>
      </c>
    </row>
  </sheetData>
  <mergeCells count="4">
    <mergeCell ref="C2:C3"/>
    <mergeCell ref="B67:C67"/>
    <mergeCell ref="B2:B3"/>
    <mergeCell ref="A2:A3"/>
  </mergeCells>
  <hyperlinks>
    <hyperlink xmlns:r="http://schemas.openxmlformats.org/officeDocument/2006/relationships" ref="I15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G999"/>
  <sheetViews>
    <sheetView workbookViewId="0">
      <selection activeCell="A1" sqref="A1"/>
    </sheetView>
  </sheetViews>
  <sheetFormatPr baseColWidth="8" defaultColWidth="12.6640625" defaultRowHeight="15.75" customHeight="1"/>
  <cols>
    <col width="4.33203125" customWidth="1" style="405" min="1" max="1"/>
  </cols>
  <sheetData>
    <row r="1" ht="15.75" customHeight="1" s="405">
      <c r="A1" s="429" t="n"/>
      <c r="B1" s="430" t="n"/>
      <c r="C1" s="430" t="n"/>
      <c r="D1" s="431" t="n"/>
      <c r="E1" s="5" t="n"/>
      <c r="F1" s="5" t="n"/>
      <c r="G1" s="5" t="n"/>
    </row>
    <row r="2">
      <c r="A2" s="208" t="inlineStr">
        <is>
          <t>STT</t>
        </is>
      </c>
      <c r="B2" s="432" t="inlineStr">
        <is>
          <t>Ngày/tháng</t>
        </is>
      </c>
      <c r="C2" s="10" t="inlineStr">
        <is>
          <t xml:space="preserve">Ngân sách cấp 
</t>
        </is>
      </c>
      <c r="D2" s="26" t="inlineStr">
        <is>
          <t>Tổng đã chi</t>
        </is>
      </c>
      <c r="E2" s="208" t="inlineStr">
        <is>
          <t>Số đơn</t>
        </is>
      </c>
      <c r="F2" s="208" t="inlineStr">
        <is>
          <t>Doanh số</t>
        </is>
      </c>
      <c r="G2" s="208" t="inlineStr">
        <is>
          <t>Tỷ lệ CP</t>
        </is>
      </c>
    </row>
    <row r="3">
      <c r="A3" s="433" t="n"/>
      <c r="B3" s="433" t="n"/>
      <c r="C3" s="17">
        <f>+SUM(C4:C34)</f>
        <v/>
      </c>
      <c r="D3" s="21">
        <f>SUM(D4:D34)</f>
        <v/>
      </c>
      <c r="E3" s="26">
        <f>SUM(E4:E34)</f>
        <v/>
      </c>
      <c r="F3" s="21">
        <f>SUM(F4:F36)</f>
        <v/>
      </c>
      <c r="G3" s="31">
        <f>IFERROR(D3/F3,0)</f>
        <v/>
      </c>
    </row>
    <row r="4" ht="15.75" customHeight="1" s="405">
      <c r="A4" s="33" t="n">
        <v>1</v>
      </c>
      <c r="B4" s="35" t="n">
        <v>46204</v>
      </c>
      <c r="C4" s="300" t="n">
        <v>15000000</v>
      </c>
      <c r="D4" s="370">
        <f>'TQ Huy  CT'!D9</f>
        <v/>
      </c>
      <c r="E4" s="330" t="n">
        <v>7</v>
      </c>
      <c r="F4" s="313" t="n">
        <v>21765000</v>
      </c>
      <c r="G4" s="50">
        <f>IFERROR(D4/F4,0)</f>
        <v/>
      </c>
    </row>
    <row r="5" ht="15.75" customHeight="1" s="405">
      <c r="A5" s="52" t="n">
        <v>2</v>
      </c>
      <c r="B5" s="54" t="n">
        <v>46205</v>
      </c>
      <c r="C5" s="300" t="n">
        <v>15000000</v>
      </c>
      <c r="D5" s="371">
        <f>'TQ Huy  CT'!E9</f>
        <v/>
      </c>
      <c r="E5" s="332" t="n">
        <v>4</v>
      </c>
      <c r="F5" s="311" t="n">
        <v>12240000</v>
      </c>
      <c r="G5" s="62">
        <f>IFERROR(D5/F5,0)</f>
        <v/>
      </c>
    </row>
    <row r="6" ht="15.75" customHeight="1" s="405">
      <c r="A6" s="33" t="n">
        <v>3</v>
      </c>
      <c r="B6" s="35" t="n">
        <v>46206</v>
      </c>
      <c r="C6" s="300" t="n">
        <v>15000000</v>
      </c>
      <c r="D6" s="370">
        <f>'TQ Huy  CT'!F9</f>
        <v/>
      </c>
      <c r="E6" s="330" t="n">
        <v>6</v>
      </c>
      <c r="F6" s="313" t="n">
        <v>18740000</v>
      </c>
      <c r="G6" s="50">
        <f>IFERROR(D6/F6,0)</f>
        <v/>
      </c>
    </row>
    <row r="7" ht="15.75" customHeight="1" s="405">
      <c r="A7" s="52" t="n">
        <v>4</v>
      </c>
      <c r="B7" s="54" t="n">
        <v>46207</v>
      </c>
      <c r="C7" s="300" t="n">
        <v>15000000</v>
      </c>
      <c r="D7" s="371">
        <f>'TQ Huy  CT'!G9</f>
        <v/>
      </c>
      <c r="E7" s="332" t="n">
        <v>2</v>
      </c>
      <c r="F7" s="311" t="n">
        <v>6660000</v>
      </c>
      <c r="G7" s="62">
        <f>IFERROR(D7/F7,0)</f>
        <v/>
      </c>
    </row>
    <row r="8" ht="15.75" customHeight="1" s="405">
      <c r="A8" s="33" t="n">
        <v>5</v>
      </c>
      <c r="B8" s="35" t="n">
        <v>46208</v>
      </c>
      <c r="C8" s="300" t="n">
        <v>15000000</v>
      </c>
      <c r="D8" s="370">
        <f>'TQ Huy  CT'!H9</f>
        <v/>
      </c>
      <c r="E8" s="330" t="n">
        <v>3</v>
      </c>
      <c r="F8" s="313" t="n">
        <v>9940000</v>
      </c>
      <c r="G8" s="50">
        <f>IFERROR(D8/F8,0)</f>
        <v/>
      </c>
    </row>
    <row r="9" ht="15.75" customHeight="1" s="405">
      <c r="A9" s="52" t="n">
        <v>6</v>
      </c>
      <c r="B9" s="54" t="n">
        <v>46209</v>
      </c>
      <c r="C9" s="300" t="n">
        <v>15000000</v>
      </c>
      <c r="D9" s="371">
        <f>'TQ Huy  CT'!I9</f>
        <v/>
      </c>
      <c r="E9" s="332" t="n">
        <v>3</v>
      </c>
      <c r="F9" s="311" t="n">
        <v>8730000</v>
      </c>
      <c r="G9" s="62">
        <f>IFERROR(D9/F9,0)</f>
        <v/>
      </c>
    </row>
    <row r="10" ht="15.75" customHeight="1" s="405">
      <c r="A10" s="33" t="n">
        <v>7</v>
      </c>
      <c r="B10" s="35" t="n">
        <v>46210</v>
      </c>
      <c r="C10" s="300" t="n">
        <v>15000000</v>
      </c>
      <c r="D10" s="370">
        <f>'TQ Huy  CT'!J9</f>
        <v/>
      </c>
      <c r="E10" s="330" t="n">
        <v>5</v>
      </c>
      <c r="F10" s="313" t="n">
        <v>15875000</v>
      </c>
      <c r="G10" s="50">
        <f>IFERROR(D10/F10,0)</f>
        <v/>
      </c>
    </row>
    <row r="11" ht="15.75" customHeight="1" s="405">
      <c r="A11" s="52" t="n">
        <v>8</v>
      </c>
      <c r="B11" s="54" t="n">
        <v>46211</v>
      </c>
      <c r="C11" s="300" t="n">
        <v>15000000</v>
      </c>
      <c r="D11" s="371">
        <f>'TQ Huy  CT'!K9</f>
        <v/>
      </c>
      <c r="E11" s="332" t="n">
        <v>6</v>
      </c>
      <c r="F11" s="313" t="n">
        <v>19315000</v>
      </c>
      <c r="G11" s="62">
        <f>IFERROR(D11/F11,0)</f>
        <v/>
      </c>
    </row>
    <row r="12" ht="15.75" customHeight="1" s="405">
      <c r="A12" s="33" t="n">
        <v>9</v>
      </c>
      <c r="B12" s="35" t="n">
        <v>46212</v>
      </c>
      <c r="C12" s="300" t="n">
        <v>15000000</v>
      </c>
      <c r="D12" s="370">
        <f>'TQ Huy  CT'!L9</f>
        <v/>
      </c>
      <c r="E12" s="330" t="n">
        <v>1</v>
      </c>
      <c r="F12" s="313" t="n">
        <v>3850000</v>
      </c>
      <c r="G12" s="50">
        <f>IFERROR(D12/F12,0)</f>
        <v/>
      </c>
    </row>
    <row r="13" ht="15.75" customHeight="1" s="405">
      <c r="A13" s="52" t="n">
        <v>10</v>
      </c>
      <c r="B13" s="54" t="n">
        <v>46213</v>
      </c>
      <c r="C13" s="300" t="n">
        <v>15000000</v>
      </c>
      <c r="D13" s="371">
        <f>'TQ Huy  CT'!M9</f>
        <v/>
      </c>
      <c r="E13" s="330" t="n">
        <v>4</v>
      </c>
      <c r="F13" s="311" t="n">
        <v>13110000</v>
      </c>
      <c r="G13" s="62">
        <f>IFERROR(D13/F13,0)</f>
        <v/>
      </c>
    </row>
    <row r="14" ht="15.75" customHeight="1" s="405">
      <c r="A14" s="33" t="n">
        <v>11</v>
      </c>
      <c r="B14" s="35" t="n">
        <v>46214</v>
      </c>
      <c r="C14" s="300" t="n">
        <v>15000000</v>
      </c>
      <c r="D14" s="370">
        <f>'TQ Huy  CT'!N9</f>
        <v/>
      </c>
      <c r="E14" s="330" t="n">
        <v>3</v>
      </c>
      <c r="F14" s="311" t="n">
        <v>9255000</v>
      </c>
      <c r="G14" s="50">
        <f>IFERROR(D14/F14,0)</f>
        <v/>
      </c>
    </row>
    <row r="15" ht="15.75" customHeight="1" s="405">
      <c r="A15" s="52" t="n">
        <v>12</v>
      </c>
      <c r="B15" s="54" t="n">
        <v>46215</v>
      </c>
      <c r="C15" s="300" t="n">
        <v>15000000</v>
      </c>
      <c r="D15" s="371">
        <f>'TQ Huy  CT'!O9</f>
        <v/>
      </c>
      <c r="E15" s="332" t="n">
        <v>2</v>
      </c>
      <c r="F15" s="311" t="n">
        <v>7030000</v>
      </c>
      <c r="G15" s="62">
        <f>IFERROR(D15/F15,0)</f>
        <v/>
      </c>
    </row>
    <row r="16" ht="14.4" customHeight="1" s="405">
      <c r="A16" s="33" t="n">
        <v>13</v>
      </c>
      <c r="B16" s="35" t="n">
        <v>46216</v>
      </c>
      <c r="C16" s="300" t="n">
        <v>15000000</v>
      </c>
      <c r="D16" s="370">
        <f>'TQ Huy  CT'!P9</f>
        <v/>
      </c>
      <c r="E16" s="330" t="n">
        <v>5</v>
      </c>
      <c r="F16" s="311" t="n">
        <v>16515000</v>
      </c>
      <c r="G16" s="50">
        <f>IFERROR(D16/F16,0)</f>
        <v/>
      </c>
    </row>
    <row r="17" ht="14.4" customHeight="1" s="405">
      <c r="A17" s="52" t="n">
        <v>14</v>
      </c>
      <c r="B17" s="54" t="n">
        <v>46217</v>
      </c>
      <c r="C17" s="300" t="n">
        <v>15000000</v>
      </c>
      <c r="D17" s="371">
        <f>'TQ Huy  CT'!Q9</f>
        <v/>
      </c>
      <c r="E17" s="332" t="n">
        <v>5</v>
      </c>
      <c r="F17" s="311" t="n">
        <v>15585000</v>
      </c>
      <c r="G17" s="50">
        <f>IFERROR(D17/F17,0)</f>
        <v/>
      </c>
    </row>
    <row r="18" ht="14.4" customHeight="1" s="405">
      <c r="A18" s="33" t="n">
        <v>15</v>
      </c>
      <c r="B18" s="35" t="n">
        <v>46218</v>
      </c>
      <c r="C18" s="300" t="n">
        <v>12000000</v>
      </c>
      <c r="D18" s="370">
        <f>'TQ Huy  CT'!R9</f>
        <v/>
      </c>
      <c r="E18" s="330" t="n">
        <v>0</v>
      </c>
      <c r="F18" s="313" t="n">
        <v>0</v>
      </c>
      <c r="G18" s="50">
        <f>IFERROR(D18/F18,0)</f>
        <v/>
      </c>
    </row>
    <row r="19" ht="14.4" customHeight="1" s="405">
      <c r="A19" s="52" t="n">
        <v>16</v>
      </c>
      <c r="B19" s="54" t="n">
        <v>46219</v>
      </c>
      <c r="C19" s="300" t="n">
        <v>12000000</v>
      </c>
      <c r="D19" s="371">
        <f>'TQ Huy  CT'!S9</f>
        <v/>
      </c>
      <c r="E19" s="332" t="n">
        <v>4</v>
      </c>
      <c r="F19" s="311" t="n">
        <v>10995000</v>
      </c>
      <c r="G19" s="62">
        <f>IFERROR(D19/F19,0)</f>
        <v/>
      </c>
    </row>
    <row r="20" ht="14.4" customHeight="1" s="405">
      <c r="A20" s="33" t="n">
        <v>17</v>
      </c>
      <c r="B20" s="35" t="n">
        <v>46220</v>
      </c>
      <c r="C20" s="300" t="n">
        <v>12000000</v>
      </c>
      <c r="D20" s="371">
        <f>'TQ Huy  CT'!T9</f>
        <v/>
      </c>
      <c r="E20" s="330" t="n">
        <v>4</v>
      </c>
      <c r="F20" s="313" t="n">
        <v>14795000</v>
      </c>
      <c r="G20" s="62">
        <f>IFERROR(D20/F20,0)</f>
        <v/>
      </c>
    </row>
    <row r="21" ht="14.4" customHeight="1" s="405">
      <c r="A21" s="52" t="n">
        <v>18</v>
      </c>
      <c r="B21" s="54" t="n">
        <v>46221</v>
      </c>
      <c r="C21" s="307" t="n"/>
      <c r="D21" s="371">
        <f>'TQ Huy  CT'!U9</f>
        <v/>
      </c>
      <c r="E21" s="332" t="n">
        <v>1</v>
      </c>
      <c r="F21" s="311" t="n">
        <v>3015000</v>
      </c>
      <c r="G21" s="50">
        <f>IFERROR(D21/F21,0)</f>
        <v/>
      </c>
    </row>
    <row r="22" ht="14.4" customHeight="1" s="405">
      <c r="A22" s="33" t="n">
        <v>19</v>
      </c>
      <c r="B22" s="35" t="n">
        <v>46222</v>
      </c>
      <c r="C22" s="300" t="n"/>
      <c r="D22" s="370">
        <f>'TQ Huy  CT'!V9</f>
        <v/>
      </c>
      <c r="E22" s="330" t="n">
        <v>7</v>
      </c>
      <c r="F22" s="313" t="n">
        <v>24730000</v>
      </c>
      <c r="G22" s="50">
        <f>IFERROR(D22/F22,0)</f>
        <v/>
      </c>
    </row>
    <row r="23" ht="14.4" customHeight="1" s="405">
      <c r="A23" s="52" t="n">
        <v>20</v>
      </c>
      <c r="B23" s="54" t="n">
        <v>46223</v>
      </c>
      <c r="C23" s="307" t="n"/>
      <c r="D23" s="371">
        <f>'TQ Huy  CT'!W9</f>
        <v/>
      </c>
      <c r="E23" s="332" t="n">
        <v>5</v>
      </c>
      <c r="F23" s="311" t="n">
        <v>19260000</v>
      </c>
      <c r="G23" s="50">
        <f>IFERROR(D23/F23,0)</f>
        <v/>
      </c>
    </row>
    <row r="24" ht="14.4" customHeight="1" s="405">
      <c r="A24" s="33" t="n">
        <v>21</v>
      </c>
      <c r="B24" s="35" t="n">
        <v>46224</v>
      </c>
      <c r="C24" s="300" t="n"/>
      <c r="D24" s="370">
        <f>'TQ Huy  CT'!X9</f>
        <v/>
      </c>
      <c r="E24" s="337" t="n">
        <v>3</v>
      </c>
      <c r="F24" s="313" t="n">
        <v>8710000</v>
      </c>
      <c r="G24" s="50">
        <f>IFERROR(D24/F24,0)</f>
        <v/>
      </c>
    </row>
    <row r="25" ht="14.4" customHeight="1" s="405">
      <c r="A25" s="52" t="n">
        <v>22</v>
      </c>
      <c r="B25" s="54" t="n">
        <v>46225</v>
      </c>
      <c r="C25" s="307" t="n"/>
      <c r="D25" s="371">
        <f>'TQ Huy  CT'!Y9</f>
        <v/>
      </c>
      <c r="E25" s="332" t="n">
        <v>7</v>
      </c>
      <c r="F25" s="311" t="n">
        <v>21760000</v>
      </c>
      <c r="G25" s="50">
        <f>IFERROR(D25/F25,0)</f>
        <v/>
      </c>
    </row>
    <row r="26" ht="14.4" customHeight="1" s="405">
      <c r="A26" s="33" t="n">
        <v>23</v>
      </c>
      <c r="B26" s="35" t="n">
        <v>46226</v>
      </c>
      <c r="C26" s="300" t="n"/>
      <c r="D26" s="370">
        <f>'TQ Huy  CT'!Z9</f>
        <v/>
      </c>
      <c r="E26" s="330" t="n">
        <v>5</v>
      </c>
      <c r="F26" s="313" t="n">
        <v>17325000</v>
      </c>
      <c r="G26" s="62">
        <f>IFERROR(D26/F26,0)</f>
        <v/>
      </c>
    </row>
    <row r="27" ht="14.4" customHeight="1" s="405">
      <c r="A27" s="52" t="n">
        <v>24</v>
      </c>
      <c r="B27" s="54" t="n">
        <v>46227</v>
      </c>
      <c r="C27" s="307" t="n"/>
      <c r="D27" s="371">
        <f>'TQ Huy  CT'!AA9</f>
        <v/>
      </c>
      <c r="E27" s="332" t="n">
        <v>2</v>
      </c>
      <c r="F27" s="311" t="n">
        <v>6240000</v>
      </c>
      <c r="G27" s="50">
        <f>IFERROR(D27/F27,0)</f>
        <v/>
      </c>
    </row>
    <row r="28" ht="14.4" customHeight="1" s="405">
      <c r="A28" s="33" t="n">
        <v>25</v>
      </c>
      <c r="B28" s="35" t="n">
        <v>46228</v>
      </c>
      <c r="C28" s="300" t="n"/>
      <c r="D28" s="370">
        <f>'TQ Huy  CT'!AB9</f>
        <v/>
      </c>
      <c r="E28" s="330" t="n">
        <v>4</v>
      </c>
      <c r="F28" s="313" t="n">
        <v>14180000</v>
      </c>
      <c r="G28" s="50">
        <f>IFERROR(D28/F28,0)</f>
        <v/>
      </c>
    </row>
    <row r="29" ht="14.4" customHeight="1" s="405">
      <c r="A29" s="52" t="n">
        <v>26</v>
      </c>
      <c r="B29" s="54" t="n">
        <v>46229</v>
      </c>
      <c r="C29" s="307" t="n"/>
      <c r="D29" s="371">
        <f>'TQ Huy  CT'!AC9</f>
        <v/>
      </c>
      <c r="E29" s="332" t="n">
        <v>3</v>
      </c>
      <c r="F29" s="311" t="n">
        <v>8970000</v>
      </c>
      <c r="G29" s="62">
        <f>IFERROR(D29/F29,0)</f>
        <v/>
      </c>
    </row>
    <row r="30" ht="14.4" customHeight="1" s="405">
      <c r="A30" s="33" t="n">
        <v>27</v>
      </c>
      <c r="B30" s="35" t="n">
        <v>46230</v>
      </c>
      <c r="C30" s="300" t="n"/>
      <c r="D30" s="370">
        <f>'TQ Huy  CT'!AD9</f>
        <v/>
      </c>
      <c r="E30" s="330" t="n"/>
      <c r="F30" s="313" t="n">
        <v>16035000</v>
      </c>
      <c r="G30" s="50">
        <f>IFERROR(D30/F30,0)</f>
        <v/>
      </c>
    </row>
    <row r="31" ht="14.4" customHeight="1" s="405">
      <c r="A31" s="52" t="n">
        <v>28</v>
      </c>
      <c r="B31" s="54" t="n">
        <v>46231</v>
      </c>
      <c r="C31" s="307" t="n"/>
      <c r="D31" s="371">
        <f>'TQ Huy  CT'!AE9</f>
        <v/>
      </c>
      <c r="E31" s="332" t="n"/>
      <c r="F31" s="311" t="n">
        <v>5705000</v>
      </c>
      <c r="G31" s="62">
        <f>IFERROR(D31/F31,0)</f>
        <v/>
      </c>
    </row>
    <row r="32" ht="14.4" customHeight="1" s="405">
      <c r="A32" s="33" t="n">
        <v>29</v>
      </c>
      <c r="B32" s="35" t="n">
        <v>46232</v>
      </c>
      <c r="C32" s="300" t="n"/>
      <c r="D32" s="370">
        <f>'TQ Huy  CT'!AF9</f>
        <v/>
      </c>
      <c r="E32" s="330" t="n"/>
      <c r="F32" s="313" t="n">
        <v>32015000</v>
      </c>
      <c r="G32" s="50">
        <f>IFERROR(D32/F32,0)</f>
        <v/>
      </c>
    </row>
    <row r="33" ht="14.4" customHeight="1" s="405">
      <c r="A33" s="52" t="n">
        <v>30</v>
      </c>
      <c r="B33" s="54" t="n">
        <v>46233</v>
      </c>
      <c r="C33" s="307" t="n"/>
      <c r="D33" s="371">
        <f>'TQ Huy  CT'!AG9</f>
        <v/>
      </c>
      <c r="E33" s="332" t="n"/>
      <c r="F33" s="311" t="n">
        <v>14350000</v>
      </c>
      <c r="G33" s="62">
        <f>IFERROR(D33/F33,0)</f>
        <v/>
      </c>
    </row>
    <row r="34" ht="14.4" customHeight="1" s="405">
      <c r="A34" s="33" t="n">
        <v>31</v>
      </c>
      <c r="B34" s="35" t="n">
        <v>46234</v>
      </c>
      <c r="C34" s="300" t="n"/>
      <c r="D34" s="370">
        <f>'TQ Huy  CT'!AH9</f>
        <v/>
      </c>
      <c r="E34" s="330" t="n"/>
      <c r="F34" s="313" t="n">
        <v>12125000</v>
      </c>
      <c r="G34" s="50">
        <f>IFERROR(D34/F34,0)</f>
        <v/>
      </c>
    </row>
    <row r="35" ht="14.4" customHeight="1" s="405">
      <c r="A35" s="325" t="n"/>
      <c r="B35" s="54" t="n"/>
      <c r="C35" s="116" t="n"/>
      <c r="D35" s="307" t="n"/>
      <c r="E35" s="325" t="n"/>
      <c r="F35" s="311" t="n"/>
      <c r="G35" s="265" t="n"/>
    </row>
    <row r="36" ht="13.2" customHeight="1" s="405">
      <c r="B36" s="117" t="n"/>
    </row>
    <row r="37" ht="13.2" customHeight="1" s="405">
      <c r="B37" s="117" t="n"/>
    </row>
    <row r="38" ht="13.2" customHeight="1" s="405">
      <c r="B38" s="117" t="n"/>
    </row>
    <row r="39" ht="13.2" customHeight="1" s="405">
      <c r="B39" s="117" t="n"/>
    </row>
    <row r="40" ht="13.2" customHeight="1" s="405">
      <c r="B40" s="117" t="n"/>
    </row>
    <row r="41" ht="13.2" customHeight="1" s="405">
      <c r="B41" s="117" t="n"/>
    </row>
    <row r="42" ht="13.2" customHeight="1" s="405">
      <c r="B42" s="117" t="n"/>
    </row>
    <row r="43" ht="13.2" customHeight="1" s="405">
      <c r="B43" s="117" t="n"/>
    </row>
    <row r="44" ht="13.2" customHeight="1" s="405">
      <c r="B44" s="117" t="n"/>
    </row>
    <row r="45" ht="13.2" customHeight="1" s="405">
      <c r="B45" s="117" t="n"/>
    </row>
    <row r="46" ht="13.2" customHeight="1" s="405">
      <c r="B46" s="117" t="n"/>
    </row>
    <row r="47" ht="13.2" customHeight="1" s="405">
      <c r="B47" s="117" t="n"/>
    </row>
    <row r="48" ht="13.2" customHeight="1" s="405">
      <c r="B48" s="117" t="n"/>
    </row>
    <row r="49" ht="13.2" customHeight="1" s="405">
      <c r="B49" s="117" t="n"/>
    </row>
    <row r="50" ht="13.2" customHeight="1" s="405">
      <c r="B50" s="117" t="n"/>
    </row>
    <row r="51" ht="13.2" customHeight="1" s="405">
      <c r="B51" s="117" t="n"/>
    </row>
    <row r="52" ht="13.2" customHeight="1" s="405">
      <c r="B52" s="117" t="n"/>
    </row>
    <row r="53" ht="13.2" customHeight="1" s="405">
      <c r="B53" s="117" t="n"/>
    </row>
    <row r="54" ht="13.2" customHeight="1" s="405">
      <c r="B54" s="117" t="n"/>
    </row>
    <row r="55" ht="13.2" customHeight="1" s="405">
      <c r="B55" s="117" t="n"/>
    </row>
    <row r="56" ht="13.2" customHeight="1" s="405">
      <c r="B56" s="117" t="n"/>
    </row>
    <row r="57" ht="13.2" customHeight="1" s="405">
      <c r="B57" s="117" t="n"/>
    </row>
    <row r="58" ht="13.2" customHeight="1" s="405">
      <c r="B58" s="117" t="n"/>
    </row>
    <row r="59" ht="13.2" customHeight="1" s="405">
      <c r="B59" s="117" t="n"/>
    </row>
    <row r="60" ht="13.2" customHeight="1" s="405">
      <c r="B60" s="117" t="n"/>
    </row>
    <row r="61" ht="13.2" customHeight="1" s="405">
      <c r="B61" s="117" t="n"/>
    </row>
    <row r="62" ht="13.2" customHeight="1" s="405">
      <c r="B62" s="117" t="n"/>
    </row>
    <row r="63" ht="13.2" customHeight="1" s="405">
      <c r="B63" s="117" t="n"/>
    </row>
    <row r="64" ht="13.2" customHeight="1" s="405">
      <c r="B64" s="117" t="n"/>
    </row>
    <row r="65" ht="13.2" customHeight="1" s="405">
      <c r="B65" s="117" t="n"/>
    </row>
    <row r="66" ht="13.2" customHeight="1" s="405">
      <c r="B66" s="117" t="n"/>
    </row>
    <row r="67" ht="13.2" customHeight="1" s="405">
      <c r="B67" s="117" t="n"/>
    </row>
    <row r="68" ht="13.2" customHeight="1" s="405">
      <c r="B68" s="117" t="n"/>
    </row>
    <row r="69" ht="13.2" customHeight="1" s="405">
      <c r="B69" s="117" t="n"/>
    </row>
    <row r="70" ht="13.2" customHeight="1" s="405">
      <c r="B70" s="117" t="n"/>
    </row>
    <row r="71" ht="13.2" customHeight="1" s="405">
      <c r="B71" s="117" t="n"/>
    </row>
    <row r="72" ht="13.2" customHeight="1" s="405">
      <c r="B72" s="117" t="n"/>
    </row>
    <row r="73" ht="13.2" customHeight="1" s="405">
      <c r="B73" s="117" t="n"/>
    </row>
    <row r="74" ht="13.2" customHeight="1" s="405">
      <c r="B74" s="117" t="n"/>
    </row>
    <row r="75" ht="13.2" customHeight="1" s="405">
      <c r="B75" s="117" t="n"/>
    </row>
    <row r="76" ht="13.2" customHeight="1" s="405">
      <c r="B76" s="117" t="n"/>
    </row>
    <row r="77" ht="13.2" customHeight="1" s="405">
      <c r="B77" s="117" t="n"/>
    </row>
    <row r="78" ht="13.2" customHeight="1" s="405">
      <c r="B78" s="117" t="n"/>
    </row>
    <row r="79" ht="13.2" customHeight="1" s="405">
      <c r="B79" s="117" t="n"/>
    </row>
    <row r="80" ht="13.2" customHeight="1" s="405">
      <c r="B80" s="117" t="n"/>
    </row>
    <row r="81" ht="13.2" customHeight="1" s="405">
      <c r="B81" s="117" t="n"/>
    </row>
    <row r="82" ht="13.2" customHeight="1" s="405">
      <c r="B82" s="117" t="n"/>
    </row>
    <row r="83" ht="13.2" customHeight="1" s="405">
      <c r="B83" s="117" t="n"/>
    </row>
    <row r="84" ht="13.2" customHeight="1" s="405">
      <c r="B84" s="117" t="n"/>
    </row>
    <row r="85" ht="13.2" customHeight="1" s="405">
      <c r="B85" s="117" t="n"/>
    </row>
    <row r="86" ht="13.2" customHeight="1" s="405">
      <c r="B86" s="117" t="n"/>
    </row>
    <row r="87" ht="13.2" customHeight="1" s="405">
      <c r="B87" s="117" t="n"/>
    </row>
    <row r="88" ht="13.2" customHeight="1" s="405">
      <c r="B88" s="117" t="n"/>
    </row>
    <row r="89" ht="13.2" customHeight="1" s="405">
      <c r="B89" s="117" t="n"/>
    </row>
    <row r="90" ht="13.2" customHeight="1" s="405">
      <c r="B90" s="117" t="n"/>
    </row>
    <row r="91" ht="13.2" customHeight="1" s="405">
      <c r="B91" s="117" t="n"/>
    </row>
    <row r="92" ht="13.2" customHeight="1" s="405">
      <c r="B92" s="117" t="n"/>
    </row>
    <row r="93" ht="13.2" customHeight="1" s="405">
      <c r="B93" s="117" t="n"/>
    </row>
    <row r="94" ht="13.2" customHeight="1" s="405">
      <c r="B94" s="117" t="n"/>
    </row>
    <row r="95" ht="13.2" customHeight="1" s="405">
      <c r="B95" s="117" t="n"/>
    </row>
    <row r="96" ht="13.2" customHeight="1" s="405">
      <c r="B96" s="117" t="n"/>
    </row>
    <row r="97" ht="13.2" customHeight="1" s="405">
      <c r="B97" s="117" t="n"/>
    </row>
    <row r="98" ht="13.2" customHeight="1" s="405">
      <c r="B98" s="117" t="n"/>
    </row>
    <row r="99" ht="13.2" customHeight="1" s="405">
      <c r="B99" s="117" t="n"/>
    </row>
    <row r="100" ht="13.2" customHeight="1" s="405">
      <c r="B100" s="117" t="n"/>
    </row>
    <row r="101" ht="13.2" customHeight="1" s="405">
      <c r="B101" s="117" t="n"/>
    </row>
    <row r="102" ht="13.2" customHeight="1" s="405">
      <c r="B102" s="117" t="n"/>
    </row>
    <row r="103" ht="13.2" customHeight="1" s="405">
      <c r="B103" s="117" t="n"/>
    </row>
    <row r="104" ht="13.2" customHeight="1" s="405">
      <c r="B104" s="117" t="n"/>
    </row>
    <row r="105" ht="13.2" customHeight="1" s="405">
      <c r="B105" s="117" t="n"/>
    </row>
    <row r="106" ht="13.2" customHeight="1" s="405">
      <c r="B106" s="117" t="n"/>
    </row>
    <row r="107" ht="13.2" customHeight="1" s="405">
      <c r="B107" s="117" t="n"/>
    </row>
    <row r="108" ht="13.2" customHeight="1" s="405">
      <c r="B108" s="117" t="n"/>
    </row>
    <row r="109" ht="13.2" customHeight="1" s="405">
      <c r="B109" s="117" t="n"/>
    </row>
    <row r="110" ht="13.2" customHeight="1" s="405">
      <c r="B110" s="117" t="n"/>
    </row>
    <row r="111" ht="13.2" customHeight="1" s="405">
      <c r="B111" s="117" t="n"/>
    </row>
    <row r="112" ht="13.2" customHeight="1" s="405">
      <c r="B112" s="117" t="n"/>
    </row>
    <row r="113" ht="13.2" customHeight="1" s="405">
      <c r="B113" s="117" t="n"/>
    </row>
    <row r="114" ht="13.2" customHeight="1" s="405">
      <c r="B114" s="117" t="n"/>
    </row>
    <row r="115" ht="13.2" customHeight="1" s="405">
      <c r="B115" s="117" t="n"/>
    </row>
    <row r="116" ht="13.2" customHeight="1" s="405">
      <c r="B116" s="117" t="n"/>
    </row>
    <row r="117" ht="13.2" customHeight="1" s="405">
      <c r="B117" s="117" t="n"/>
    </row>
    <row r="118" ht="13.2" customHeight="1" s="405">
      <c r="B118" s="117" t="n"/>
    </row>
    <row r="119" ht="13.2" customHeight="1" s="405">
      <c r="B119" s="117" t="n"/>
    </row>
    <row r="120" ht="13.2" customHeight="1" s="405">
      <c r="B120" s="117" t="n"/>
    </row>
    <row r="121" ht="13.2" customHeight="1" s="405">
      <c r="B121" s="117" t="n"/>
    </row>
    <row r="122" ht="13.2" customHeight="1" s="405">
      <c r="B122" s="117" t="n"/>
    </row>
    <row r="123" ht="13.2" customHeight="1" s="405">
      <c r="B123" s="117" t="n"/>
    </row>
    <row r="124" ht="13.2" customHeight="1" s="405">
      <c r="B124" s="117" t="n"/>
    </row>
    <row r="125" ht="13.2" customHeight="1" s="405">
      <c r="B125" s="117" t="n"/>
    </row>
    <row r="126" ht="13.2" customHeight="1" s="405">
      <c r="B126" s="117" t="n"/>
    </row>
    <row r="127" ht="13.2" customHeight="1" s="405">
      <c r="B127" s="117" t="n"/>
    </row>
    <row r="128" ht="13.2" customHeight="1" s="405">
      <c r="B128" s="117" t="n"/>
    </row>
    <row r="129" ht="13.2" customHeight="1" s="405">
      <c r="B129" s="117" t="n"/>
    </row>
    <row r="130" ht="13.2" customHeight="1" s="405">
      <c r="B130" s="117" t="n"/>
    </row>
    <row r="131" ht="13.2" customHeight="1" s="405">
      <c r="B131" s="117" t="n"/>
    </row>
    <row r="132" ht="13.2" customHeight="1" s="405">
      <c r="B132" s="117" t="n"/>
    </row>
    <row r="133" ht="13.2" customHeight="1" s="405">
      <c r="B133" s="117" t="n"/>
    </row>
    <row r="134" ht="13.2" customHeight="1" s="405">
      <c r="B134" s="117" t="n"/>
    </row>
    <row r="135" ht="13.2" customHeight="1" s="405">
      <c r="B135" s="117" t="n"/>
    </row>
    <row r="136" ht="13.2" customHeight="1" s="405">
      <c r="B136" s="117" t="n"/>
    </row>
    <row r="137" ht="13.2" customHeight="1" s="405">
      <c r="B137" s="117" t="n"/>
    </row>
    <row r="138" ht="13.2" customHeight="1" s="405">
      <c r="B138" s="117" t="n"/>
    </row>
    <row r="139" ht="13.2" customHeight="1" s="405">
      <c r="B139" s="117" t="n"/>
    </row>
    <row r="140" ht="13.2" customHeight="1" s="405">
      <c r="B140" s="117" t="n"/>
    </row>
    <row r="141" ht="13.2" customHeight="1" s="405">
      <c r="B141" s="117" t="n"/>
    </row>
    <row r="142" ht="13.2" customHeight="1" s="405">
      <c r="B142" s="117" t="n"/>
    </row>
    <row r="143" ht="13.2" customHeight="1" s="405">
      <c r="B143" s="117" t="n"/>
    </row>
    <row r="144" ht="13.2" customHeight="1" s="405">
      <c r="B144" s="117" t="n"/>
    </row>
    <row r="145" ht="13.2" customHeight="1" s="405">
      <c r="B145" s="117" t="n"/>
    </row>
    <row r="146" ht="13.2" customHeight="1" s="405">
      <c r="B146" s="117" t="n"/>
    </row>
    <row r="147" ht="13.2" customHeight="1" s="405">
      <c r="B147" s="117" t="n"/>
    </row>
    <row r="148" ht="13.2" customHeight="1" s="405">
      <c r="B148" s="117" t="n"/>
    </row>
    <row r="149" ht="13.2" customHeight="1" s="405">
      <c r="B149" s="117" t="n"/>
    </row>
    <row r="150" ht="13.2" customHeight="1" s="405">
      <c r="B150" s="117" t="n"/>
    </row>
    <row r="151" ht="13.2" customHeight="1" s="405">
      <c r="B151" s="117" t="n"/>
    </row>
    <row r="152" ht="13.2" customHeight="1" s="405">
      <c r="B152" s="117" t="n"/>
    </row>
    <row r="153" ht="13.2" customHeight="1" s="405">
      <c r="B153" s="117" t="n"/>
    </row>
    <row r="154" ht="13.2" customHeight="1" s="405">
      <c r="B154" s="117" t="n"/>
    </row>
    <row r="155" ht="13.2" customHeight="1" s="405">
      <c r="B155" s="117" t="n"/>
    </row>
    <row r="156" ht="13.2" customHeight="1" s="405">
      <c r="B156" s="117" t="n"/>
    </row>
    <row r="157" ht="13.2" customHeight="1" s="405">
      <c r="B157" s="117" t="n"/>
    </row>
    <row r="158" ht="13.2" customHeight="1" s="405">
      <c r="B158" s="117" t="n"/>
    </row>
    <row r="159" ht="13.2" customHeight="1" s="405">
      <c r="B159" s="117" t="n"/>
    </row>
    <row r="160" ht="13.2" customHeight="1" s="405">
      <c r="B160" s="117" t="n"/>
    </row>
    <row r="161" ht="13.2" customHeight="1" s="405">
      <c r="B161" s="117" t="n"/>
    </row>
    <row r="162" ht="13.2" customHeight="1" s="405">
      <c r="B162" s="117" t="n"/>
    </row>
    <row r="163" ht="13.2" customHeight="1" s="405">
      <c r="B163" s="117" t="n"/>
    </row>
    <row r="164" ht="13.2" customHeight="1" s="405">
      <c r="B164" s="117" t="n"/>
    </row>
    <row r="165" ht="13.2" customHeight="1" s="405">
      <c r="B165" s="117" t="n"/>
    </row>
    <row r="166" ht="13.2" customHeight="1" s="405">
      <c r="B166" s="117" t="n"/>
    </row>
    <row r="167" ht="13.2" customHeight="1" s="405">
      <c r="B167" s="117" t="n"/>
    </row>
    <row r="168" ht="13.2" customHeight="1" s="405">
      <c r="B168" s="117" t="n"/>
    </row>
    <row r="169" ht="13.2" customHeight="1" s="405">
      <c r="B169" s="117" t="n"/>
    </row>
    <row r="170" ht="13.2" customHeight="1" s="405">
      <c r="B170" s="117" t="n"/>
    </row>
    <row r="171" ht="13.2" customHeight="1" s="405">
      <c r="B171" s="117" t="n"/>
    </row>
    <row r="172" ht="13.2" customHeight="1" s="405">
      <c r="B172" s="117" t="n"/>
    </row>
    <row r="173" ht="13.2" customHeight="1" s="405">
      <c r="B173" s="117" t="n"/>
    </row>
    <row r="174" ht="13.2" customHeight="1" s="405">
      <c r="B174" s="117" t="n"/>
    </row>
    <row r="175" ht="13.2" customHeight="1" s="405">
      <c r="B175" s="117" t="n"/>
    </row>
    <row r="176" ht="13.2" customHeight="1" s="405">
      <c r="B176" s="117" t="n"/>
    </row>
    <row r="177" ht="13.2" customHeight="1" s="405">
      <c r="B177" s="117" t="n"/>
    </row>
    <row r="178" ht="13.2" customHeight="1" s="405">
      <c r="B178" s="117" t="n"/>
    </row>
    <row r="179" ht="13.2" customHeight="1" s="405">
      <c r="B179" s="117" t="n"/>
    </row>
    <row r="180" ht="13.2" customHeight="1" s="405">
      <c r="B180" s="117" t="n"/>
    </row>
    <row r="181" ht="13.2" customHeight="1" s="405">
      <c r="B181" s="117" t="n"/>
    </row>
    <row r="182" ht="13.2" customHeight="1" s="405">
      <c r="B182" s="117" t="n"/>
    </row>
    <row r="183" ht="13.2" customHeight="1" s="405">
      <c r="B183" s="117" t="n"/>
    </row>
    <row r="184" ht="13.2" customHeight="1" s="405">
      <c r="B184" s="117" t="n"/>
    </row>
    <row r="185" ht="13.2" customHeight="1" s="405">
      <c r="B185" s="117" t="n"/>
    </row>
    <row r="186" ht="13.2" customHeight="1" s="405">
      <c r="B186" s="117" t="n"/>
    </row>
    <row r="187" ht="13.2" customHeight="1" s="405">
      <c r="B187" s="117" t="n"/>
    </row>
    <row r="188" ht="13.2" customHeight="1" s="405">
      <c r="B188" s="117" t="n"/>
    </row>
    <row r="189" ht="13.2" customHeight="1" s="405">
      <c r="B189" s="117" t="n"/>
    </row>
    <row r="190" ht="13.2" customHeight="1" s="405">
      <c r="B190" s="117" t="n"/>
    </row>
    <row r="191" ht="13.2" customHeight="1" s="405">
      <c r="B191" s="117" t="n"/>
    </row>
    <row r="192" ht="13.2" customHeight="1" s="405">
      <c r="B192" s="117" t="n"/>
    </row>
    <row r="193" ht="13.2" customHeight="1" s="405">
      <c r="B193" s="117" t="n"/>
    </row>
    <row r="194" ht="13.2" customHeight="1" s="405">
      <c r="B194" s="117" t="n"/>
    </row>
    <row r="195" ht="13.2" customHeight="1" s="405">
      <c r="B195" s="117" t="n"/>
    </row>
    <row r="196" ht="13.2" customHeight="1" s="405">
      <c r="B196" s="117" t="n"/>
    </row>
    <row r="197" ht="13.2" customHeight="1" s="405">
      <c r="B197" s="117" t="n"/>
    </row>
    <row r="198" ht="13.2" customHeight="1" s="405">
      <c r="B198" s="117" t="n"/>
    </row>
    <row r="199" ht="13.2" customHeight="1" s="405">
      <c r="B199" s="117" t="n"/>
    </row>
    <row r="200" ht="13.2" customHeight="1" s="405">
      <c r="B200" s="117" t="n"/>
    </row>
    <row r="201" ht="13.2" customHeight="1" s="405">
      <c r="B201" s="117" t="n"/>
    </row>
    <row r="202" ht="13.2" customHeight="1" s="405">
      <c r="B202" s="117" t="n"/>
    </row>
    <row r="203" ht="13.2" customHeight="1" s="405">
      <c r="B203" s="117" t="n"/>
    </row>
    <row r="204" ht="13.2" customHeight="1" s="405">
      <c r="B204" s="117" t="n"/>
    </row>
    <row r="205" ht="13.2" customHeight="1" s="405">
      <c r="B205" s="117" t="n"/>
    </row>
    <row r="206" ht="13.2" customHeight="1" s="405">
      <c r="B206" s="117" t="n"/>
    </row>
    <row r="207" ht="13.2" customHeight="1" s="405">
      <c r="B207" s="117" t="n"/>
    </row>
    <row r="208" ht="13.2" customHeight="1" s="405">
      <c r="B208" s="117" t="n"/>
    </row>
    <row r="209" ht="13.2" customHeight="1" s="405">
      <c r="B209" s="117" t="n"/>
    </row>
    <row r="210" ht="13.2" customHeight="1" s="405">
      <c r="B210" s="117" t="n"/>
    </row>
    <row r="211" ht="13.2" customHeight="1" s="405">
      <c r="B211" s="117" t="n"/>
    </row>
    <row r="212" ht="13.2" customHeight="1" s="405">
      <c r="B212" s="117" t="n"/>
    </row>
    <row r="213" ht="13.2" customHeight="1" s="405">
      <c r="B213" s="117" t="n"/>
    </row>
    <row r="214" ht="13.2" customHeight="1" s="405">
      <c r="B214" s="117" t="n"/>
    </row>
    <row r="215" ht="13.2" customHeight="1" s="405">
      <c r="B215" s="117" t="n"/>
    </row>
    <row r="216" ht="13.2" customHeight="1" s="405">
      <c r="B216" s="117" t="n"/>
    </row>
    <row r="217" ht="13.2" customHeight="1" s="405">
      <c r="B217" s="117" t="n"/>
    </row>
    <row r="218" ht="13.2" customHeight="1" s="405">
      <c r="B218" s="117" t="n"/>
    </row>
    <row r="219" ht="13.2" customHeight="1" s="405">
      <c r="B219" s="117" t="n"/>
    </row>
    <row r="220" ht="13.2" customHeight="1" s="405">
      <c r="B220" s="117" t="n"/>
    </row>
    <row r="221" ht="13.2" customHeight="1" s="405">
      <c r="B221" s="117" t="n"/>
    </row>
    <row r="222" ht="13.2" customHeight="1" s="405">
      <c r="B222" s="117" t="n"/>
    </row>
    <row r="223" ht="13.2" customHeight="1" s="405">
      <c r="B223" s="117" t="n"/>
    </row>
    <row r="224" ht="13.2" customHeight="1" s="405">
      <c r="B224" s="117" t="n"/>
    </row>
    <row r="225" ht="13.2" customHeight="1" s="405">
      <c r="B225" s="117" t="n"/>
    </row>
    <row r="226" ht="13.2" customHeight="1" s="405">
      <c r="B226" s="117" t="n"/>
    </row>
    <row r="227" ht="13.2" customHeight="1" s="405">
      <c r="B227" s="117" t="n"/>
    </row>
    <row r="228" ht="13.2" customHeight="1" s="405">
      <c r="B228" s="117" t="n"/>
    </row>
    <row r="229" ht="13.2" customHeight="1" s="405">
      <c r="B229" s="117" t="n"/>
    </row>
    <row r="230" ht="13.2" customHeight="1" s="405">
      <c r="B230" s="117" t="n"/>
    </row>
    <row r="231" ht="13.2" customHeight="1" s="405">
      <c r="B231" s="117" t="n"/>
    </row>
    <row r="232" ht="13.2" customHeight="1" s="405">
      <c r="B232" s="117" t="n"/>
    </row>
    <row r="233" ht="13.2" customHeight="1" s="405">
      <c r="B233" s="117" t="n"/>
    </row>
    <row r="234" ht="13.2" customHeight="1" s="405">
      <c r="B234" s="117" t="n"/>
    </row>
    <row r="235" ht="13.2" customHeight="1" s="405">
      <c r="B235" s="117" t="n"/>
    </row>
    <row r="236" ht="13.2" customHeight="1" s="405">
      <c r="B236" s="117" t="n"/>
    </row>
    <row r="237" ht="13.2" customHeight="1" s="405">
      <c r="B237" s="117" t="n"/>
    </row>
    <row r="238" ht="13.2" customHeight="1" s="405">
      <c r="B238" s="117" t="n"/>
    </row>
    <row r="239" ht="13.2" customHeight="1" s="405">
      <c r="B239" s="117" t="n"/>
    </row>
    <row r="240" ht="13.2" customHeight="1" s="405">
      <c r="B240" s="117" t="n"/>
    </row>
    <row r="241" ht="13.2" customHeight="1" s="405">
      <c r="B241" s="117" t="n"/>
    </row>
    <row r="242" ht="13.2" customHeight="1" s="405">
      <c r="B242" s="117" t="n"/>
    </row>
    <row r="243" ht="13.2" customHeight="1" s="405">
      <c r="B243" s="117" t="n"/>
    </row>
    <row r="244" ht="13.2" customHeight="1" s="405">
      <c r="B244" s="117" t="n"/>
    </row>
    <row r="245" ht="13.2" customHeight="1" s="405">
      <c r="B245" s="117" t="n"/>
    </row>
    <row r="246" ht="13.2" customHeight="1" s="405">
      <c r="B246" s="117" t="n"/>
    </row>
    <row r="247" ht="13.2" customHeight="1" s="405">
      <c r="B247" s="117" t="n"/>
    </row>
    <row r="248" ht="13.2" customHeight="1" s="405">
      <c r="B248" s="117" t="n"/>
    </row>
    <row r="249" ht="13.2" customHeight="1" s="405">
      <c r="B249" s="117" t="n"/>
    </row>
    <row r="250" ht="13.2" customHeight="1" s="405">
      <c r="B250" s="117" t="n"/>
    </row>
    <row r="251" ht="13.2" customHeight="1" s="405">
      <c r="B251" s="117" t="n"/>
    </row>
    <row r="252" ht="13.2" customHeight="1" s="405">
      <c r="B252" s="117" t="n"/>
    </row>
    <row r="253" ht="13.2" customHeight="1" s="405">
      <c r="B253" s="117" t="n"/>
    </row>
    <row r="254" ht="13.2" customHeight="1" s="405">
      <c r="B254" s="117" t="n"/>
    </row>
    <row r="255" ht="13.2" customHeight="1" s="405">
      <c r="B255" s="117" t="n"/>
    </row>
    <row r="256" ht="13.2" customHeight="1" s="405">
      <c r="B256" s="117" t="n"/>
    </row>
    <row r="257" ht="13.2" customHeight="1" s="405">
      <c r="B257" s="117" t="n"/>
    </row>
    <row r="258" ht="13.2" customHeight="1" s="405">
      <c r="B258" s="117" t="n"/>
    </row>
    <row r="259" ht="13.2" customHeight="1" s="405">
      <c r="B259" s="117" t="n"/>
    </row>
    <row r="260" ht="13.2" customHeight="1" s="405">
      <c r="B260" s="117" t="n"/>
    </row>
    <row r="261" ht="13.2" customHeight="1" s="405">
      <c r="B261" s="117" t="n"/>
    </row>
    <row r="262" ht="13.2" customHeight="1" s="405">
      <c r="B262" s="117" t="n"/>
    </row>
    <row r="263" ht="13.2" customHeight="1" s="405">
      <c r="B263" s="117" t="n"/>
    </row>
    <row r="264" ht="13.2" customHeight="1" s="405">
      <c r="B264" s="117" t="n"/>
    </row>
    <row r="265" ht="13.2" customHeight="1" s="405">
      <c r="B265" s="117" t="n"/>
    </row>
    <row r="266" ht="13.2" customHeight="1" s="405">
      <c r="B266" s="117" t="n"/>
    </row>
    <row r="267" ht="13.2" customHeight="1" s="405">
      <c r="B267" s="117" t="n"/>
    </row>
    <row r="268" ht="13.2" customHeight="1" s="405">
      <c r="B268" s="117" t="n"/>
    </row>
    <row r="269" ht="13.2" customHeight="1" s="405">
      <c r="B269" s="117" t="n"/>
    </row>
    <row r="270" ht="13.2" customHeight="1" s="405">
      <c r="B270" s="117" t="n"/>
    </row>
    <row r="271" ht="13.2" customHeight="1" s="405">
      <c r="B271" s="117" t="n"/>
    </row>
    <row r="272" ht="13.2" customHeight="1" s="405">
      <c r="B272" s="117" t="n"/>
    </row>
    <row r="273" ht="13.2" customHeight="1" s="405">
      <c r="B273" s="117" t="n"/>
    </row>
    <row r="274" ht="13.2" customHeight="1" s="405">
      <c r="B274" s="117" t="n"/>
    </row>
    <row r="275" ht="13.2" customHeight="1" s="405">
      <c r="B275" s="117" t="n"/>
    </row>
    <row r="276" ht="13.2" customHeight="1" s="405">
      <c r="B276" s="117" t="n"/>
    </row>
    <row r="277" ht="13.2" customHeight="1" s="405">
      <c r="B277" s="117" t="n"/>
    </row>
    <row r="278" ht="13.2" customHeight="1" s="405">
      <c r="B278" s="117" t="n"/>
    </row>
    <row r="279" ht="13.2" customHeight="1" s="405">
      <c r="B279" s="117" t="n"/>
    </row>
    <row r="280" ht="13.2" customHeight="1" s="405">
      <c r="B280" s="117" t="n"/>
    </row>
    <row r="281" ht="13.2" customHeight="1" s="405">
      <c r="B281" s="117" t="n"/>
    </row>
    <row r="282" ht="13.2" customHeight="1" s="405">
      <c r="B282" s="117" t="n"/>
    </row>
    <row r="283" ht="13.2" customHeight="1" s="405">
      <c r="B283" s="117" t="n"/>
    </row>
    <row r="284" ht="13.2" customHeight="1" s="405">
      <c r="B284" s="117" t="n"/>
    </row>
    <row r="285" ht="13.2" customHeight="1" s="405">
      <c r="B285" s="117" t="n"/>
    </row>
    <row r="286" ht="13.2" customHeight="1" s="405">
      <c r="B286" s="117" t="n"/>
    </row>
    <row r="287" ht="13.2" customHeight="1" s="405">
      <c r="B287" s="117" t="n"/>
    </row>
    <row r="288" ht="13.2" customHeight="1" s="405">
      <c r="B288" s="117" t="n"/>
    </row>
    <row r="289" ht="13.2" customHeight="1" s="405">
      <c r="B289" s="117" t="n"/>
    </row>
    <row r="290" ht="13.2" customHeight="1" s="405">
      <c r="B290" s="117" t="n"/>
    </row>
    <row r="291" ht="13.2" customHeight="1" s="405">
      <c r="B291" s="117" t="n"/>
    </row>
    <row r="292" ht="13.2" customHeight="1" s="405">
      <c r="B292" s="117" t="n"/>
    </row>
    <row r="293" ht="13.2" customHeight="1" s="405">
      <c r="B293" s="117" t="n"/>
    </row>
    <row r="294" ht="13.2" customHeight="1" s="405">
      <c r="B294" s="117" t="n"/>
    </row>
    <row r="295" ht="13.2" customHeight="1" s="405">
      <c r="B295" s="117" t="n"/>
    </row>
    <row r="296" ht="13.2" customHeight="1" s="405">
      <c r="B296" s="117" t="n"/>
    </row>
    <row r="297" ht="13.2" customHeight="1" s="405">
      <c r="B297" s="117" t="n"/>
    </row>
    <row r="298" ht="13.2" customHeight="1" s="405">
      <c r="B298" s="117" t="n"/>
    </row>
    <row r="299" ht="13.2" customHeight="1" s="405">
      <c r="B299" s="117" t="n"/>
    </row>
    <row r="300" ht="13.2" customHeight="1" s="405">
      <c r="B300" s="117" t="n"/>
    </row>
    <row r="301" ht="13.2" customHeight="1" s="405">
      <c r="B301" s="117" t="n"/>
    </row>
    <row r="302" ht="13.2" customHeight="1" s="405">
      <c r="B302" s="117" t="n"/>
    </row>
    <row r="303" ht="13.2" customHeight="1" s="405">
      <c r="B303" s="117" t="n"/>
    </row>
    <row r="304" ht="13.2" customHeight="1" s="405">
      <c r="B304" s="117" t="n"/>
    </row>
    <row r="305" ht="13.2" customHeight="1" s="405">
      <c r="B305" s="117" t="n"/>
    </row>
    <row r="306" ht="13.2" customHeight="1" s="405">
      <c r="B306" s="117" t="n"/>
    </row>
    <row r="307" ht="13.2" customHeight="1" s="405">
      <c r="B307" s="117" t="n"/>
    </row>
    <row r="308" ht="13.2" customHeight="1" s="405">
      <c r="B308" s="117" t="n"/>
    </row>
    <row r="309" ht="13.2" customHeight="1" s="405">
      <c r="B309" s="117" t="n"/>
    </row>
    <row r="310" ht="13.2" customHeight="1" s="405">
      <c r="B310" s="117" t="n"/>
    </row>
    <row r="311" ht="13.2" customHeight="1" s="405">
      <c r="B311" s="117" t="n"/>
    </row>
    <row r="312" ht="13.2" customHeight="1" s="405">
      <c r="B312" s="117" t="n"/>
    </row>
    <row r="313" ht="13.2" customHeight="1" s="405">
      <c r="B313" s="117" t="n"/>
    </row>
    <row r="314" ht="13.2" customHeight="1" s="405">
      <c r="B314" s="117" t="n"/>
    </row>
    <row r="315" ht="13.2" customHeight="1" s="405">
      <c r="B315" s="117" t="n"/>
    </row>
    <row r="316" ht="13.2" customHeight="1" s="405">
      <c r="B316" s="117" t="n"/>
    </row>
    <row r="317" ht="13.2" customHeight="1" s="405">
      <c r="B317" s="117" t="n"/>
    </row>
    <row r="318" ht="13.2" customHeight="1" s="405">
      <c r="B318" s="117" t="n"/>
    </row>
    <row r="319" ht="13.2" customHeight="1" s="405">
      <c r="B319" s="117" t="n"/>
    </row>
    <row r="320" ht="13.2" customHeight="1" s="405">
      <c r="B320" s="117" t="n"/>
    </row>
    <row r="321" ht="13.2" customHeight="1" s="405">
      <c r="B321" s="117" t="n"/>
    </row>
    <row r="322" ht="13.2" customHeight="1" s="405">
      <c r="B322" s="117" t="n"/>
    </row>
    <row r="323" ht="13.2" customHeight="1" s="405">
      <c r="B323" s="117" t="n"/>
    </row>
    <row r="324" ht="13.2" customHeight="1" s="405">
      <c r="B324" s="117" t="n"/>
    </row>
    <row r="325" ht="13.2" customHeight="1" s="405">
      <c r="B325" s="117" t="n"/>
    </row>
    <row r="326" ht="13.2" customHeight="1" s="405">
      <c r="B326" s="117" t="n"/>
    </row>
    <row r="327" ht="13.2" customHeight="1" s="405">
      <c r="B327" s="117" t="n"/>
    </row>
    <row r="328" ht="13.2" customHeight="1" s="405">
      <c r="B328" s="117" t="n"/>
    </row>
    <row r="329" ht="13.2" customHeight="1" s="405">
      <c r="B329" s="117" t="n"/>
    </row>
    <row r="330" ht="13.2" customHeight="1" s="405">
      <c r="B330" s="117" t="n"/>
    </row>
    <row r="331" ht="13.2" customHeight="1" s="405">
      <c r="B331" s="117" t="n"/>
    </row>
    <row r="332" ht="13.2" customHeight="1" s="405">
      <c r="B332" s="117" t="n"/>
    </row>
    <row r="333" ht="13.2" customHeight="1" s="405">
      <c r="B333" s="117" t="n"/>
    </row>
    <row r="334" ht="13.2" customHeight="1" s="405">
      <c r="B334" s="117" t="n"/>
    </row>
    <row r="335" ht="13.2" customHeight="1" s="405">
      <c r="B335" s="117" t="n"/>
    </row>
    <row r="336" ht="13.2" customHeight="1" s="405">
      <c r="B336" s="117" t="n"/>
    </row>
    <row r="337" ht="13.2" customHeight="1" s="405">
      <c r="B337" s="117" t="n"/>
    </row>
    <row r="338" ht="13.2" customHeight="1" s="405">
      <c r="B338" s="117" t="n"/>
    </row>
    <row r="339" ht="13.2" customHeight="1" s="405">
      <c r="B339" s="117" t="n"/>
    </row>
    <row r="340" ht="13.2" customHeight="1" s="405">
      <c r="B340" s="117" t="n"/>
    </row>
    <row r="341" ht="13.2" customHeight="1" s="405">
      <c r="B341" s="117" t="n"/>
    </row>
    <row r="342" ht="13.2" customHeight="1" s="405">
      <c r="B342" s="117" t="n"/>
    </row>
    <row r="343" ht="13.2" customHeight="1" s="405">
      <c r="B343" s="117" t="n"/>
    </row>
    <row r="344" ht="13.2" customHeight="1" s="405">
      <c r="B344" s="117" t="n"/>
    </row>
    <row r="345" ht="13.2" customHeight="1" s="405">
      <c r="B345" s="117" t="n"/>
    </row>
    <row r="346" ht="13.2" customHeight="1" s="405">
      <c r="B346" s="117" t="n"/>
    </row>
    <row r="347" ht="13.2" customHeight="1" s="405">
      <c r="B347" s="117" t="n"/>
    </row>
    <row r="348" ht="13.2" customHeight="1" s="405">
      <c r="B348" s="117" t="n"/>
    </row>
    <row r="349" ht="13.2" customHeight="1" s="405">
      <c r="B349" s="117" t="n"/>
    </row>
    <row r="350" ht="13.2" customHeight="1" s="405">
      <c r="B350" s="117" t="n"/>
    </row>
    <row r="351" ht="13.2" customHeight="1" s="405">
      <c r="B351" s="117" t="n"/>
    </row>
    <row r="352" ht="13.2" customHeight="1" s="405">
      <c r="B352" s="117" t="n"/>
    </row>
    <row r="353" ht="13.2" customHeight="1" s="405">
      <c r="B353" s="117" t="n"/>
    </row>
    <row r="354" ht="13.2" customHeight="1" s="405">
      <c r="B354" s="117" t="n"/>
    </row>
    <row r="355" ht="13.2" customHeight="1" s="405">
      <c r="B355" s="117" t="n"/>
    </row>
    <row r="356" ht="13.2" customHeight="1" s="405">
      <c r="B356" s="117" t="n"/>
    </row>
    <row r="357" ht="13.2" customHeight="1" s="405">
      <c r="B357" s="117" t="n"/>
    </row>
    <row r="358" ht="13.2" customHeight="1" s="405">
      <c r="B358" s="117" t="n"/>
    </row>
    <row r="359" ht="13.2" customHeight="1" s="405">
      <c r="B359" s="117" t="n"/>
    </row>
    <row r="360" ht="13.2" customHeight="1" s="405">
      <c r="B360" s="117" t="n"/>
    </row>
    <row r="361" ht="13.2" customHeight="1" s="405">
      <c r="B361" s="117" t="n"/>
    </row>
    <row r="362" ht="13.2" customHeight="1" s="405">
      <c r="B362" s="117" t="n"/>
    </row>
    <row r="363" ht="13.2" customHeight="1" s="405">
      <c r="B363" s="117" t="n"/>
    </row>
    <row r="364" ht="13.2" customHeight="1" s="405">
      <c r="B364" s="117" t="n"/>
    </row>
    <row r="365" ht="13.2" customHeight="1" s="405">
      <c r="B365" s="117" t="n"/>
    </row>
    <row r="366" ht="13.2" customHeight="1" s="405">
      <c r="B366" s="117" t="n"/>
    </row>
    <row r="367" ht="13.2" customHeight="1" s="405">
      <c r="B367" s="117" t="n"/>
    </row>
    <row r="368" ht="13.2" customHeight="1" s="405">
      <c r="B368" s="117" t="n"/>
    </row>
    <row r="369" ht="13.2" customHeight="1" s="405">
      <c r="B369" s="117" t="n"/>
    </row>
    <row r="370" ht="13.2" customHeight="1" s="405">
      <c r="B370" s="117" t="n"/>
    </row>
    <row r="371" ht="13.2" customHeight="1" s="405">
      <c r="B371" s="117" t="n"/>
    </row>
    <row r="372" ht="13.2" customHeight="1" s="405">
      <c r="B372" s="117" t="n"/>
    </row>
    <row r="373" ht="13.2" customHeight="1" s="405">
      <c r="B373" s="117" t="n"/>
    </row>
    <row r="374" ht="13.2" customHeight="1" s="405">
      <c r="B374" s="117" t="n"/>
    </row>
    <row r="375" ht="13.2" customHeight="1" s="405">
      <c r="B375" s="117" t="n"/>
    </row>
    <row r="376" ht="13.2" customHeight="1" s="405">
      <c r="B376" s="117" t="n"/>
    </row>
    <row r="377" ht="13.2" customHeight="1" s="405">
      <c r="B377" s="117" t="n"/>
    </row>
    <row r="378" ht="13.2" customHeight="1" s="405">
      <c r="B378" s="117" t="n"/>
    </row>
    <row r="379" ht="13.2" customHeight="1" s="405">
      <c r="B379" s="117" t="n"/>
    </row>
    <row r="380" ht="13.2" customHeight="1" s="405">
      <c r="B380" s="117" t="n"/>
    </row>
    <row r="381" ht="13.2" customHeight="1" s="405">
      <c r="B381" s="117" t="n"/>
    </row>
    <row r="382" ht="13.2" customHeight="1" s="405">
      <c r="B382" s="117" t="n"/>
    </row>
    <row r="383" ht="13.2" customHeight="1" s="405">
      <c r="B383" s="117" t="n"/>
    </row>
    <row r="384" ht="13.2" customHeight="1" s="405">
      <c r="B384" s="117" t="n"/>
    </row>
    <row r="385" ht="13.2" customHeight="1" s="405">
      <c r="B385" s="117" t="n"/>
    </row>
    <row r="386" ht="13.2" customHeight="1" s="405">
      <c r="B386" s="117" t="n"/>
    </row>
    <row r="387" ht="13.2" customHeight="1" s="405">
      <c r="B387" s="117" t="n"/>
    </row>
    <row r="388" ht="13.2" customHeight="1" s="405">
      <c r="B388" s="117" t="n"/>
    </row>
    <row r="389" ht="13.2" customHeight="1" s="405">
      <c r="B389" s="117" t="n"/>
    </row>
    <row r="390" ht="13.2" customHeight="1" s="405">
      <c r="B390" s="117" t="n"/>
    </row>
    <row r="391" ht="13.2" customHeight="1" s="405">
      <c r="B391" s="117" t="n"/>
    </row>
    <row r="392" ht="13.2" customHeight="1" s="405">
      <c r="B392" s="117" t="n"/>
    </row>
    <row r="393" ht="13.2" customHeight="1" s="405">
      <c r="B393" s="117" t="n"/>
    </row>
    <row r="394" ht="13.2" customHeight="1" s="405">
      <c r="B394" s="117" t="n"/>
    </row>
    <row r="395" ht="13.2" customHeight="1" s="405">
      <c r="B395" s="117" t="n"/>
    </row>
    <row r="396" ht="13.2" customHeight="1" s="405">
      <c r="B396" s="117" t="n"/>
    </row>
    <row r="397" ht="13.2" customHeight="1" s="405">
      <c r="B397" s="117" t="n"/>
    </row>
    <row r="398" ht="13.2" customHeight="1" s="405">
      <c r="B398" s="117" t="n"/>
    </row>
    <row r="399" ht="13.2" customHeight="1" s="405">
      <c r="B399" s="117" t="n"/>
    </row>
    <row r="400" ht="13.2" customHeight="1" s="405">
      <c r="B400" s="117" t="n"/>
    </row>
    <row r="401" ht="13.2" customHeight="1" s="405">
      <c r="B401" s="117" t="n"/>
    </row>
    <row r="402" ht="13.2" customHeight="1" s="405">
      <c r="B402" s="117" t="n"/>
    </row>
    <row r="403" ht="13.2" customHeight="1" s="405">
      <c r="B403" s="117" t="n"/>
    </row>
    <row r="404" ht="13.2" customHeight="1" s="405">
      <c r="B404" s="117" t="n"/>
    </row>
    <row r="405" ht="13.2" customHeight="1" s="405">
      <c r="B405" s="117" t="n"/>
    </row>
    <row r="406" ht="13.2" customHeight="1" s="405">
      <c r="B406" s="117" t="n"/>
    </row>
    <row r="407" ht="13.2" customHeight="1" s="405">
      <c r="B407" s="117" t="n"/>
    </row>
    <row r="408" ht="13.2" customHeight="1" s="405">
      <c r="B408" s="117" t="n"/>
    </row>
    <row r="409" ht="13.2" customHeight="1" s="405">
      <c r="B409" s="117" t="n"/>
    </row>
    <row r="410" ht="13.2" customHeight="1" s="405">
      <c r="B410" s="117" t="n"/>
    </row>
    <row r="411" ht="13.2" customHeight="1" s="405">
      <c r="B411" s="117" t="n"/>
    </row>
    <row r="412" ht="13.2" customHeight="1" s="405">
      <c r="B412" s="117" t="n"/>
    </row>
    <row r="413" ht="13.2" customHeight="1" s="405">
      <c r="B413" s="117" t="n"/>
    </row>
    <row r="414" ht="13.2" customHeight="1" s="405">
      <c r="B414" s="117" t="n"/>
    </row>
    <row r="415" ht="13.2" customHeight="1" s="405">
      <c r="B415" s="117" t="n"/>
    </row>
    <row r="416" ht="13.2" customHeight="1" s="405">
      <c r="B416" s="117" t="n"/>
    </row>
    <row r="417" ht="13.2" customHeight="1" s="405">
      <c r="B417" s="117" t="n"/>
    </row>
    <row r="418" ht="13.2" customHeight="1" s="405">
      <c r="B418" s="117" t="n"/>
    </row>
    <row r="419" ht="13.2" customHeight="1" s="405">
      <c r="B419" s="117" t="n"/>
    </row>
    <row r="420" ht="13.2" customHeight="1" s="405">
      <c r="B420" s="117" t="n"/>
    </row>
    <row r="421" ht="13.2" customHeight="1" s="405">
      <c r="B421" s="117" t="n"/>
    </row>
    <row r="422" ht="13.2" customHeight="1" s="405">
      <c r="B422" s="117" t="n"/>
    </row>
    <row r="423" ht="13.2" customHeight="1" s="405">
      <c r="B423" s="117" t="n"/>
    </row>
    <row r="424" ht="13.2" customHeight="1" s="405">
      <c r="B424" s="117" t="n"/>
    </row>
    <row r="425" ht="13.2" customHeight="1" s="405">
      <c r="B425" s="117" t="n"/>
    </row>
    <row r="426" ht="13.2" customHeight="1" s="405">
      <c r="B426" s="117" t="n"/>
    </row>
    <row r="427" ht="13.2" customHeight="1" s="405">
      <c r="B427" s="117" t="n"/>
    </row>
    <row r="428" ht="13.2" customHeight="1" s="405">
      <c r="B428" s="117" t="n"/>
    </row>
    <row r="429" ht="13.2" customHeight="1" s="405">
      <c r="B429" s="117" t="n"/>
    </row>
    <row r="430" ht="13.2" customHeight="1" s="405">
      <c r="B430" s="117" t="n"/>
    </row>
    <row r="431" ht="13.2" customHeight="1" s="405">
      <c r="B431" s="117" t="n"/>
    </row>
    <row r="432" ht="13.2" customHeight="1" s="405">
      <c r="B432" s="117" t="n"/>
    </row>
    <row r="433" ht="13.2" customHeight="1" s="405">
      <c r="B433" s="117" t="n"/>
    </row>
    <row r="434" ht="13.2" customHeight="1" s="405">
      <c r="B434" s="117" t="n"/>
    </row>
    <row r="435" ht="13.2" customHeight="1" s="405">
      <c r="B435" s="117" t="n"/>
    </row>
    <row r="436" ht="13.2" customHeight="1" s="405">
      <c r="B436" s="117" t="n"/>
    </row>
    <row r="437" ht="13.2" customHeight="1" s="405">
      <c r="B437" s="117" t="n"/>
    </row>
    <row r="438" ht="13.2" customHeight="1" s="405">
      <c r="B438" s="117" t="n"/>
    </row>
    <row r="439" ht="13.2" customHeight="1" s="405">
      <c r="B439" s="117" t="n"/>
    </row>
    <row r="440" ht="13.2" customHeight="1" s="405">
      <c r="B440" s="117" t="n"/>
    </row>
    <row r="441" ht="13.2" customHeight="1" s="405">
      <c r="B441" s="117" t="n"/>
    </row>
    <row r="442" ht="13.2" customHeight="1" s="405">
      <c r="B442" s="117" t="n"/>
    </row>
    <row r="443" ht="13.2" customHeight="1" s="405">
      <c r="B443" s="117" t="n"/>
    </row>
    <row r="444" ht="13.2" customHeight="1" s="405">
      <c r="B444" s="117" t="n"/>
    </row>
    <row r="445" ht="13.2" customHeight="1" s="405">
      <c r="B445" s="117" t="n"/>
    </row>
    <row r="446" ht="13.2" customHeight="1" s="405">
      <c r="B446" s="117" t="n"/>
    </row>
    <row r="447" ht="13.2" customHeight="1" s="405">
      <c r="B447" s="117" t="n"/>
    </row>
    <row r="448" ht="13.2" customHeight="1" s="405">
      <c r="B448" s="117" t="n"/>
    </row>
    <row r="449" ht="13.2" customHeight="1" s="405">
      <c r="B449" s="117" t="n"/>
    </row>
    <row r="450" ht="13.2" customHeight="1" s="405">
      <c r="B450" s="117" t="n"/>
    </row>
    <row r="451" ht="13.2" customHeight="1" s="405">
      <c r="B451" s="117" t="n"/>
    </row>
    <row r="452" ht="13.2" customHeight="1" s="405">
      <c r="B452" s="117" t="n"/>
    </row>
    <row r="453" ht="13.2" customHeight="1" s="405">
      <c r="B453" s="117" t="n"/>
    </row>
    <row r="454" ht="13.2" customHeight="1" s="405">
      <c r="B454" s="117" t="n"/>
    </row>
    <row r="455" ht="13.2" customHeight="1" s="405">
      <c r="B455" s="117" t="n"/>
    </row>
    <row r="456" ht="13.2" customHeight="1" s="405">
      <c r="B456" s="117" t="n"/>
    </row>
    <row r="457" ht="13.2" customHeight="1" s="405">
      <c r="B457" s="117" t="n"/>
    </row>
    <row r="458" ht="13.2" customHeight="1" s="405">
      <c r="B458" s="117" t="n"/>
    </row>
    <row r="459" ht="13.2" customHeight="1" s="405">
      <c r="B459" s="117" t="n"/>
    </row>
    <row r="460" ht="13.2" customHeight="1" s="405">
      <c r="B460" s="117" t="n"/>
    </row>
    <row r="461" ht="13.2" customHeight="1" s="405">
      <c r="B461" s="117" t="n"/>
    </row>
    <row r="462" ht="13.2" customHeight="1" s="405">
      <c r="B462" s="117" t="n"/>
    </row>
    <row r="463" ht="13.2" customHeight="1" s="405">
      <c r="B463" s="117" t="n"/>
    </row>
    <row r="464" ht="13.2" customHeight="1" s="405">
      <c r="B464" s="117" t="n"/>
    </row>
    <row r="465" ht="13.2" customHeight="1" s="405">
      <c r="B465" s="117" t="n"/>
    </row>
    <row r="466" ht="13.2" customHeight="1" s="405">
      <c r="B466" s="117" t="n"/>
    </row>
    <row r="467" ht="13.2" customHeight="1" s="405">
      <c r="B467" s="117" t="n"/>
    </row>
    <row r="468" ht="13.2" customHeight="1" s="405">
      <c r="B468" s="117" t="n"/>
    </row>
    <row r="469" ht="13.2" customHeight="1" s="405">
      <c r="B469" s="117" t="n"/>
    </row>
    <row r="470" ht="13.2" customHeight="1" s="405">
      <c r="B470" s="117" t="n"/>
    </row>
    <row r="471" ht="13.2" customHeight="1" s="405">
      <c r="B471" s="117" t="n"/>
    </row>
    <row r="472" ht="13.2" customHeight="1" s="405">
      <c r="B472" s="117" t="n"/>
    </row>
    <row r="473" ht="13.2" customHeight="1" s="405">
      <c r="B473" s="117" t="n"/>
    </row>
    <row r="474" ht="13.2" customHeight="1" s="405">
      <c r="B474" s="117" t="n"/>
    </row>
    <row r="475" ht="13.2" customHeight="1" s="405">
      <c r="B475" s="117" t="n"/>
    </row>
    <row r="476" ht="13.2" customHeight="1" s="405">
      <c r="B476" s="117" t="n"/>
    </row>
    <row r="477" ht="13.2" customHeight="1" s="405">
      <c r="B477" s="117" t="n"/>
    </row>
    <row r="478" ht="13.2" customHeight="1" s="405">
      <c r="B478" s="117" t="n"/>
    </row>
    <row r="479" ht="13.2" customHeight="1" s="405">
      <c r="B479" s="117" t="n"/>
    </row>
    <row r="480" ht="13.2" customHeight="1" s="405">
      <c r="B480" s="117" t="n"/>
    </row>
    <row r="481" ht="13.2" customHeight="1" s="405">
      <c r="B481" s="117" t="n"/>
    </row>
    <row r="482" ht="13.2" customHeight="1" s="405">
      <c r="B482" s="117" t="n"/>
    </row>
    <row r="483" ht="13.2" customHeight="1" s="405">
      <c r="B483" s="117" t="n"/>
    </row>
    <row r="484" ht="13.2" customHeight="1" s="405">
      <c r="B484" s="117" t="n"/>
    </row>
    <row r="485" ht="13.2" customHeight="1" s="405">
      <c r="B485" s="117" t="n"/>
    </row>
    <row r="486" ht="13.2" customHeight="1" s="405">
      <c r="B486" s="117" t="n"/>
    </row>
    <row r="487" ht="13.2" customHeight="1" s="405">
      <c r="B487" s="117" t="n"/>
    </row>
    <row r="488" ht="13.2" customHeight="1" s="405">
      <c r="B488" s="117" t="n"/>
    </row>
    <row r="489" ht="13.2" customHeight="1" s="405">
      <c r="B489" s="117" t="n"/>
    </row>
    <row r="490" ht="13.2" customHeight="1" s="405">
      <c r="B490" s="117" t="n"/>
    </row>
    <row r="491" ht="13.2" customHeight="1" s="405">
      <c r="B491" s="117" t="n"/>
    </row>
    <row r="492" ht="13.2" customHeight="1" s="405">
      <c r="B492" s="117" t="n"/>
    </row>
    <row r="493" ht="13.2" customHeight="1" s="405">
      <c r="B493" s="117" t="n"/>
    </row>
    <row r="494" ht="13.2" customHeight="1" s="405">
      <c r="B494" s="117" t="n"/>
    </row>
    <row r="495" ht="13.2" customHeight="1" s="405">
      <c r="B495" s="117" t="n"/>
    </row>
    <row r="496" ht="13.2" customHeight="1" s="405">
      <c r="B496" s="117" t="n"/>
    </row>
    <row r="497" ht="13.2" customHeight="1" s="405">
      <c r="B497" s="117" t="n"/>
    </row>
    <row r="498" ht="13.2" customHeight="1" s="405">
      <c r="B498" s="117" t="n"/>
    </row>
    <row r="499" ht="13.2" customHeight="1" s="405">
      <c r="B499" s="117" t="n"/>
    </row>
    <row r="500" ht="13.2" customHeight="1" s="405">
      <c r="B500" s="117" t="n"/>
    </row>
    <row r="501" ht="13.2" customHeight="1" s="405">
      <c r="B501" s="117" t="n"/>
    </row>
    <row r="502" ht="13.2" customHeight="1" s="405">
      <c r="B502" s="117" t="n"/>
    </row>
    <row r="503" ht="13.2" customHeight="1" s="405">
      <c r="B503" s="117" t="n"/>
    </row>
    <row r="504" ht="13.2" customHeight="1" s="405">
      <c r="B504" s="117" t="n"/>
    </row>
    <row r="505" ht="13.2" customHeight="1" s="405">
      <c r="B505" s="117" t="n"/>
    </row>
    <row r="506" ht="13.2" customHeight="1" s="405">
      <c r="B506" s="117" t="n"/>
    </row>
    <row r="507" ht="13.2" customHeight="1" s="405">
      <c r="B507" s="117" t="n"/>
    </row>
    <row r="508" ht="13.2" customHeight="1" s="405">
      <c r="B508" s="117" t="n"/>
    </row>
    <row r="509" ht="13.2" customHeight="1" s="405">
      <c r="B509" s="117" t="n"/>
    </row>
    <row r="510" ht="13.2" customHeight="1" s="405">
      <c r="B510" s="117" t="n"/>
    </row>
    <row r="511" ht="13.2" customHeight="1" s="405">
      <c r="B511" s="117" t="n"/>
    </row>
    <row r="512" ht="13.2" customHeight="1" s="405">
      <c r="B512" s="117" t="n"/>
    </row>
    <row r="513" ht="13.2" customHeight="1" s="405">
      <c r="B513" s="117" t="n"/>
    </row>
    <row r="514" ht="13.2" customHeight="1" s="405">
      <c r="B514" s="117" t="n"/>
    </row>
    <row r="515" ht="13.2" customHeight="1" s="405">
      <c r="B515" s="117" t="n"/>
    </row>
    <row r="516" ht="13.2" customHeight="1" s="405">
      <c r="B516" s="117" t="n"/>
    </row>
    <row r="517" ht="13.2" customHeight="1" s="405">
      <c r="B517" s="117" t="n"/>
    </row>
    <row r="518" ht="13.2" customHeight="1" s="405">
      <c r="B518" s="117" t="n"/>
    </row>
    <row r="519" ht="13.2" customHeight="1" s="405">
      <c r="B519" s="117" t="n"/>
    </row>
    <row r="520" ht="13.2" customHeight="1" s="405">
      <c r="B520" s="117" t="n"/>
    </row>
    <row r="521" ht="13.2" customHeight="1" s="405">
      <c r="B521" s="117" t="n"/>
    </row>
    <row r="522" ht="13.2" customHeight="1" s="405">
      <c r="B522" s="117" t="n"/>
    </row>
    <row r="523" ht="13.2" customHeight="1" s="405">
      <c r="B523" s="117" t="n"/>
    </row>
    <row r="524" ht="13.2" customHeight="1" s="405">
      <c r="B524" s="117" t="n"/>
    </row>
    <row r="525" ht="13.2" customHeight="1" s="405">
      <c r="B525" s="117" t="n"/>
    </row>
    <row r="526" ht="13.2" customHeight="1" s="405">
      <c r="B526" s="117" t="n"/>
    </row>
    <row r="527" ht="13.2" customHeight="1" s="405">
      <c r="B527" s="117" t="n"/>
    </row>
    <row r="528" ht="13.2" customHeight="1" s="405">
      <c r="B528" s="117" t="n"/>
    </row>
    <row r="529" ht="13.2" customHeight="1" s="405">
      <c r="B529" s="117" t="n"/>
    </row>
    <row r="530" ht="13.2" customHeight="1" s="405">
      <c r="B530" s="117" t="n"/>
    </row>
    <row r="531" ht="13.2" customHeight="1" s="405">
      <c r="B531" s="117" t="n"/>
    </row>
    <row r="532" ht="13.2" customHeight="1" s="405">
      <c r="B532" s="117" t="n"/>
    </row>
    <row r="533" ht="13.2" customHeight="1" s="405">
      <c r="B533" s="117" t="n"/>
    </row>
    <row r="534" ht="13.2" customHeight="1" s="405">
      <c r="B534" s="117" t="n"/>
    </row>
    <row r="535" ht="13.2" customHeight="1" s="405">
      <c r="B535" s="117" t="n"/>
    </row>
    <row r="536" ht="13.2" customHeight="1" s="405">
      <c r="B536" s="117" t="n"/>
    </row>
    <row r="537" ht="13.2" customHeight="1" s="405">
      <c r="B537" s="117" t="n"/>
    </row>
    <row r="538" ht="13.2" customHeight="1" s="405">
      <c r="B538" s="117" t="n"/>
    </row>
    <row r="539" ht="13.2" customHeight="1" s="405">
      <c r="B539" s="117" t="n"/>
    </row>
    <row r="540" ht="13.2" customHeight="1" s="405">
      <c r="B540" s="117" t="n"/>
    </row>
    <row r="541" ht="13.2" customHeight="1" s="405">
      <c r="B541" s="117" t="n"/>
    </row>
    <row r="542" ht="13.2" customHeight="1" s="405">
      <c r="B542" s="117" t="n"/>
    </row>
    <row r="543" ht="13.2" customHeight="1" s="405">
      <c r="B543" s="117" t="n"/>
    </row>
    <row r="544" ht="13.2" customHeight="1" s="405">
      <c r="B544" s="117" t="n"/>
    </row>
    <row r="545" ht="13.2" customHeight="1" s="405">
      <c r="B545" s="117" t="n"/>
    </row>
    <row r="546" ht="13.2" customHeight="1" s="405">
      <c r="B546" s="117" t="n"/>
    </row>
    <row r="547" ht="13.2" customHeight="1" s="405">
      <c r="B547" s="117" t="n"/>
    </row>
    <row r="548" ht="13.2" customHeight="1" s="405">
      <c r="B548" s="117" t="n"/>
    </row>
    <row r="549" ht="13.2" customHeight="1" s="405">
      <c r="B549" s="117" t="n"/>
    </row>
    <row r="550" ht="13.2" customHeight="1" s="405">
      <c r="B550" s="117" t="n"/>
    </row>
    <row r="551" ht="13.2" customHeight="1" s="405">
      <c r="B551" s="117" t="n"/>
    </row>
    <row r="552" ht="13.2" customHeight="1" s="405">
      <c r="B552" s="117" t="n"/>
    </row>
    <row r="553" ht="13.2" customHeight="1" s="405">
      <c r="B553" s="117" t="n"/>
    </row>
    <row r="554" ht="13.2" customHeight="1" s="405">
      <c r="B554" s="117" t="n"/>
    </row>
    <row r="555" ht="13.2" customHeight="1" s="405">
      <c r="B555" s="117" t="n"/>
    </row>
    <row r="556" ht="13.2" customHeight="1" s="405">
      <c r="B556" s="117" t="n"/>
    </row>
    <row r="557" ht="13.2" customHeight="1" s="405">
      <c r="B557" s="117" t="n"/>
    </row>
    <row r="558" ht="13.2" customHeight="1" s="405">
      <c r="B558" s="117" t="n"/>
    </row>
    <row r="559" ht="13.2" customHeight="1" s="405">
      <c r="B559" s="117" t="n"/>
    </row>
    <row r="560" ht="13.2" customHeight="1" s="405">
      <c r="B560" s="117" t="n"/>
    </row>
    <row r="561" ht="13.2" customHeight="1" s="405">
      <c r="B561" s="117" t="n"/>
    </row>
    <row r="562" ht="13.2" customHeight="1" s="405">
      <c r="B562" s="117" t="n"/>
    </row>
    <row r="563" ht="13.2" customHeight="1" s="405">
      <c r="B563" s="117" t="n"/>
    </row>
    <row r="564" ht="13.2" customHeight="1" s="405">
      <c r="B564" s="117" t="n"/>
    </row>
    <row r="565" ht="13.2" customHeight="1" s="405">
      <c r="B565" s="117" t="n"/>
    </row>
    <row r="566" ht="13.2" customHeight="1" s="405">
      <c r="B566" s="117" t="n"/>
    </row>
    <row r="567" ht="13.2" customHeight="1" s="405">
      <c r="B567" s="117" t="n"/>
    </row>
    <row r="568" ht="13.2" customHeight="1" s="405">
      <c r="B568" s="117" t="n"/>
    </row>
    <row r="569" ht="13.2" customHeight="1" s="405">
      <c r="B569" s="117" t="n"/>
    </row>
    <row r="570" ht="13.2" customHeight="1" s="405">
      <c r="B570" s="117" t="n"/>
    </row>
    <row r="571" ht="13.2" customHeight="1" s="405">
      <c r="B571" s="117" t="n"/>
    </row>
    <row r="572" ht="13.2" customHeight="1" s="405">
      <c r="B572" s="117" t="n"/>
    </row>
    <row r="573" ht="13.2" customHeight="1" s="405">
      <c r="B573" s="117" t="n"/>
    </row>
    <row r="574" ht="13.2" customHeight="1" s="405">
      <c r="B574" s="117" t="n"/>
    </row>
    <row r="575" ht="13.2" customHeight="1" s="405">
      <c r="B575" s="117" t="n"/>
    </row>
    <row r="576" ht="13.2" customHeight="1" s="405">
      <c r="B576" s="117" t="n"/>
    </row>
    <row r="577" ht="13.2" customHeight="1" s="405">
      <c r="B577" s="117" t="n"/>
    </row>
    <row r="578" ht="13.2" customHeight="1" s="405">
      <c r="B578" s="117" t="n"/>
    </row>
    <row r="579" ht="13.2" customHeight="1" s="405">
      <c r="B579" s="117" t="n"/>
    </row>
    <row r="580" ht="13.2" customHeight="1" s="405">
      <c r="B580" s="117" t="n"/>
    </row>
    <row r="581" ht="13.2" customHeight="1" s="405">
      <c r="B581" s="117" t="n"/>
    </row>
    <row r="582" ht="13.2" customHeight="1" s="405">
      <c r="B582" s="117" t="n"/>
    </row>
    <row r="583" ht="13.2" customHeight="1" s="405">
      <c r="B583" s="117" t="n"/>
    </row>
    <row r="584" ht="13.2" customHeight="1" s="405">
      <c r="B584" s="117" t="n"/>
    </row>
    <row r="585" ht="13.2" customHeight="1" s="405">
      <c r="B585" s="117" t="n"/>
    </row>
    <row r="586" ht="13.2" customHeight="1" s="405">
      <c r="B586" s="117" t="n"/>
    </row>
    <row r="587" ht="13.2" customHeight="1" s="405">
      <c r="B587" s="117" t="n"/>
    </row>
    <row r="588" ht="13.2" customHeight="1" s="405">
      <c r="B588" s="117" t="n"/>
    </row>
    <row r="589" ht="13.2" customHeight="1" s="405">
      <c r="B589" s="117" t="n"/>
    </row>
    <row r="590" ht="13.2" customHeight="1" s="405">
      <c r="B590" s="117" t="n"/>
    </row>
    <row r="591" ht="13.2" customHeight="1" s="405">
      <c r="B591" s="117" t="n"/>
    </row>
    <row r="592" ht="13.2" customHeight="1" s="405">
      <c r="B592" s="117" t="n"/>
    </row>
    <row r="593" ht="13.2" customHeight="1" s="405">
      <c r="B593" s="117" t="n"/>
    </row>
    <row r="594" ht="13.2" customHeight="1" s="405">
      <c r="B594" s="117" t="n"/>
    </row>
    <row r="595" ht="13.2" customHeight="1" s="405">
      <c r="B595" s="117" t="n"/>
    </row>
    <row r="596" ht="13.2" customHeight="1" s="405">
      <c r="B596" s="117" t="n"/>
    </row>
    <row r="597" ht="13.2" customHeight="1" s="405">
      <c r="B597" s="117" t="n"/>
    </row>
    <row r="598" ht="13.2" customHeight="1" s="405">
      <c r="B598" s="117" t="n"/>
    </row>
    <row r="599" ht="13.2" customHeight="1" s="405">
      <c r="B599" s="117" t="n"/>
    </row>
    <row r="600" ht="13.2" customHeight="1" s="405">
      <c r="B600" s="117" t="n"/>
    </row>
    <row r="601" ht="13.2" customHeight="1" s="405">
      <c r="B601" s="117" t="n"/>
    </row>
    <row r="602" ht="13.2" customHeight="1" s="405">
      <c r="B602" s="117" t="n"/>
    </row>
    <row r="603" ht="13.2" customHeight="1" s="405">
      <c r="B603" s="117" t="n"/>
    </row>
    <row r="604" ht="13.2" customHeight="1" s="405">
      <c r="B604" s="117" t="n"/>
    </row>
    <row r="605" ht="13.2" customHeight="1" s="405">
      <c r="B605" s="117" t="n"/>
    </row>
    <row r="606" ht="13.2" customHeight="1" s="405">
      <c r="B606" s="117" t="n"/>
    </row>
    <row r="607" ht="13.2" customHeight="1" s="405">
      <c r="B607" s="117" t="n"/>
    </row>
    <row r="608" ht="13.2" customHeight="1" s="405">
      <c r="B608" s="117" t="n"/>
    </row>
    <row r="609" ht="13.2" customHeight="1" s="405">
      <c r="B609" s="117" t="n"/>
    </row>
    <row r="610" ht="13.2" customHeight="1" s="405">
      <c r="B610" s="117" t="n"/>
    </row>
    <row r="611" ht="13.2" customHeight="1" s="405">
      <c r="B611" s="117" t="n"/>
    </row>
    <row r="612" ht="13.2" customHeight="1" s="405">
      <c r="B612" s="117" t="n"/>
    </row>
    <row r="613" ht="13.2" customHeight="1" s="405">
      <c r="B613" s="117" t="n"/>
    </row>
    <row r="614" ht="13.2" customHeight="1" s="405">
      <c r="B614" s="117" t="n"/>
    </row>
    <row r="615" ht="13.2" customHeight="1" s="405">
      <c r="B615" s="117" t="n"/>
    </row>
    <row r="616" ht="13.2" customHeight="1" s="405">
      <c r="B616" s="117" t="n"/>
    </row>
    <row r="617" ht="13.2" customHeight="1" s="405">
      <c r="B617" s="117" t="n"/>
    </row>
    <row r="618" ht="13.2" customHeight="1" s="405">
      <c r="B618" s="117" t="n"/>
    </row>
    <row r="619" ht="13.2" customHeight="1" s="405">
      <c r="B619" s="117" t="n"/>
    </row>
    <row r="620" ht="13.2" customHeight="1" s="405">
      <c r="B620" s="117" t="n"/>
    </row>
    <row r="621" ht="13.2" customHeight="1" s="405">
      <c r="B621" s="117" t="n"/>
    </row>
    <row r="622" ht="13.2" customHeight="1" s="405">
      <c r="B622" s="117" t="n"/>
    </row>
    <row r="623" ht="13.2" customHeight="1" s="405">
      <c r="B623" s="117" t="n"/>
    </row>
    <row r="624" ht="13.2" customHeight="1" s="405">
      <c r="B624" s="117" t="n"/>
    </row>
    <row r="625" ht="13.2" customHeight="1" s="405">
      <c r="B625" s="117" t="n"/>
    </row>
    <row r="626" ht="13.2" customHeight="1" s="405">
      <c r="B626" s="117" t="n"/>
    </row>
    <row r="627" ht="13.2" customHeight="1" s="405">
      <c r="B627" s="117" t="n"/>
    </row>
    <row r="628" ht="13.2" customHeight="1" s="405">
      <c r="B628" s="117" t="n"/>
    </row>
    <row r="629" ht="13.2" customHeight="1" s="405">
      <c r="B629" s="117" t="n"/>
    </row>
    <row r="630" ht="13.2" customHeight="1" s="405">
      <c r="B630" s="117" t="n"/>
    </row>
    <row r="631" ht="13.2" customHeight="1" s="405">
      <c r="B631" s="117" t="n"/>
    </row>
    <row r="632" ht="13.2" customHeight="1" s="405">
      <c r="B632" s="117" t="n"/>
    </row>
    <row r="633" ht="13.2" customHeight="1" s="405">
      <c r="B633" s="117" t="n"/>
    </row>
    <row r="634" ht="13.2" customHeight="1" s="405">
      <c r="B634" s="117" t="n"/>
    </row>
    <row r="635" ht="13.2" customHeight="1" s="405">
      <c r="B635" s="117" t="n"/>
    </row>
    <row r="636" ht="13.2" customHeight="1" s="405">
      <c r="B636" s="117" t="n"/>
    </row>
    <row r="637" ht="13.2" customHeight="1" s="405">
      <c r="B637" s="117" t="n"/>
    </row>
    <row r="638" ht="13.2" customHeight="1" s="405">
      <c r="B638" s="117" t="n"/>
    </row>
    <row r="639" ht="13.2" customHeight="1" s="405">
      <c r="B639" s="117" t="n"/>
    </row>
    <row r="640" ht="13.2" customHeight="1" s="405">
      <c r="B640" s="117" t="n"/>
    </row>
    <row r="641" ht="13.2" customHeight="1" s="405">
      <c r="B641" s="117" t="n"/>
    </row>
    <row r="642" ht="13.2" customHeight="1" s="405">
      <c r="B642" s="117" t="n"/>
    </row>
    <row r="643" ht="13.2" customHeight="1" s="405">
      <c r="B643" s="117" t="n"/>
    </row>
    <row r="644" ht="13.2" customHeight="1" s="405">
      <c r="B644" s="117" t="n"/>
    </row>
    <row r="645" ht="13.2" customHeight="1" s="405">
      <c r="B645" s="117" t="n"/>
    </row>
    <row r="646" ht="13.2" customHeight="1" s="405">
      <c r="B646" s="117" t="n"/>
    </row>
    <row r="647" ht="13.2" customHeight="1" s="405">
      <c r="B647" s="117" t="n"/>
    </row>
    <row r="648" ht="13.2" customHeight="1" s="405">
      <c r="B648" s="117" t="n"/>
    </row>
    <row r="649" ht="13.2" customHeight="1" s="405">
      <c r="B649" s="117" t="n"/>
    </row>
    <row r="650" ht="13.2" customHeight="1" s="405">
      <c r="B650" s="117" t="n"/>
    </row>
    <row r="651" ht="13.2" customHeight="1" s="405">
      <c r="B651" s="117" t="n"/>
    </row>
    <row r="652" ht="13.2" customHeight="1" s="405">
      <c r="B652" s="117" t="n"/>
    </row>
    <row r="653" ht="13.2" customHeight="1" s="405">
      <c r="B653" s="117" t="n"/>
    </row>
    <row r="654" ht="13.2" customHeight="1" s="405">
      <c r="B654" s="117" t="n"/>
    </row>
    <row r="655" ht="13.2" customHeight="1" s="405">
      <c r="B655" s="117" t="n"/>
    </row>
    <row r="656" ht="13.2" customHeight="1" s="405">
      <c r="B656" s="117" t="n"/>
    </row>
    <row r="657" ht="13.2" customHeight="1" s="405">
      <c r="B657" s="117" t="n"/>
    </row>
    <row r="658" ht="13.2" customHeight="1" s="405">
      <c r="B658" s="117" t="n"/>
    </row>
    <row r="659" ht="13.2" customHeight="1" s="405">
      <c r="B659" s="117" t="n"/>
    </row>
    <row r="660" ht="13.2" customHeight="1" s="405">
      <c r="B660" s="117" t="n"/>
    </row>
    <row r="661" ht="13.2" customHeight="1" s="405">
      <c r="B661" s="117" t="n"/>
    </row>
    <row r="662" ht="13.2" customHeight="1" s="405">
      <c r="B662" s="117" t="n"/>
    </row>
    <row r="663" ht="13.2" customHeight="1" s="405">
      <c r="B663" s="117" t="n"/>
    </row>
    <row r="664" ht="13.2" customHeight="1" s="405">
      <c r="B664" s="117" t="n"/>
    </row>
    <row r="665" ht="13.2" customHeight="1" s="405">
      <c r="B665" s="117" t="n"/>
    </row>
    <row r="666" ht="13.2" customHeight="1" s="405">
      <c r="B666" s="117" t="n"/>
    </row>
    <row r="667" ht="13.2" customHeight="1" s="405">
      <c r="B667" s="117" t="n"/>
    </row>
    <row r="668" ht="13.2" customHeight="1" s="405">
      <c r="B668" s="117" t="n"/>
    </row>
    <row r="669" ht="13.2" customHeight="1" s="405">
      <c r="B669" s="117" t="n"/>
    </row>
    <row r="670" ht="13.2" customHeight="1" s="405">
      <c r="B670" s="117" t="n"/>
    </row>
    <row r="671" ht="13.2" customHeight="1" s="405">
      <c r="B671" s="117" t="n"/>
    </row>
    <row r="672" ht="13.2" customHeight="1" s="405">
      <c r="B672" s="117" t="n"/>
    </row>
    <row r="673" ht="13.2" customHeight="1" s="405">
      <c r="B673" s="117" t="n"/>
    </row>
    <row r="674" ht="13.2" customHeight="1" s="405">
      <c r="B674" s="117" t="n"/>
    </row>
    <row r="675" ht="13.2" customHeight="1" s="405">
      <c r="B675" s="117" t="n"/>
    </row>
    <row r="676" ht="13.2" customHeight="1" s="405">
      <c r="B676" s="117" t="n"/>
    </row>
    <row r="677" ht="13.2" customHeight="1" s="405">
      <c r="B677" s="117" t="n"/>
    </row>
    <row r="678" ht="13.2" customHeight="1" s="405">
      <c r="B678" s="117" t="n"/>
    </row>
    <row r="679" ht="13.2" customHeight="1" s="405">
      <c r="B679" s="117" t="n"/>
    </row>
    <row r="680" ht="13.2" customHeight="1" s="405">
      <c r="B680" s="117" t="n"/>
    </row>
    <row r="681" ht="13.2" customHeight="1" s="405">
      <c r="B681" s="117" t="n"/>
    </row>
    <row r="682" ht="13.2" customHeight="1" s="405">
      <c r="B682" s="117" t="n"/>
    </row>
    <row r="683" ht="13.2" customHeight="1" s="405">
      <c r="B683" s="117" t="n"/>
    </row>
    <row r="684" ht="13.2" customHeight="1" s="405">
      <c r="B684" s="117" t="n"/>
    </row>
    <row r="685" ht="13.2" customHeight="1" s="405">
      <c r="B685" s="117" t="n"/>
    </row>
    <row r="686" ht="13.2" customHeight="1" s="405">
      <c r="B686" s="117" t="n"/>
    </row>
    <row r="687" ht="13.2" customHeight="1" s="405">
      <c r="B687" s="117" t="n"/>
    </row>
    <row r="688" ht="13.2" customHeight="1" s="405">
      <c r="B688" s="117" t="n"/>
    </row>
    <row r="689" ht="13.2" customHeight="1" s="405">
      <c r="B689" s="117" t="n"/>
    </row>
    <row r="690" ht="13.2" customHeight="1" s="405">
      <c r="B690" s="117" t="n"/>
    </row>
    <row r="691" ht="13.2" customHeight="1" s="405">
      <c r="B691" s="117" t="n"/>
    </row>
    <row r="692" ht="13.2" customHeight="1" s="405">
      <c r="B692" s="117" t="n"/>
    </row>
    <row r="693" ht="13.2" customHeight="1" s="405">
      <c r="B693" s="117" t="n"/>
    </row>
    <row r="694" ht="13.2" customHeight="1" s="405">
      <c r="B694" s="117" t="n"/>
    </row>
    <row r="695" ht="13.2" customHeight="1" s="405">
      <c r="B695" s="117" t="n"/>
    </row>
    <row r="696" ht="13.2" customHeight="1" s="405">
      <c r="B696" s="117" t="n"/>
    </row>
    <row r="697" ht="13.2" customHeight="1" s="405">
      <c r="B697" s="117" t="n"/>
    </row>
    <row r="698" ht="13.2" customHeight="1" s="405">
      <c r="B698" s="117" t="n"/>
    </row>
    <row r="699" ht="13.2" customHeight="1" s="405">
      <c r="B699" s="117" t="n"/>
    </row>
    <row r="700" ht="13.2" customHeight="1" s="405">
      <c r="B700" s="117" t="n"/>
    </row>
    <row r="701" ht="13.2" customHeight="1" s="405">
      <c r="B701" s="117" t="n"/>
    </row>
    <row r="702" ht="13.2" customHeight="1" s="405">
      <c r="B702" s="117" t="n"/>
    </row>
    <row r="703" ht="13.2" customHeight="1" s="405">
      <c r="B703" s="117" t="n"/>
    </row>
    <row r="704" ht="13.2" customHeight="1" s="405">
      <c r="B704" s="117" t="n"/>
    </row>
    <row r="705" ht="13.2" customHeight="1" s="405">
      <c r="B705" s="117" t="n"/>
    </row>
    <row r="706" ht="13.2" customHeight="1" s="405">
      <c r="B706" s="117" t="n"/>
    </row>
    <row r="707" ht="13.2" customHeight="1" s="405">
      <c r="B707" s="117" t="n"/>
    </row>
    <row r="708" ht="13.2" customHeight="1" s="405">
      <c r="B708" s="117" t="n"/>
    </row>
    <row r="709" ht="13.2" customHeight="1" s="405">
      <c r="B709" s="117" t="n"/>
    </row>
    <row r="710" ht="13.2" customHeight="1" s="405">
      <c r="B710" s="117" t="n"/>
    </row>
    <row r="711" ht="13.2" customHeight="1" s="405">
      <c r="B711" s="117" t="n"/>
    </row>
    <row r="712" ht="13.2" customHeight="1" s="405">
      <c r="B712" s="117" t="n"/>
    </row>
    <row r="713" ht="13.2" customHeight="1" s="405">
      <c r="B713" s="117" t="n"/>
    </row>
    <row r="714" ht="13.2" customHeight="1" s="405">
      <c r="B714" s="117" t="n"/>
    </row>
    <row r="715" ht="13.2" customHeight="1" s="405">
      <c r="B715" s="117" t="n"/>
    </row>
    <row r="716" ht="13.2" customHeight="1" s="405">
      <c r="B716" s="117" t="n"/>
    </row>
    <row r="717" ht="13.2" customHeight="1" s="405">
      <c r="B717" s="117" t="n"/>
    </row>
    <row r="718" ht="13.2" customHeight="1" s="405">
      <c r="B718" s="117" t="n"/>
    </row>
    <row r="719" ht="13.2" customHeight="1" s="405">
      <c r="B719" s="117" t="n"/>
    </row>
    <row r="720" ht="13.2" customHeight="1" s="405">
      <c r="B720" s="117" t="n"/>
    </row>
    <row r="721" ht="13.2" customHeight="1" s="405">
      <c r="B721" s="117" t="n"/>
    </row>
    <row r="722" ht="13.2" customHeight="1" s="405">
      <c r="B722" s="117" t="n"/>
    </row>
    <row r="723" ht="13.2" customHeight="1" s="405">
      <c r="B723" s="117" t="n"/>
    </row>
    <row r="724" ht="13.2" customHeight="1" s="405">
      <c r="B724" s="117" t="n"/>
    </row>
    <row r="725" ht="13.2" customHeight="1" s="405">
      <c r="B725" s="117" t="n"/>
    </row>
    <row r="726" ht="13.2" customHeight="1" s="405">
      <c r="B726" s="117" t="n"/>
    </row>
    <row r="727" ht="13.2" customHeight="1" s="405">
      <c r="B727" s="117" t="n"/>
    </row>
    <row r="728" ht="13.2" customHeight="1" s="405">
      <c r="B728" s="117" t="n"/>
    </row>
    <row r="729" ht="13.2" customHeight="1" s="405">
      <c r="B729" s="117" t="n"/>
    </row>
    <row r="730" ht="13.2" customHeight="1" s="405">
      <c r="B730" s="117" t="n"/>
    </row>
    <row r="731" ht="13.2" customHeight="1" s="405">
      <c r="B731" s="117" t="n"/>
    </row>
    <row r="732" ht="13.2" customHeight="1" s="405">
      <c r="B732" s="117" t="n"/>
    </row>
    <row r="733" ht="13.2" customHeight="1" s="405">
      <c r="B733" s="117" t="n"/>
    </row>
    <row r="734" ht="13.2" customHeight="1" s="405">
      <c r="B734" s="117" t="n"/>
    </row>
    <row r="735" ht="13.2" customHeight="1" s="405">
      <c r="B735" s="117" t="n"/>
    </row>
    <row r="736" ht="13.2" customHeight="1" s="405">
      <c r="B736" s="117" t="n"/>
    </row>
    <row r="737" ht="13.2" customHeight="1" s="405">
      <c r="B737" s="117" t="n"/>
    </row>
    <row r="738" ht="13.2" customHeight="1" s="405">
      <c r="B738" s="117" t="n"/>
    </row>
    <row r="739" ht="13.2" customHeight="1" s="405">
      <c r="B739" s="117" t="n"/>
    </row>
    <row r="740" ht="13.2" customHeight="1" s="405">
      <c r="B740" s="117" t="n"/>
    </row>
    <row r="741" ht="13.2" customHeight="1" s="405">
      <c r="B741" s="117" t="n"/>
    </row>
    <row r="742" ht="13.2" customHeight="1" s="405">
      <c r="B742" s="117" t="n"/>
    </row>
    <row r="743" ht="13.2" customHeight="1" s="405">
      <c r="B743" s="117" t="n"/>
    </row>
    <row r="744" ht="13.2" customHeight="1" s="405">
      <c r="B744" s="117" t="n"/>
    </row>
    <row r="745" ht="13.2" customHeight="1" s="405">
      <c r="B745" s="117" t="n"/>
    </row>
    <row r="746" ht="13.2" customHeight="1" s="405">
      <c r="B746" s="117" t="n"/>
    </row>
    <row r="747" ht="13.2" customHeight="1" s="405">
      <c r="B747" s="117" t="n"/>
    </row>
    <row r="748" ht="13.2" customHeight="1" s="405">
      <c r="B748" s="117" t="n"/>
    </row>
    <row r="749" ht="13.2" customHeight="1" s="405">
      <c r="B749" s="117" t="n"/>
    </row>
    <row r="750" ht="13.2" customHeight="1" s="405">
      <c r="B750" s="117" t="n"/>
    </row>
    <row r="751" ht="13.2" customHeight="1" s="405">
      <c r="B751" s="117" t="n"/>
    </row>
    <row r="752" ht="13.2" customHeight="1" s="405">
      <c r="B752" s="117" t="n"/>
    </row>
    <row r="753" ht="13.2" customHeight="1" s="405">
      <c r="B753" s="117" t="n"/>
    </row>
    <row r="754" ht="13.2" customHeight="1" s="405">
      <c r="B754" s="117" t="n"/>
    </row>
    <row r="755" ht="13.2" customHeight="1" s="405">
      <c r="B755" s="117" t="n"/>
    </row>
    <row r="756" ht="13.2" customHeight="1" s="405">
      <c r="B756" s="117" t="n"/>
    </row>
    <row r="757" ht="13.2" customHeight="1" s="405">
      <c r="B757" s="117" t="n"/>
    </row>
    <row r="758" ht="13.2" customHeight="1" s="405">
      <c r="B758" s="117" t="n"/>
    </row>
    <row r="759" ht="13.2" customHeight="1" s="405">
      <c r="B759" s="117" t="n"/>
    </row>
    <row r="760" ht="13.2" customHeight="1" s="405">
      <c r="B760" s="117" t="n"/>
    </row>
    <row r="761" ht="13.2" customHeight="1" s="405">
      <c r="B761" s="117" t="n"/>
    </row>
    <row r="762" ht="13.2" customHeight="1" s="405">
      <c r="B762" s="117" t="n"/>
    </row>
    <row r="763" ht="13.2" customHeight="1" s="405">
      <c r="B763" s="117" t="n"/>
    </row>
    <row r="764" ht="13.2" customHeight="1" s="405">
      <c r="B764" s="117" t="n"/>
    </row>
    <row r="765" ht="13.2" customHeight="1" s="405">
      <c r="B765" s="117" t="n"/>
    </row>
    <row r="766" ht="13.2" customHeight="1" s="405">
      <c r="B766" s="117" t="n"/>
    </row>
    <row r="767" ht="13.2" customHeight="1" s="405">
      <c r="B767" s="117" t="n"/>
    </row>
    <row r="768" ht="13.2" customHeight="1" s="405">
      <c r="B768" s="117" t="n"/>
    </row>
    <row r="769" ht="13.2" customHeight="1" s="405">
      <c r="B769" s="117" t="n"/>
    </row>
    <row r="770" ht="13.2" customHeight="1" s="405">
      <c r="B770" s="117" t="n"/>
    </row>
    <row r="771" ht="13.2" customHeight="1" s="405">
      <c r="B771" s="117" t="n"/>
    </row>
    <row r="772" ht="13.2" customHeight="1" s="405">
      <c r="B772" s="117" t="n"/>
    </row>
    <row r="773" ht="13.2" customHeight="1" s="405">
      <c r="B773" s="117" t="n"/>
    </row>
    <row r="774" ht="13.2" customHeight="1" s="405">
      <c r="B774" s="117" t="n"/>
    </row>
    <row r="775" ht="13.2" customHeight="1" s="405">
      <c r="B775" s="117" t="n"/>
    </row>
    <row r="776" ht="13.2" customHeight="1" s="405">
      <c r="B776" s="117" t="n"/>
    </row>
    <row r="777" ht="13.2" customHeight="1" s="405">
      <c r="B777" s="117" t="n"/>
    </row>
    <row r="778" ht="13.2" customHeight="1" s="405">
      <c r="B778" s="117" t="n"/>
    </row>
    <row r="779" ht="13.2" customHeight="1" s="405">
      <c r="B779" s="117" t="n"/>
    </row>
    <row r="780" ht="13.2" customHeight="1" s="405">
      <c r="B780" s="117" t="n"/>
    </row>
    <row r="781" ht="13.2" customHeight="1" s="405">
      <c r="B781" s="117" t="n"/>
    </row>
    <row r="782" ht="13.2" customHeight="1" s="405">
      <c r="B782" s="117" t="n"/>
    </row>
    <row r="783" ht="13.2" customHeight="1" s="405">
      <c r="B783" s="117" t="n"/>
    </row>
    <row r="784" ht="13.2" customHeight="1" s="405">
      <c r="B784" s="117" t="n"/>
    </row>
    <row r="785" ht="13.2" customHeight="1" s="405">
      <c r="B785" s="117" t="n"/>
    </row>
    <row r="786" ht="13.2" customHeight="1" s="405">
      <c r="B786" s="117" t="n"/>
    </row>
    <row r="787" ht="13.2" customHeight="1" s="405">
      <c r="B787" s="117" t="n"/>
    </row>
    <row r="788" ht="13.2" customHeight="1" s="405">
      <c r="B788" s="117" t="n"/>
    </row>
    <row r="789" ht="13.2" customHeight="1" s="405">
      <c r="B789" s="117" t="n"/>
    </row>
    <row r="790" ht="13.2" customHeight="1" s="405">
      <c r="B790" s="117" t="n"/>
    </row>
    <row r="791" ht="13.2" customHeight="1" s="405">
      <c r="B791" s="117" t="n"/>
    </row>
    <row r="792" ht="13.2" customHeight="1" s="405">
      <c r="B792" s="117" t="n"/>
    </row>
    <row r="793" ht="13.2" customHeight="1" s="405">
      <c r="B793" s="117" t="n"/>
    </row>
    <row r="794" ht="13.2" customHeight="1" s="405">
      <c r="B794" s="117" t="n"/>
    </row>
    <row r="795" ht="13.2" customHeight="1" s="405">
      <c r="B795" s="117" t="n"/>
    </row>
    <row r="796" ht="13.2" customHeight="1" s="405">
      <c r="B796" s="117" t="n"/>
    </row>
    <row r="797" ht="13.2" customHeight="1" s="405">
      <c r="B797" s="117" t="n"/>
    </row>
    <row r="798" ht="13.2" customHeight="1" s="405">
      <c r="B798" s="117" t="n"/>
    </row>
    <row r="799" ht="13.2" customHeight="1" s="405">
      <c r="B799" s="117" t="n"/>
    </row>
    <row r="800" ht="13.2" customHeight="1" s="405">
      <c r="B800" s="117" t="n"/>
    </row>
    <row r="801" ht="13.2" customHeight="1" s="405">
      <c r="B801" s="117" t="n"/>
    </row>
    <row r="802" ht="13.2" customHeight="1" s="405">
      <c r="B802" s="117" t="n"/>
    </row>
    <row r="803" ht="13.2" customHeight="1" s="405">
      <c r="B803" s="117" t="n"/>
    </row>
    <row r="804" ht="13.2" customHeight="1" s="405">
      <c r="B804" s="117" t="n"/>
    </row>
    <row r="805" ht="13.2" customHeight="1" s="405">
      <c r="B805" s="117" t="n"/>
    </row>
    <row r="806" ht="13.2" customHeight="1" s="405">
      <c r="B806" s="117" t="n"/>
    </row>
    <row r="807" ht="13.2" customHeight="1" s="405">
      <c r="B807" s="117" t="n"/>
    </row>
    <row r="808" ht="13.2" customHeight="1" s="405">
      <c r="B808" s="117" t="n"/>
    </row>
    <row r="809" ht="13.2" customHeight="1" s="405">
      <c r="B809" s="117" t="n"/>
    </row>
    <row r="810" ht="13.2" customHeight="1" s="405">
      <c r="B810" s="117" t="n"/>
    </row>
    <row r="811" ht="13.2" customHeight="1" s="405">
      <c r="B811" s="117" t="n"/>
    </row>
    <row r="812" ht="13.2" customHeight="1" s="405">
      <c r="B812" s="117" t="n"/>
    </row>
    <row r="813" ht="13.2" customHeight="1" s="405">
      <c r="B813" s="117" t="n"/>
    </row>
    <row r="814" ht="13.2" customHeight="1" s="405">
      <c r="B814" s="117" t="n"/>
    </row>
    <row r="815" ht="13.2" customHeight="1" s="405">
      <c r="B815" s="117" t="n"/>
    </row>
    <row r="816" ht="13.2" customHeight="1" s="405">
      <c r="B816" s="117" t="n"/>
    </row>
    <row r="817" ht="13.2" customHeight="1" s="405">
      <c r="B817" s="117" t="n"/>
    </row>
    <row r="818" ht="13.2" customHeight="1" s="405">
      <c r="B818" s="117" t="n"/>
    </row>
    <row r="819" ht="13.2" customHeight="1" s="405">
      <c r="B819" s="117" t="n"/>
    </row>
    <row r="820" ht="13.2" customHeight="1" s="405">
      <c r="B820" s="117" t="n"/>
    </row>
    <row r="821" ht="13.2" customHeight="1" s="405">
      <c r="B821" s="117" t="n"/>
    </row>
    <row r="822" ht="13.2" customHeight="1" s="405">
      <c r="B822" s="117" t="n"/>
    </row>
    <row r="823" ht="13.2" customHeight="1" s="405">
      <c r="B823" s="117" t="n"/>
    </row>
    <row r="824" ht="13.2" customHeight="1" s="405">
      <c r="B824" s="117" t="n"/>
    </row>
    <row r="825" ht="13.2" customHeight="1" s="405">
      <c r="B825" s="117" t="n"/>
    </row>
    <row r="826" ht="13.2" customHeight="1" s="405">
      <c r="B826" s="117" t="n"/>
    </row>
    <row r="827" ht="13.2" customHeight="1" s="405">
      <c r="B827" s="117" t="n"/>
    </row>
    <row r="828" ht="13.2" customHeight="1" s="405">
      <c r="B828" s="117" t="n"/>
    </row>
    <row r="829" ht="13.2" customHeight="1" s="405">
      <c r="B829" s="117" t="n"/>
    </row>
    <row r="830" ht="13.2" customHeight="1" s="405">
      <c r="B830" s="117" t="n"/>
    </row>
    <row r="831" ht="13.2" customHeight="1" s="405">
      <c r="B831" s="117" t="n"/>
    </row>
    <row r="832" ht="13.2" customHeight="1" s="405">
      <c r="B832" s="117" t="n"/>
    </row>
    <row r="833" ht="13.2" customHeight="1" s="405">
      <c r="B833" s="117" t="n"/>
    </row>
    <row r="834" ht="13.2" customHeight="1" s="405">
      <c r="B834" s="117" t="n"/>
    </row>
    <row r="835" ht="13.2" customHeight="1" s="405">
      <c r="B835" s="117" t="n"/>
    </row>
    <row r="836" ht="13.2" customHeight="1" s="405">
      <c r="B836" s="117" t="n"/>
    </row>
    <row r="837" ht="13.2" customHeight="1" s="405">
      <c r="B837" s="117" t="n"/>
    </row>
    <row r="838" ht="13.2" customHeight="1" s="405">
      <c r="B838" s="117" t="n"/>
    </row>
    <row r="839" ht="13.2" customHeight="1" s="405">
      <c r="B839" s="117" t="n"/>
    </row>
    <row r="840" ht="13.2" customHeight="1" s="405">
      <c r="B840" s="117" t="n"/>
    </row>
    <row r="841" ht="13.2" customHeight="1" s="405">
      <c r="B841" s="117" t="n"/>
    </row>
    <row r="842" ht="13.2" customHeight="1" s="405">
      <c r="B842" s="117" t="n"/>
    </row>
    <row r="843" ht="13.2" customHeight="1" s="405">
      <c r="B843" s="117" t="n"/>
    </row>
    <row r="844" ht="13.2" customHeight="1" s="405">
      <c r="B844" s="117" t="n"/>
    </row>
    <row r="845" ht="13.2" customHeight="1" s="405">
      <c r="B845" s="117" t="n"/>
    </row>
    <row r="846" ht="13.2" customHeight="1" s="405">
      <c r="B846" s="117" t="n"/>
    </row>
    <row r="847" ht="13.2" customHeight="1" s="405">
      <c r="B847" s="117" t="n"/>
    </row>
    <row r="848" ht="13.2" customHeight="1" s="405">
      <c r="B848" s="117" t="n"/>
    </row>
    <row r="849" ht="13.2" customHeight="1" s="405">
      <c r="B849" s="117" t="n"/>
    </row>
    <row r="850" ht="13.2" customHeight="1" s="405">
      <c r="B850" s="117" t="n"/>
    </row>
    <row r="851" ht="13.2" customHeight="1" s="405">
      <c r="B851" s="117" t="n"/>
    </row>
    <row r="852" ht="13.2" customHeight="1" s="405">
      <c r="B852" s="117" t="n"/>
    </row>
    <row r="853" ht="13.2" customHeight="1" s="405">
      <c r="B853" s="117" t="n"/>
    </row>
    <row r="854" ht="13.2" customHeight="1" s="405">
      <c r="B854" s="117" t="n"/>
    </row>
    <row r="855" ht="13.2" customHeight="1" s="405">
      <c r="B855" s="117" t="n"/>
    </row>
    <row r="856" ht="13.2" customHeight="1" s="405">
      <c r="B856" s="117" t="n"/>
    </row>
    <row r="857" ht="13.2" customHeight="1" s="405">
      <c r="B857" s="117" t="n"/>
    </row>
    <row r="858" ht="13.2" customHeight="1" s="405">
      <c r="B858" s="117" t="n"/>
    </row>
    <row r="859" ht="13.2" customHeight="1" s="405">
      <c r="B859" s="117" t="n"/>
    </row>
    <row r="860" ht="13.2" customHeight="1" s="405">
      <c r="B860" s="117" t="n"/>
    </row>
    <row r="861" ht="13.2" customHeight="1" s="405">
      <c r="B861" s="117" t="n"/>
    </row>
    <row r="862" ht="13.2" customHeight="1" s="405">
      <c r="B862" s="117" t="n"/>
    </row>
    <row r="863" ht="13.2" customHeight="1" s="405">
      <c r="B863" s="117" t="n"/>
    </row>
    <row r="864" ht="13.2" customHeight="1" s="405">
      <c r="B864" s="117" t="n"/>
    </row>
    <row r="865" ht="13.2" customHeight="1" s="405">
      <c r="B865" s="117" t="n"/>
    </row>
    <row r="866" ht="13.2" customHeight="1" s="405">
      <c r="B866" s="117" t="n"/>
    </row>
    <row r="867" ht="13.2" customHeight="1" s="405">
      <c r="B867" s="117" t="n"/>
    </row>
    <row r="868" ht="13.2" customHeight="1" s="405">
      <c r="B868" s="117" t="n"/>
    </row>
    <row r="869" ht="13.2" customHeight="1" s="405">
      <c r="B869" s="117" t="n"/>
    </row>
    <row r="870" ht="13.2" customHeight="1" s="405">
      <c r="B870" s="117" t="n"/>
    </row>
    <row r="871" ht="13.2" customHeight="1" s="405">
      <c r="B871" s="117" t="n"/>
    </row>
    <row r="872" ht="13.2" customHeight="1" s="405">
      <c r="B872" s="117" t="n"/>
    </row>
    <row r="873" ht="13.2" customHeight="1" s="405">
      <c r="B873" s="117" t="n"/>
    </row>
    <row r="874" ht="13.2" customHeight="1" s="405">
      <c r="B874" s="117" t="n"/>
    </row>
    <row r="875" ht="13.2" customHeight="1" s="405">
      <c r="B875" s="117" t="n"/>
    </row>
    <row r="876" ht="13.2" customHeight="1" s="405">
      <c r="B876" s="117" t="n"/>
    </row>
    <row r="877" ht="13.2" customHeight="1" s="405">
      <c r="B877" s="117" t="n"/>
    </row>
    <row r="878" ht="13.2" customHeight="1" s="405">
      <c r="B878" s="117" t="n"/>
    </row>
    <row r="879" ht="13.2" customHeight="1" s="405">
      <c r="B879" s="117" t="n"/>
    </row>
    <row r="880" ht="13.2" customHeight="1" s="405">
      <c r="B880" s="117" t="n"/>
    </row>
    <row r="881" ht="13.2" customHeight="1" s="405">
      <c r="B881" s="117" t="n"/>
    </row>
    <row r="882" ht="13.2" customHeight="1" s="405">
      <c r="B882" s="117" t="n"/>
    </row>
    <row r="883" ht="13.2" customHeight="1" s="405">
      <c r="B883" s="117" t="n"/>
    </row>
    <row r="884" ht="13.2" customHeight="1" s="405">
      <c r="B884" s="117" t="n"/>
    </row>
    <row r="885" ht="13.2" customHeight="1" s="405">
      <c r="B885" s="117" t="n"/>
    </row>
    <row r="886" ht="13.2" customHeight="1" s="405">
      <c r="B886" s="117" t="n"/>
    </row>
    <row r="887" ht="13.2" customHeight="1" s="405">
      <c r="B887" s="117" t="n"/>
    </row>
    <row r="888" ht="13.2" customHeight="1" s="405">
      <c r="B888" s="117" t="n"/>
    </row>
    <row r="889" ht="13.2" customHeight="1" s="405">
      <c r="B889" s="117" t="n"/>
    </row>
    <row r="890" ht="13.2" customHeight="1" s="405">
      <c r="B890" s="117" t="n"/>
    </row>
    <row r="891" ht="13.2" customHeight="1" s="405">
      <c r="B891" s="117" t="n"/>
    </row>
    <row r="892" ht="13.2" customHeight="1" s="405">
      <c r="B892" s="117" t="n"/>
    </row>
    <row r="893" ht="13.2" customHeight="1" s="405">
      <c r="B893" s="117" t="n"/>
    </row>
    <row r="894" ht="13.2" customHeight="1" s="405">
      <c r="B894" s="117" t="n"/>
    </row>
    <row r="895" ht="13.2" customHeight="1" s="405">
      <c r="B895" s="117" t="n"/>
    </row>
    <row r="896" ht="13.2" customHeight="1" s="405">
      <c r="B896" s="117" t="n"/>
    </row>
    <row r="897" ht="13.2" customHeight="1" s="405">
      <c r="B897" s="117" t="n"/>
    </row>
    <row r="898" ht="13.2" customHeight="1" s="405">
      <c r="B898" s="117" t="n"/>
    </row>
    <row r="899" ht="13.2" customHeight="1" s="405">
      <c r="B899" s="117" t="n"/>
    </row>
    <row r="900" ht="13.2" customHeight="1" s="405">
      <c r="B900" s="117" t="n"/>
    </row>
    <row r="901" ht="13.2" customHeight="1" s="405">
      <c r="B901" s="117" t="n"/>
    </row>
    <row r="902" ht="13.2" customHeight="1" s="405">
      <c r="B902" s="117" t="n"/>
    </row>
    <row r="903" ht="13.2" customHeight="1" s="405">
      <c r="B903" s="117" t="n"/>
    </row>
    <row r="904" ht="13.2" customHeight="1" s="405">
      <c r="B904" s="117" t="n"/>
    </row>
    <row r="905" ht="13.2" customHeight="1" s="405">
      <c r="B905" s="117" t="n"/>
    </row>
    <row r="906" ht="13.2" customHeight="1" s="405">
      <c r="B906" s="117" t="n"/>
    </row>
    <row r="907" ht="13.2" customHeight="1" s="405">
      <c r="B907" s="117" t="n"/>
    </row>
    <row r="908" ht="13.2" customHeight="1" s="405">
      <c r="B908" s="117" t="n"/>
    </row>
    <row r="909" ht="13.2" customHeight="1" s="405">
      <c r="B909" s="117" t="n"/>
    </row>
    <row r="910" ht="13.2" customHeight="1" s="405">
      <c r="B910" s="117" t="n"/>
    </row>
    <row r="911" ht="13.2" customHeight="1" s="405">
      <c r="B911" s="117" t="n"/>
    </row>
    <row r="912" ht="13.2" customHeight="1" s="405">
      <c r="B912" s="117" t="n"/>
    </row>
    <row r="913" ht="13.2" customHeight="1" s="405">
      <c r="B913" s="117" t="n"/>
    </row>
    <row r="914" ht="13.2" customHeight="1" s="405">
      <c r="B914" s="117" t="n"/>
    </row>
    <row r="915" ht="13.2" customHeight="1" s="405">
      <c r="B915" s="117" t="n"/>
    </row>
    <row r="916" ht="13.2" customHeight="1" s="405">
      <c r="B916" s="117" t="n"/>
    </row>
    <row r="917" ht="13.2" customHeight="1" s="405">
      <c r="B917" s="117" t="n"/>
    </row>
    <row r="918" ht="13.2" customHeight="1" s="405">
      <c r="B918" s="117" t="n"/>
    </row>
    <row r="919" ht="13.2" customHeight="1" s="405">
      <c r="B919" s="117" t="n"/>
    </row>
    <row r="920" ht="13.2" customHeight="1" s="405">
      <c r="B920" s="117" t="n"/>
    </row>
    <row r="921" ht="13.2" customHeight="1" s="405">
      <c r="B921" s="117" t="n"/>
    </row>
    <row r="922" ht="13.2" customHeight="1" s="405">
      <c r="B922" s="117" t="n"/>
    </row>
    <row r="923" ht="13.2" customHeight="1" s="405">
      <c r="B923" s="117" t="n"/>
    </row>
    <row r="924" ht="13.2" customHeight="1" s="405">
      <c r="B924" s="117" t="n"/>
    </row>
    <row r="925" ht="13.2" customHeight="1" s="405">
      <c r="B925" s="117" t="n"/>
    </row>
    <row r="926" ht="13.2" customHeight="1" s="405">
      <c r="B926" s="117" t="n"/>
    </row>
    <row r="927" ht="13.2" customHeight="1" s="405">
      <c r="B927" s="117" t="n"/>
    </row>
    <row r="928" ht="13.2" customHeight="1" s="405">
      <c r="B928" s="117" t="n"/>
    </row>
    <row r="929" ht="13.2" customHeight="1" s="405">
      <c r="B929" s="117" t="n"/>
    </row>
    <row r="930" ht="13.2" customHeight="1" s="405">
      <c r="B930" s="117" t="n"/>
    </row>
    <row r="931" ht="13.2" customHeight="1" s="405">
      <c r="B931" s="117" t="n"/>
    </row>
    <row r="932" ht="13.2" customHeight="1" s="405">
      <c r="B932" s="117" t="n"/>
    </row>
    <row r="933" ht="13.2" customHeight="1" s="405">
      <c r="B933" s="117" t="n"/>
    </row>
    <row r="934" ht="13.2" customHeight="1" s="405">
      <c r="B934" s="117" t="n"/>
    </row>
    <row r="935" ht="13.2" customHeight="1" s="405">
      <c r="B935" s="117" t="n"/>
    </row>
    <row r="936" ht="13.2" customHeight="1" s="405">
      <c r="B936" s="117" t="n"/>
    </row>
    <row r="937" ht="13.2" customHeight="1" s="405">
      <c r="B937" s="117" t="n"/>
    </row>
    <row r="938" ht="13.2" customHeight="1" s="405">
      <c r="B938" s="117" t="n"/>
    </row>
    <row r="939" ht="13.2" customHeight="1" s="405">
      <c r="B939" s="117" t="n"/>
    </row>
    <row r="940" ht="13.2" customHeight="1" s="405">
      <c r="B940" s="117" t="n"/>
    </row>
    <row r="941" ht="13.2" customHeight="1" s="405">
      <c r="B941" s="117" t="n"/>
    </row>
    <row r="942" ht="13.2" customHeight="1" s="405">
      <c r="B942" s="117" t="n"/>
    </row>
    <row r="943" ht="13.2" customHeight="1" s="405">
      <c r="B943" s="117" t="n"/>
    </row>
    <row r="944" ht="13.2" customHeight="1" s="405">
      <c r="B944" s="117" t="n"/>
    </row>
    <row r="945" ht="13.2" customHeight="1" s="405">
      <c r="B945" s="117" t="n"/>
    </row>
    <row r="946" ht="13.2" customHeight="1" s="405">
      <c r="B946" s="117" t="n"/>
    </row>
    <row r="947" ht="13.2" customHeight="1" s="405">
      <c r="B947" s="117" t="n"/>
    </row>
    <row r="948" ht="13.2" customHeight="1" s="405">
      <c r="B948" s="117" t="n"/>
    </row>
    <row r="949" ht="13.2" customHeight="1" s="405">
      <c r="B949" s="117" t="n"/>
    </row>
    <row r="950" ht="13.2" customHeight="1" s="405">
      <c r="B950" s="117" t="n"/>
    </row>
    <row r="951" ht="13.2" customHeight="1" s="405">
      <c r="B951" s="117" t="n"/>
    </row>
    <row r="952" ht="13.2" customHeight="1" s="405">
      <c r="B952" s="117" t="n"/>
    </row>
    <row r="953" ht="13.2" customHeight="1" s="405">
      <c r="B953" s="117" t="n"/>
    </row>
    <row r="954" ht="13.2" customHeight="1" s="405">
      <c r="B954" s="117" t="n"/>
    </row>
    <row r="955" ht="13.2" customHeight="1" s="405">
      <c r="B955" s="117" t="n"/>
    </row>
    <row r="956" ht="13.2" customHeight="1" s="405">
      <c r="B956" s="117" t="n"/>
    </row>
    <row r="957" ht="13.2" customHeight="1" s="405">
      <c r="B957" s="117" t="n"/>
    </row>
    <row r="958" ht="13.2" customHeight="1" s="405">
      <c r="B958" s="117" t="n"/>
    </row>
    <row r="959" ht="13.2" customHeight="1" s="405">
      <c r="B959" s="117" t="n"/>
    </row>
    <row r="960" ht="13.2" customHeight="1" s="405">
      <c r="B960" s="117" t="n"/>
    </row>
    <row r="961" ht="13.2" customHeight="1" s="405">
      <c r="B961" s="117" t="n"/>
    </row>
    <row r="962" ht="13.2" customHeight="1" s="405">
      <c r="B962" s="117" t="n"/>
    </row>
    <row r="963" ht="13.2" customHeight="1" s="405">
      <c r="B963" s="117" t="n"/>
    </row>
    <row r="964" ht="13.2" customHeight="1" s="405">
      <c r="B964" s="117" t="n"/>
    </row>
    <row r="965" ht="13.2" customHeight="1" s="405">
      <c r="B965" s="117" t="n"/>
    </row>
    <row r="966" ht="13.2" customHeight="1" s="405">
      <c r="B966" s="117" t="n"/>
    </row>
    <row r="967" ht="13.2" customHeight="1" s="405">
      <c r="B967" s="117" t="n"/>
    </row>
    <row r="968" ht="13.2" customHeight="1" s="405">
      <c r="B968" s="117" t="n"/>
    </row>
    <row r="969" ht="13.2" customHeight="1" s="405">
      <c r="B969" s="117" t="n"/>
    </row>
    <row r="970" ht="13.2" customHeight="1" s="405">
      <c r="B970" s="117" t="n"/>
    </row>
    <row r="971" ht="13.2" customHeight="1" s="405">
      <c r="B971" s="117" t="n"/>
    </row>
    <row r="972" ht="13.2" customHeight="1" s="405">
      <c r="B972" s="117" t="n"/>
    </row>
    <row r="973" ht="13.2" customHeight="1" s="405">
      <c r="B973" s="117" t="n"/>
    </row>
    <row r="974" ht="13.2" customHeight="1" s="405">
      <c r="B974" s="117" t="n"/>
    </row>
    <row r="975" ht="13.2" customHeight="1" s="405">
      <c r="B975" s="117" t="n"/>
    </row>
    <row r="976" ht="13.2" customHeight="1" s="405">
      <c r="B976" s="117" t="n"/>
    </row>
    <row r="977" ht="13.2" customHeight="1" s="405">
      <c r="B977" s="117" t="n"/>
    </row>
    <row r="978" ht="13.2" customHeight="1" s="405">
      <c r="B978" s="117" t="n"/>
    </row>
    <row r="979" ht="13.2" customHeight="1" s="405">
      <c r="B979" s="117" t="n"/>
    </row>
    <row r="980" ht="13.2" customHeight="1" s="405">
      <c r="B980" s="117" t="n"/>
    </row>
    <row r="981" ht="13.2" customHeight="1" s="405">
      <c r="B981" s="117" t="n"/>
    </row>
    <row r="982" ht="13.2" customHeight="1" s="405">
      <c r="B982" s="117" t="n"/>
    </row>
    <row r="983" ht="13.2" customHeight="1" s="405">
      <c r="B983" s="117" t="n"/>
    </row>
    <row r="984" ht="13.2" customHeight="1" s="405">
      <c r="B984" s="117" t="n"/>
    </row>
    <row r="985" ht="13.2" customHeight="1" s="405">
      <c r="B985" s="117" t="n"/>
    </row>
    <row r="986" ht="13.2" customHeight="1" s="405">
      <c r="B986" s="117" t="n"/>
    </row>
    <row r="987" ht="13.2" customHeight="1" s="405">
      <c r="B987" s="117" t="n"/>
    </row>
    <row r="988" ht="13.2" customHeight="1" s="405">
      <c r="B988" s="117" t="n"/>
    </row>
    <row r="989" ht="13.2" customHeight="1" s="405">
      <c r="B989" s="117" t="n"/>
    </row>
    <row r="990" ht="13.2" customHeight="1" s="405">
      <c r="B990" s="117" t="n"/>
    </row>
    <row r="991" ht="13.2" customHeight="1" s="405">
      <c r="B991" s="117" t="n"/>
    </row>
    <row r="992" ht="13.2" customHeight="1" s="405">
      <c r="B992" s="117" t="n"/>
    </row>
    <row r="993" ht="13.2" customHeight="1" s="405">
      <c r="B993" s="117" t="n"/>
    </row>
    <row r="994" ht="13.2" customHeight="1" s="405">
      <c r="B994" s="117" t="n"/>
    </row>
    <row r="995" ht="13.2" customHeight="1" s="405">
      <c r="B995" s="117" t="n"/>
    </row>
    <row r="996" ht="13.2" customHeight="1" s="405">
      <c r="B996" s="117" t="n"/>
    </row>
    <row r="997" ht="13.2" customHeight="1" s="405">
      <c r="B997" s="117" t="n"/>
    </row>
    <row r="998" ht="13.2" customHeight="1" s="405">
      <c r="B998" s="117" t="n"/>
    </row>
    <row r="999" ht="13.2" customHeight="1" s="405">
      <c r="B999" s="117" t="n"/>
    </row>
  </sheetData>
  <mergeCells count="3">
    <mergeCell ref="A1:D1"/>
    <mergeCell ref="A2:A3"/>
    <mergeCell ref="B2:B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AI123"/>
  <sheetViews>
    <sheetView workbookViewId="0">
      <pane xSplit="3" topLeftCell="D1" activePane="topRight" state="frozen"/>
      <selection pane="topRight" activeCell="E2" sqref="E2"/>
    </sheetView>
  </sheetViews>
  <sheetFormatPr baseColWidth="8" defaultColWidth="12.6640625" defaultRowHeight="15.75" customHeight="1"/>
  <cols>
    <col width="5.33203125" customWidth="1" style="405" min="1" max="1"/>
    <col width="20.109375" customWidth="1" style="405" min="2" max="2"/>
    <col width="34" customWidth="1" style="405" min="10" max="10"/>
  </cols>
  <sheetData>
    <row r="1" ht="15.75" customHeight="1" s="405">
      <c r="A1" s="345" t="n"/>
      <c r="B1" s="345" t="n"/>
      <c r="C1" s="345" t="n"/>
      <c r="D1" s="8" t="n"/>
      <c r="E1" s="345" t="n"/>
      <c r="F1" s="345" t="n"/>
      <c r="G1" s="345" t="n"/>
      <c r="H1" s="345" t="n"/>
      <c r="I1" s="345" t="n"/>
      <c r="J1" s="345" t="n"/>
      <c r="K1" s="345" t="n"/>
      <c r="L1" s="345" t="n"/>
      <c r="M1" s="345" t="n"/>
      <c r="N1" s="345" t="n"/>
      <c r="O1" s="345" t="n"/>
      <c r="P1" s="9" t="n"/>
      <c r="Q1" s="9" t="n"/>
      <c r="R1" s="9" t="n"/>
      <c r="S1" s="9" t="n"/>
      <c r="T1" s="9" t="n"/>
      <c r="U1" s="9" t="n"/>
      <c r="V1" s="9" t="n"/>
      <c r="W1" s="9" t="n"/>
      <c r="X1" s="9" t="n"/>
      <c r="Y1" s="9" t="n"/>
      <c r="Z1" s="9" t="n"/>
      <c r="AA1" s="9" t="n"/>
      <c r="AB1" s="9" t="n"/>
      <c r="AC1" s="9" t="n"/>
      <c r="AD1" s="9" t="n"/>
      <c r="AE1" s="9" t="n"/>
      <c r="AF1" s="9" t="n"/>
      <c r="AG1" s="9" t="n"/>
      <c r="AH1" s="9" t="n"/>
      <c r="AI1" s="9" t="n"/>
    </row>
    <row r="2" ht="15.75" customHeight="1" s="405">
      <c r="A2" s="434" t="inlineStr">
        <is>
          <t>STT</t>
        </is>
      </c>
      <c r="B2" s="22" t="inlineStr">
        <is>
          <t>Số tài khoản</t>
        </is>
      </c>
      <c r="C2" s="212" t="inlineStr">
        <is>
          <t>Số Thẻ</t>
        </is>
      </c>
      <c r="D2" s="19" t="inlineStr">
        <is>
          <t>Số tiền chi tiêu hàng ngày theo đầu thẻ</t>
        </is>
      </c>
      <c r="E2" s="23" t="n"/>
      <c r="F2" s="23" t="n"/>
      <c r="G2" s="23" t="n"/>
      <c r="H2" s="23" t="n"/>
      <c r="I2" s="23" t="n"/>
      <c r="J2" s="23" t="n"/>
      <c r="K2" s="23" t="n"/>
      <c r="L2" s="23" t="n"/>
      <c r="M2" s="23" t="n"/>
      <c r="N2" s="23" t="n"/>
      <c r="O2" s="23" t="n"/>
      <c r="P2" s="23" t="n"/>
      <c r="Q2" s="23" t="n"/>
      <c r="R2" s="23" t="n"/>
      <c r="S2" s="23" t="n"/>
      <c r="T2" s="23" t="n"/>
      <c r="U2" s="23" t="n"/>
      <c r="V2" s="23" t="n"/>
      <c r="W2" s="23" t="n"/>
      <c r="X2" s="23" t="n"/>
      <c r="Y2" s="23" t="n"/>
      <c r="Z2" s="23" t="n"/>
      <c r="AA2" s="23" t="n"/>
      <c r="AB2" s="23" t="n"/>
      <c r="AC2" s="23" t="n"/>
      <c r="AD2" s="23" t="n"/>
      <c r="AE2" s="23" t="n"/>
      <c r="AF2" s="23" t="n"/>
      <c r="AG2" s="23" t="n"/>
      <c r="AH2" s="37" t="n"/>
      <c r="AI2" s="9" t="n"/>
    </row>
    <row r="3" ht="15.75" customHeight="1" s="405">
      <c r="A3" s="433" t="n"/>
      <c r="B3" s="433" t="n"/>
      <c r="C3" s="433" t="n"/>
      <c r="D3" s="41" t="n">
        <v>46204</v>
      </c>
      <c r="E3" s="41" t="n">
        <v>46205</v>
      </c>
      <c r="F3" s="41" t="n">
        <v>46206</v>
      </c>
      <c r="G3" s="41" t="n">
        <v>46207</v>
      </c>
      <c r="H3" s="41" t="n">
        <v>46208</v>
      </c>
      <c r="I3" s="41" t="n">
        <v>46209</v>
      </c>
      <c r="J3" s="41" t="n">
        <v>46210</v>
      </c>
      <c r="K3" s="41" t="n">
        <v>46211</v>
      </c>
      <c r="L3" s="41" t="n">
        <v>46212</v>
      </c>
      <c r="M3" s="41" t="n">
        <v>46213</v>
      </c>
      <c r="N3" s="41" t="n">
        <v>46214</v>
      </c>
      <c r="O3" s="41" t="n">
        <v>46215</v>
      </c>
      <c r="P3" s="41" t="n">
        <v>46216</v>
      </c>
      <c r="Q3" s="41" t="n">
        <v>46217</v>
      </c>
      <c r="R3" s="41" t="n">
        <v>46218</v>
      </c>
      <c r="S3" s="41" t="n">
        <v>46219</v>
      </c>
      <c r="T3" s="41" t="n">
        <v>46220</v>
      </c>
      <c r="U3" s="41" t="n">
        <v>46221</v>
      </c>
      <c r="V3" s="41" t="n">
        <v>46222</v>
      </c>
      <c r="W3" s="41" t="n">
        <v>46223</v>
      </c>
      <c r="X3" s="41" t="n">
        <v>46224</v>
      </c>
      <c r="Y3" s="41" t="n">
        <v>46225</v>
      </c>
      <c r="Z3" s="41" t="n">
        <v>46226</v>
      </c>
      <c r="AA3" s="41" t="n">
        <v>46227</v>
      </c>
      <c r="AB3" s="41" t="n">
        <v>46228</v>
      </c>
      <c r="AC3" s="41" t="n">
        <v>46229</v>
      </c>
      <c r="AD3" s="41" t="n">
        <v>46230</v>
      </c>
      <c r="AE3" s="41" t="n">
        <v>46231</v>
      </c>
      <c r="AF3" s="41" t="n">
        <v>46232</v>
      </c>
      <c r="AG3" s="41" t="n">
        <v>46233</v>
      </c>
      <c r="AH3" s="41" t="n">
        <v>46234</v>
      </c>
      <c r="AI3" s="9" t="n"/>
    </row>
    <row r="4" ht="15.75" customHeight="1" s="405">
      <c r="A4" s="347" t="n">
        <v>1</v>
      </c>
      <c r="B4" s="325" t="inlineStr">
        <is>
          <t>Quang Huy 3 - Hưng Việt</t>
        </is>
      </c>
      <c r="C4" s="325" t="n">
        <v>8384</v>
      </c>
      <c r="D4" s="255" t="n">
        <v>4455359</v>
      </c>
      <c r="E4" s="257" t="n">
        <v>1375339</v>
      </c>
      <c r="F4" s="255" t="n">
        <v>13061686</v>
      </c>
      <c r="G4" s="257" t="n">
        <v>6253724</v>
      </c>
      <c r="H4" s="258" t="n">
        <v>13061686</v>
      </c>
      <c r="I4" s="339" t="n">
        <v>13061686</v>
      </c>
      <c r="J4" s="257" t="n">
        <v>0</v>
      </c>
      <c r="K4" s="257" t="n">
        <v>11862605</v>
      </c>
      <c r="L4" s="255" t="n">
        <v>0</v>
      </c>
      <c r="M4" s="257" t="n">
        <v>0</v>
      </c>
      <c r="N4" s="255" t="n">
        <v>11862605</v>
      </c>
      <c r="O4" s="255" t="n">
        <v>0</v>
      </c>
      <c r="P4" s="257" t="n">
        <v>10443848</v>
      </c>
      <c r="Q4" s="257" t="n">
        <v>0</v>
      </c>
      <c r="R4" s="255" t="n">
        <v>0</v>
      </c>
      <c r="S4" s="257" t="n">
        <v>11055376</v>
      </c>
      <c r="T4" s="340" t="n">
        <v>0</v>
      </c>
      <c r="U4" s="255" t="n">
        <v>0</v>
      </c>
      <c r="V4" s="341" t="n">
        <v>8563628</v>
      </c>
      <c r="W4" s="257" t="n">
        <v>0</v>
      </c>
      <c r="X4" s="261" t="n">
        <v>0</v>
      </c>
      <c r="Y4" s="261" t="n">
        <v>9636528</v>
      </c>
      <c r="Z4" s="257" t="n"/>
      <c r="AA4" s="262" t="n"/>
      <c r="AB4" s="263" t="n">
        <v>0</v>
      </c>
      <c r="AC4" s="262" t="n">
        <v>11099450</v>
      </c>
      <c r="AD4" s="342" t="n">
        <v>8039837</v>
      </c>
      <c r="AE4" s="343" t="n"/>
      <c r="AF4" s="262" t="n"/>
      <c r="AG4" s="263" t="n">
        <v>11099450</v>
      </c>
      <c r="AH4" s="262" t="n">
        <v>10971181</v>
      </c>
      <c r="AI4" s="9" t="n"/>
    </row>
    <row r="5" ht="15.75" customHeight="1" s="405">
      <c r="A5" s="347" t="n">
        <v>2</v>
      </c>
      <c r="B5" s="325" t="inlineStr">
        <is>
          <t>Quang Huy 2 - Hưng Việt</t>
        </is>
      </c>
      <c r="C5" s="325" t="n">
        <v>8384</v>
      </c>
      <c r="D5" s="257" t="n">
        <v>2868276</v>
      </c>
      <c r="E5" s="257" t="n">
        <v>0</v>
      </c>
      <c r="F5" s="341" t="n">
        <v>8671214</v>
      </c>
      <c r="G5" s="257" t="n">
        <v>0</v>
      </c>
      <c r="H5" s="257" t="n">
        <v>2546138</v>
      </c>
      <c r="I5" s="257" t="n">
        <v>4645179</v>
      </c>
      <c r="J5" s="257" t="n">
        <v>6777645</v>
      </c>
      <c r="K5" s="257" t="n">
        <v>0</v>
      </c>
      <c r="L5" s="257" t="n">
        <v>0</v>
      </c>
      <c r="M5" s="344" t="n">
        <v>6777645</v>
      </c>
      <c r="N5" s="257" t="n">
        <v>0</v>
      </c>
      <c r="O5" s="345" t="n"/>
      <c r="P5" s="257" t="n">
        <v>6322564</v>
      </c>
      <c r="Q5" s="257" t="n">
        <v>0</v>
      </c>
      <c r="R5" s="257" t="n">
        <v>6689312</v>
      </c>
      <c r="S5" s="257" t="n">
        <v>0</v>
      </c>
      <c r="T5" s="257" t="n"/>
      <c r="U5" s="257" t="n">
        <v>6686277</v>
      </c>
      <c r="V5" s="257" t="n">
        <v>0</v>
      </c>
      <c r="W5" s="257" t="n">
        <v>7653187</v>
      </c>
      <c r="X5" s="257" t="n">
        <v>0</v>
      </c>
      <c r="Y5" s="257" t="n">
        <v>0</v>
      </c>
      <c r="Z5" s="262" t="n"/>
      <c r="AA5" s="344" t="n">
        <v>8485360</v>
      </c>
      <c r="AB5" s="263" t="n">
        <v>0</v>
      </c>
      <c r="AC5" s="263" t="n">
        <v>0</v>
      </c>
      <c r="AD5" s="262" t="n"/>
      <c r="AE5" s="262" t="n"/>
      <c r="AF5" s="262" t="n"/>
      <c r="AG5" s="263" t="n">
        <v>8039837</v>
      </c>
      <c r="AH5" s="262" t="n">
        <v>4021221</v>
      </c>
      <c r="AI5" s="9" t="n"/>
    </row>
    <row r="6" ht="15.75" customHeight="1" s="405">
      <c r="A6" s="347" t="n">
        <v>3</v>
      </c>
      <c r="B6" s="325" t="inlineStr">
        <is>
          <t>Quang Huy 1 - Hưng Việt</t>
        </is>
      </c>
      <c r="C6" s="325" t="n">
        <v>8384</v>
      </c>
      <c r="D6" s="257" t="n">
        <v>0</v>
      </c>
      <c r="E6" s="257" t="n">
        <v>1471777</v>
      </c>
      <c r="F6" s="257" t="n">
        <v>2635008</v>
      </c>
      <c r="G6" s="257" t="n">
        <v>1521881</v>
      </c>
      <c r="H6" s="257" t="n">
        <v>2367289</v>
      </c>
      <c r="I6" s="257" t="n">
        <v>1329044</v>
      </c>
      <c r="J6" s="257" t="n">
        <v>1536246</v>
      </c>
      <c r="K6" s="257" t="n">
        <v>2067105</v>
      </c>
      <c r="L6" s="257" t="n">
        <v>2855090</v>
      </c>
      <c r="M6" s="257" t="n">
        <v>0</v>
      </c>
      <c r="N6" s="257" t="n"/>
      <c r="O6" s="257" t="n">
        <v>2855090</v>
      </c>
      <c r="P6" s="257" t="n">
        <v>0</v>
      </c>
      <c r="Q6" s="257" t="n">
        <v>2855090</v>
      </c>
      <c r="R6" s="257" t="n">
        <v>2855090</v>
      </c>
      <c r="S6" s="257" t="n">
        <v>0</v>
      </c>
      <c r="T6" s="257" t="n">
        <v>5710180</v>
      </c>
      <c r="U6" s="257" t="n">
        <v>0</v>
      </c>
      <c r="V6" s="257" t="n">
        <v>4524443</v>
      </c>
      <c r="W6" s="257" t="n">
        <v>0</v>
      </c>
      <c r="X6" s="257" t="n">
        <v>4524443</v>
      </c>
      <c r="Y6" s="325" t="n">
        <v>0</v>
      </c>
      <c r="Z6" s="265" t="n">
        <v>4524443</v>
      </c>
      <c r="AA6" s="262" t="n"/>
      <c r="AB6" s="265" t="n">
        <v>4524443</v>
      </c>
      <c r="AC6" s="346" t="n">
        <v>0</v>
      </c>
      <c r="AD6" s="267" t="n">
        <v>4524443</v>
      </c>
      <c r="AE6" s="262" t="n"/>
      <c r="AF6" s="265" t="n"/>
      <c r="AG6" s="265" t="n">
        <v>4524443</v>
      </c>
      <c r="AH6" s="265" t="n">
        <v>3540539</v>
      </c>
      <c r="AI6" s="9" t="n"/>
    </row>
    <row r="7" ht="15.75" customHeight="1" s="405">
      <c r="A7" s="347" t="n">
        <v>4</v>
      </c>
      <c r="B7" s="325" t="inlineStr">
        <is>
          <t>01 Quang Huy ADS (+8)</t>
        </is>
      </c>
      <c r="C7" s="325" t="n">
        <v>8384</v>
      </c>
      <c r="D7" s="257" t="n">
        <v>0</v>
      </c>
      <c r="E7" s="257" t="n">
        <v>0</v>
      </c>
      <c r="F7" s="257" t="n">
        <v>95361</v>
      </c>
      <c r="G7" s="257" t="n">
        <v>0</v>
      </c>
      <c r="H7" s="257" t="n">
        <v>0</v>
      </c>
      <c r="I7" s="257" t="n">
        <v>0</v>
      </c>
      <c r="J7" s="257" t="n">
        <v>0</v>
      </c>
      <c r="K7" s="257" t="n">
        <v>0</v>
      </c>
      <c r="L7" s="257" t="n">
        <v>0</v>
      </c>
      <c r="M7" s="257" t="n">
        <v>0</v>
      </c>
      <c r="N7" s="257" t="n">
        <v>0</v>
      </c>
      <c r="O7" s="257" t="n">
        <v>0</v>
      </c>
      <c r="P7" s="257" t="n">
        <v>0</v>
      </c>
      <c r="Q7" s="257" t="n">
        <v>0</v>
      </c>
      <c r="R7" s="257" t="n"/>
      <c r="S7" s="257" t="n">
        <v>0</v>
      </c>
      <c r="T7" s="257" t="n">
        <v>0</v>
      </c>
      <c r="U7" s="257" t="n">
        <v>0</v>
      </c>
      <c r="V7" s="257" t="n">
        <v>0</v>
      </c>
      <c r="W7" s="257" t="n">
        <v>0</v>
      </c>
      <c r="X7" s="257" t="n">
        <v>0</v>
      </c>
      <c r="Y7" s="265" t="n"/>
      <c r="Z7" s="265" t="n"/>
      <c r="AA7" s="265" t="n"/>
      <c r="AB7" s="262" t="n"/>
      <c r="AC7" s="265" t="n"/>
      <c r="AD7" s="267" t="n"/>
      <c r="AE7" s="263" t="n"/>
      <c r="AF7" s="265" t="n"/>
      <c r="AG7" s="268" t="n"/>
      <c r="AH7" s="265" t="n"/>
      <c r="AI7" s="9" t="n"/>
    </row>
    <row r="8" ht="15.75" customHeight="1" s="405">
      <c r="A8" s="347" t="n">
        <v>5</v>
      </c>
      <c r="B8" s="325" t="inlineStr">
        <is>
          <t>02 Quang Huy ADS (+8)</t>
        </is>
      </c>
      <c r="C8" s="325" t="n">
        <v>8384</v>
      </c>
      <c r="D8" s="257" t="n">
        <v>0</v>
      </c>
      <c r="E8" s="257" t="n">
        <v>0</v>
      </c>
      <c r="F8" s="257" t="n">
        <v>0</v>
      </c>
      <c r="G8" s="257" t="n">
        <v>0</v>
      </c>
      <c r="H8" s="257" t="n">
        <v>0</v>
      </c>
      <c r="I8" s="257" t="n">
        <v>0</v>
      </c>
      <c r="J8" s="257" t="n">
        <v>1695712</v>
      </c>
      <c r="K8" s="257" t="n">
        <v>836456</v>
      </c>
      <c r="L8" s="257" t="n">
        <v>1181921</v>
      </c>
      <c r="M8" s="257" t="n">
        <v>1682160</v>
      </c>
      <c r="N8" s="257" t="n">
        <v>585057</v>
      </c>
      <c r="O8" s="267" t="n">
        <v>2057328</v>
      </c>
      <c r="P8" s="348" t="n">
        <v>1158254</v>
      </c>
      <c r="Q8" s="257" t="n">
        <v>1364966</v>
      </c>
      <c r="R8" s="257" t="n">
        <v>1364966</v>
      </c>
      <c r="S8" s="257" t="n">
        <v>1548597</v>
      </c>
      <c r="T8" s="257" t="n">
        <v>1548597</v>
      </c>
      <c r="U8" s="257" t="n">
        <v>0</v>
      </c>
      <c r="V8" s="257" t="n">
        <v>3097194</v>
      </c>
      <c r="W8" s="257" t="n">
        <v>0</v>
      </c>
      <c r="X8" s="257" t="n">
        <v>4002876</v>
      </c>
      <c r="Y8" s="265" t="n">
        <v>0</v>
      </c>
      <c r="Z8" s="265" t="n">
        <v>2596486</v>
      </c>
      <c r="AA8" s="349" t="n">
        <v>2596486</v>
      </c>
      <c r="AB8" s="262" t="n">
        <v>2596486</v>
      </c>
      <c r="AC8" s="262" t="n">
        <v>2596486</v>
      </c>
      <c r="AD8" s="267" t="n">
        <v>2596486</v>
      </c>
      <c r="AE8" s="263" t="n">
        <v>2596486</v>
      </c>
      <c r="AF8" s="265" t="n"/>
      <c r="AG8" s="268" t="n">
        <v>3814044</v>
      </c>
      <c r="AH8" s="265" t="n">
        <v>3386836</v>
      </c>
      <c r="AI8" s="9" t="n"/>
    </row>
    <row r="9" ht="15.75" customHeight="1" s="405">
      <c r="A9" s="82" t="inlineStr">
        <is>
          <t>Tổng</t>
        </is>
      </c>
      <c r="B9" s="83" t="n"/>
      <c r="C9" s="83">
        <f>+D9+E9+F9+G9+H9+I9+J9+K9+L9+M9+N9+O9++P9+Q9+R9+S9+T9+U9+V9+W9+X9+Y9+Z9+AA9+AB9+AC9+AD9+AE9+AF9+AG9+AH9</f>
        <v/>
      </c>
      <c r="D9" s="83">
        <f>SUM(D4:D7) /1.1</f>
        <v/>
      </c>
      <c r="E9" s="83">
        <f>SUM(E4:E7) /1.1</f>
        <v/>
      </c>
      <c r="F9" s="83">
        <f>SUM(F4:F7) /1.1</f>
        <v/>
      </c>
      <c r="G9" s="83">
        <f>SUM(G4:G7) /1.1</f>
        <v/>
      </c>
      <c r="H9" s="83">
        <f>SUM(H4:H7) /1.1</f>
        <v/>
      </c>
      <c r="I9" s="83">
        <f>SUM(I4:I8) /1.1</f>
        <v/>
      </c>
      <c r="J9" s="83">
        <f>SUM(J4:J8) /1.1</f>
        <v/>
      </c>
      <c r="K9" s="83">
        <f>SUM(K4:K8) /1.1</f>
        <v/>
      </c>
      <c r="L9" s="83">
        <f>SUM(L4:L8) /1.1</f>
        <v/>
      </c>
      <c r="M9" s="83">
        <f>SUM(M4:M8) /1.1</f>
        <v/>
      </c>
      <c r="N9" s="83">
        <f>SUM(N4:N8) /1.1</f>
        <v/>
      </c>
      <c r="O9" s="83">
        <f>SUM(O4:O8) /1.1</f>
        <v/>
      </c>
      <c r="P9" s="83">
        <f>SUM(P4:P8) /1.1</f>
        <v/>
      </c>
      <c r="Q9" s="83">
        <f>SUM(Q4:Q8) /1.1</f>
        <v/>
      </c>
      <c r="R9" s="83">
        <f>SUM(R4:R8) /1.1</f>
        <v/>
      </c>
      <c r="S9" s="83">
        <f>SUM(S4:S8) /1.1</f>
        <v/>
      </c>
      <c r="T9" s="83">
        <f>SUM(T4:T8) /1.1</f>
        <v/>
      </c>
      <c r="U9" s="83">
        <f>SUM(U4:U8) /1.1</f>
        <v/>
      </c>
      <c r="V9" s="83">
        <f>SUM(V4:V8) /1.1</f>
        <v/>
      </c>
      <c r="W9" s="83">
        <f>SUM(W4:W8) /1.1</f>
        <v/>
      </c>
      <c r="X9" s="83">
        <f>SUM(X4:X8) /1.1</f>
        <v/>
      </c>
      <c r="Y9" s="83">
        <f>SUM(Y4:Y8) /1.1</f>
        <v/>
      </c>
      <c r="Z9" s="83">
        <f>SUM(Z4:Z8) /1.1</f>
        <v/>
      </c>
      <c r="AA9" s="83">
        <f>SUM(AA4:AA8) /1.1</f>
        <v/>
      </c>
      <c r="AB9" s="83">
        <f>SUM(AB4:AB8) /1.1</f>
        <v/>
      </c>
      <c r="AC9" s="83">
        <f>SUM(AC4:AC8) /1.1</f>
        <v/>
      </c>
      <c r="AD9" s="83">
        <f>SUM(AD4:AD8) /1.1</f>
        <v/>
      </c>
      <c r="AE9" s="83">
        <f>SUM(AE4:AE8) /1.1</f>
        <v/>
      </c>
      <c r="AF9" s="83">
        <f>SUM(AF4:AF8) /1.1</f>
        <v/>
      </c>
      <c r="AG9" s="83">
        <f>SUM(AG4:AG8) /1.1</f>
        <v/>
      </c>
      <c r="AH9" s="83">
        <f>SUM(AH4:AH8) /1.1</f>
        <v/>
      </c>
      <c r="AI9" s="9" t="n"/>
    </row>
    <row r="10" ht="15.75" customHeight="1" s="405">
      <c r="A10" s="345" t="inlineStr">
        <is>
          <t>Kế toán check Hóa đơn</t>
        </is>
      </c>
      <c r="B10" s="345" t="n"/>
      <c r="C10" s="345" t="n"/>
      <c r="D10" s="8" t="n"/>
      <c r="E10" s="345" t="n"/>
      <c r="F10" s="345" t="n"/>
      <c r="G10" s="345" t="n"/>
      <c r="H10" s="345" t="n"/>
      <c r="I10" s="345" t="n"/>
      <c r="J10" s="345" t="n"/>
      <c r="K10" s="345" t="n"/>
      <c r="L10" s="345" t="n"/>
      <c r="M10" s="345" t="n"/>
      <c r="N10" s="345" t="n"/>
      <c r="O10" s="345" t="n"/>
      <c r="P10" s="9" t="n"/>
      <c r="Q10" s="9" t="n"/>
      <c r="R10" s="9" t="n"/>
      <c r="S10" s="9" t="n"/>
      <c r="T10" s="9" t="n"/>
      <c r="U10" s="9" t="n"/>
      <c r="V10" s="9" t="n"/>
      <c r="W10" s="9" t="n"/>
      <c r="X10" s="9" t="n"/>
      <c r="Y10" s="9" t="n"/>
      <c r="Z10" s="9" t="n"/>
      <c r="AA10" s="9" t="n"/>
      <c r="AB10" s="9" t="n"/>
      <c r="AC10" s="9" t="n"/>
      <c r="AD10" s="9" t="n"/>
      <c r="AE10" s="9" t="n"/>
      <c r="AF10" s="9" t="n"/>
      <c r="AG10" s="9" t="n"/>
      <c r="AH10" s="9" t="n"/>
      <c r="AI10" s="9" t="n"/>
    </row>
    <row r="11" ht="15.75" customHeight="1" s="405">
      <c r="A11" s="110" t="inlineStr">
        <is>
          <t>Chênh lệch</t>
        </is>
      </c>
      <c r="B11" s="345" t="n"/>
      <c r="C11" s="345" t="n"/>
      <c r="D11" s="113">
        <f>D9-D10</f>
        <v/>
      </c>
      <c r="E11" s="113">
        <f>E9-E10</f>
        <v/>
      </c>
      <c r="F11" s="113">
        <f>F9-F10</f>
        <v/>
      </c>
      <c r="G11" s="113">
        <f>G9-G10</f>
        <v/>
      </c>
      <c r="H11" s="113">
        <f>H9-H10</f>
        <v/>
      </c>
      <c r="I11" s="113">
        <f>I9-I10</f>
        <v/>
      </c>
      <c r="J11" s="113">
        <f>J9-J10</f>
        <v/>
      </c>
      <c r="K11" s="113">
        <f>K9-K10</f>
        <v/>
      </c>
      <c r="L11" s="113">
        <f>L9-L10</f>
        <v/>
      </c>
      <c r="M11" s="113">
        <f>M9-M10</f>
        <v/>
      </c>
      <c r="N11" s="113">
        <f>N9-N10</f>
        <v/>
      </c>
      <c r="O11" s="113">
        <f>O9-O10</f>
        <v/>
      </c>
      <c r="P11" s="113">
        <f>P9-P10</f>
        <v/>
      </c>
      <c r="Q11" s="113">
        <f>Q9-Q10</f>
        <v/>
      </c>
      <c r="R11" s="113">
        <f>R9-R10</f>
        <v/>
      </c>
      <c r="S11" s="113">
        <f>S9-S10</f>
        <v/>
      </c>
      <c r="T11" s="113">
        <f>T9-T10</f>
        <v/>
      </c>
      <c r="U11" s="113">
        <f>U9-U10</f>
        <v/>
      </c>
      <c r="V11" s="113">
        <f>V9-V10</f>
        <v/>
      </c>
      <c r="W11" s="113">
        <f>W9-W10</f>
        <v/>
      </c>
      <c r="X11" s="113">
        <f>X9-X10</f>
        <v/>
      </c>
      <c r="Y11" s="113">
        <f>Y9-Y10</f>
        <v/>
      </c>
      <c r="Z11" s="113">
        <f>Z9-Z10</f>
        <v/>
      </c>
      <c r="AA11" s="113">
        <f>AA9-AA10</f>
        <v/>
      </c>
      <c r="AB11" s="113">
        <f>AB9-AB10</f>
        <v/>
      </c>
      <c r="AC11" s="113">
        <f>AC9-AC10</f>
        <v/>
      </c>
      <c r="AD11" s="113">
        <f>AD9-AD10</f>
        <v/>
      </c>
      <c r="AE11" s="113">
        <f>AE9-AE10</f>
        <v/>
      </c>
      <c r="AF11" s="113">
        <f>AF9-AF10</f>
        <v/>
      </c>
      <c r="AG11" s="113">
        <f>AG9-AG10</f>
        <v/>
      </c>
      <c r="AH11" s="113">
        <f>AH9-AH10</f>
        <v/>
      </c>
      <c r="AI11" s="9" t="n"/>
    </row>
    <row r="12"/>
    <row r="13"/>
    <row r="14">
      <c r="B14" s="118" t="inlineStr">
        <is>
          <t>Facebook Billing</t>
        </is>
      </c>
      <c r="D14" s="118" t="n"/>
    </row>
    <row r="15" ht="15.75" customHeight="1" s="405">
      <c r="B15" s="119" t="inlineStr">
        <is>
          <t>Ngày thanh toán</t>
        </is>
      </c>
      <c r="C15" s="119" t="inlineStr">
        <is>
          <t>Phương thức TT</t>
        </is>
      </c>
      <c r="D15" s="119" t="inlineStr">
        <is>
          <t>Số tham chiếu thẻ</t>
        </is>
      </c>
      <c r="E15" s="120" t="inlineStr">
        <is>
          <t>Số tiền</t>
        </is>
      </c>
      <c r="G15" s="419" t="inlineStr">
        <is>
          <t xml:space="preserve">Link thư mục ảnh hóa đơn </t>
        </is>
      </c>
      <c r="J15" t="inlineStr">
        <is>
          <t>Ten tab nguon</t>
        </is>
      </c>
    </row>
    <row r="16" ht="13.2" customHeight="1" s="405">
      <c r="B16" s="350" t="n">
        <v>46204</v>
      </c>
      <c r="C16" s="351" t="inlineStr">
        <is>
          <t>Visa ···· 8384</t>
        </is>
      </c>
      <c r="D16" s="351" t="inlineStr">
        <is>
          <t>JMGERVDHX2</t>
        </is>
      </c>
      <c r="E16" s="352" t="n">
        <v>1356069</v>
      </c>
      <c r="F16" s="350" t="inlineStr">
        <is>
          <t>1 Tháng 7, 2026</t>
        </is>
      </c>
      <c r="G16" s="352" t="n">
        <v>1356069</v>
      </c>
      <c r="H16" s="351" t="inlineStr">
        <is>
          <t>Visa ···· 8384</t>
        </is>
      </c>
      <c r="I16" s="351" t="inlineStr">
        <is>
          <t>JMGERVDHX2</t>
        </is>
      </c>
      <c r="J16" s="351" t="inlineStr">
        <is>
          <t>Trang tính15</t>
        </is>
      </c>
    </row>
    <row r="17" ht="13.2" customHeight="1" s="405">
      <c r="B17" s="350" t="n">
        <v>46204</v>
      </c>
      <c r="C17" s="351" t="inlineStr">
        <is>
          <t>Visa ···· 8384</t>
        </is>
      </c>
      <c r="D17" s="351" t="inlineStr">
        <is>
          <t>NEKBMV9HX2</t>
        </is>
      </c>
      <c r="E17" s="352" t="n">
        <v>3099290</v>
      </c>
      <c r="F17" s="350" t="inlineStr">
        <is>
          <t>1 Tháng 7, 2026</t>
        </is>
      </c>
      <c r="G17" s="352" t="n">
        <v>3099290</v>
      </c>
      <c r="H17" s="351" t="inlineStr">
        <is>
          <t>Visa ···· 8384</t>
        </is>
      </c>
      <c r="I17" s="351" t="inlineStr">
        <is>
          <t>NEKBMV9HX2</t>
        </is>
      </c>
      <c r="J17" s="351" t="inlineStr">
        <is>
          <t>Trang tính15</t>
        </is>
      </c>
    </row>
    <row r="18" ht="13.2" customHeight="1" s="405">
      <c r="B18" s="350" t="n">
        <v>46204</v>
      </c>
      <c r="C18" s="351" t="inlineStr">
        <is>
          <t>Visa ···· 8384</t>
        </is>
      </c>
      <c r="D18" s="351" t="inlineStr">
        <is>
          <t>4JP6LV9HX2</t>
        </is>
      </c>
      <c r="E18" s="352" t="n">
        <v>2864569</v>
      </c>
      <c r="F18" s="350" t="inlineStr">
        <is>
          <t>1 Tháng 7, 2026</t>
        </is>
      </c>
      <c r="G18" s="352" t="n">
        <v>2864569</v>
      </c>
      <c r="H18" s="351" t="inlineStr">
        <is>
          <t>Visa ···· 8384</t>
        </is>
      </c>
      <c r="I18" s="351" t="inlineStr">
        <is>
          <t>4JP6LV9HX2</t>
        </is>
      </c>
      <c r="J18" s="351" t="inlineStr">
        <is>
          <t>Trang tính15</t>
        </is>
      </c>
    </row>
    <row r="19" ht="13.2" customHeight="1" s="405">
      <c r="B19" s="350" t="n">
        <v>46205</v>
      </c>
      <c r="C19" s="351" t="inlineStr">
        <is>
          <t>Visa ···· 8384</t>
        </is>
      </c>
      <c r="D19" s="351" t="inlineStr">
        <is>
          <t>PD9PSVVGX2</t>
        </is>
      </c>
      <c r="E19" s="352" t="n">
        <v>1375339</v>
      </c>
      <c r="F19" s="350" t="inlineStr">
        <is>
          <t>2 Tháng 7, 2026</t>
        </is>
      </c>
      <c r="G19" s="352" t="n">
        <v>1375339</v>
      </c>
      <c r="H19" s="351" t="inlineStr">
        <is>
          <t>Visa ···· 8384</t>
        </is>
      </c>
      <c r="I19" s="351" t="inlineStr">
        <is>
          <t>PD9PSVVGX2</t>
        </is>
      </c>
      <c r="J19" s="351" t="inlineStr">
        <is>
          <t>Trang tính15</t>
        </is>
      </c>
    </row>
    <row r="20" ht="13.2" customHeight="1" s="405">
      <c r="B20" s="350" t="n">
        <v>46206</v>
      </c>
      <c r="C20" s="351" t="inlineStr">
        <is>
          <t>Visa ···· 8384</t>
        </is>
      </c>
      <c r="D20" s="351" t="inlineStr">
        <is>
          <t>D5VCRYRHX2</t>
        </is>
      </c>
      <c r="E20" s="352" t="n">
        <v>13061686</v>
      </c>
      <c r="F20" s="350" t="inlineStr">
        <is>
          <t>3 Tháng 7, 2026</t>
        </is>
      </c>
      <c r="G20" s="352" t="n">
        <v>13061686</v>
      </c>
      <c r="H20" s="351" t="inlineStr">
        <is>
          <t>Visa ···· 8384</t>
        </is>
      </c>
      <c r="I20" s="351" t="inlineStr">
        <is>
          <t>D5VCRYRHX2</t>
        </is>
      </c>
      <c r="J20" s="351" t="inlineStr">
        <is>
          <t>Trang tính15</t>
        </is>
      </c>
    </row>
    <row r="21" ht="13.2" customHeight="1" s="405">
      <c r="B21" s="350" t="n">
        <v>46207</v>
      </c>
      <c r="C21" s="351" t="inlineStr">
        <is>
          <t>Visa ···· 8384</t>
        </is>
      </c>
      <c r="D21" s="351" t="inlineStr">
        <is>
          <t>RTA92WVGX2</t>
        </is>
      </c>
      <c r="E21" s="352" t="n">
        <v>6253724</v>
      </c>
      <c r="F21" s="350" t="inlineStr">
        <is>
          <t>4 Tháng 7, 2026</t>
        </is>
      </c>
      <c r="G21" s="352" t="n">
        <v>6253724</v>
      </c>
      <c r="H21" s="351" t="inlineStr">
        <is>
          <t>Visa ···· 8384</t>
        </is>
      </c>
      <c r="I21" s="351" t="inlineStr">
        <is>
          <t>RTA92WVGX2</t>
        </is>
      </c>
      <c r="J21" s="351" t="inlineStr">
        <is>
          <t>Trang tính15</t>
        </is>
      </c>
    </row>
    <row r="22" ht="13.2" customHeight="1" s="405">
      <c r="B22" s="350" t="n">
        <v>46208</v>
      </c>
      <c r="C22" s="351" t="inlineStr">
        <is>
          <t>Visa ···· 8384</t>
        </is>
      </c>
      <c r="D22" s="351" t="inlineStr">
        <is>
          <t>DAFSXYRHX2</t>
        </is>
      </c>
      <c r="E22" s="352" t="n">
        <v>13061686</v>
      </c>
      <c r="F22" s="350" t="inlineStr">
        <is>
          <t>5 Tháng 7, 2026</t>
        </is>
      </c>
      <c r="G22" s="352" t="n">
        <v>13061686</v>
      </c>
      <c r="H22" s="351" t="inlineStr">
        <is>
          <t>Visa ···· 8384</t>
        </is>
      </c>
      <c r="I22" s="351" t="inlineStr">
        <is>
          <t>DAFSXYRHX2</t>
        </is>
      </c>
      <c r="J22" s="351" t="inlineStr">
        <is>
          <t>Trang tính15</t>
        </is>
      </c>
    </row>
    <row r="23" ht="13.2" customHeight="1" s="405">
      <c r="B23" s="350" t="n">
        <v>46209</v>
      </c>
      <c r="C23" s="351" t="inlineStr">
        <is>
          <t>Visa ···· 8384</t>
        </is>
      </c>
      <c r="D23" s="351" t="inlineStr">
        <is>
          <t>EXCEGXHHX2</t>
        </is>
      </c>
      <c r="E23" s="352" t="n">
        <v>13061686</v>
      </c>
      <c r="F23" s="350" t="inlineStr">
        <is>
          <t>6 Tháng 7, 2026</t>
        </is>
      </c>
      <c r="G23" s="352" t="n">
        <v>13061686</v>
      </c>
      <c r="H23" s="351" t="inlineStr">
        <is>
          <t>Visa ···· 8384</t>
        </is>
      </c>
      <c r="I23" s="351" t="inlineStr">
        <is>
          <t>EXCEGXHHX2</t>
        </is>
      </c>
      <c r="J23" s="351" t="inlineStr">
        <is>
          <t>Trang tính15</t>
        </is>
      </c>
    </row>
    <row r="24" ht="13.2" customHeight="1" s="405">
      <c r="B24" s="350" t="n">
        <v>46211</v>
      </c>
      <c r="C24" s="351" t="inlineStr">
        <is>
          <t>Visa ···· 8384</t>
        </is>
      </c>
      <c r="D24" s="351" t="inlineStr">
        <is>
          <t>8AY5VWZGX2</t>
        </is>
      </c>
      <c r="E24" s="352" t="n">
        <v>11862605</v>
      </c>
      <c r="F24" s="350" t="inlineStr">
        <is>
          <t>8 Tháng 7, 2026</t>
        </is>
      </c>
      <c r="G24" s="352" t="n">
        <v>11862605</v>
      </c>
      <c r="H24" s="351" t="inlineStr">
        <is>
          <t>Visa ···· 8384</t>
        </is>
      </c>
      <c r="I24" s="351" t="inlineStr">
        <is>
          <t>8AY5VWZGX2</t>
        </is>
      </c>
      <c r="J24" s="351" t="inlineStr">
        <is>
          <t>Trang tính15</t>
        </is>
      </c>
    </row>
    <row r="25" ht="13.2" customHeight="1" s="405">
      <c r="B25" s="350" t="n">
        <v>46214</v>
      </c>
      <c r="C25" s="351" t="inlineStr">
        <is>
          <t>Visa ···· 8384</t>
        </is>
      </c>
      <c r="D25" s="351" t="inlineStr">
        <is>
          <t>7ZMXWXHHX2</t>
        </is>
      </c>
      <c r="E25" s="352" t="n">
        <v>11862605</v>
      </c>
      <c r="F25" s="350" t="inlineStr">
        <is>
          <t>11 Tháng 7, 2026</t>
        </is>
      </c>
      <c r="G25" s="352" t="n">
        <v>11862605</v>
      </c>
      <c r="H25" s="351" t="inlineStr">
        <is>
          <t>Visa ···· 8384</t>
        </is>
      </c>
      <c r="I25" s="351" t="inlineStr">
        <is>
          <t>7ZMXWXHHX2</t>
        </is>
      </c>
      <c r="J25" s="351" t="inlineStr">
        <is>
          <t>Trang tính15</t>
        </is>
      </c>
    </row>
    <row r="26" ht="13.2" customHeight="1" s="405">
      <c r="B26" s="350" t="n">
        <v>46216</v>
      </c>
      <c r="C26" s="351" t="inlineStr">
        <is>
          <t>Visa ···· 8384</t>
        </is>
      </c>
      <c r="D26" s="351" t="inlineStr">
        <is>
          <t>DU3Q6YHHX2</t>
        </is>
      </c>
      <c r="E26" s="352" t="n">
        <v>10443848</v>
      </c>
      <c r="F26" s="350" t="inlineStr">
        <is>
          <t>13 Tháng 7, 2026</t>
        </is>
      </c>
      <c r="G26" s="352" t="n">
        <v>10443848</v>
      </c>
      <c r="H26" s="351" t="inlineStr">
        <is>
          <t>Visa ···· 8384</t>
        </is>
      </c>
      <c r="I26" s="351" t="inlineStr">
        <is>
          <t>DU3Q6YHHX2</t>
        </is>
      </c>
      <c r="J26" s="351" t="inlineStr">
        <is>
          <t>Trang tính15</t>
        </is>
      </c>
    </row>
    <row r="27" ht="13.2" customHeight="1" s="405">
      <c r="B27" s="350" t="n">
        <v>46219</v>
      </c>
      <c r="C27" s="351" t="inlineStr">
        <is>
          <t>Visa ···· 8384</t>
        </is>
      </c>
      <c r="D27" s="351" t="inlineStr">
        <is>
          <t>6WZGRWVHX2</t>
        </is>
      </c>
      <c r="E27" s="352" t="n">
        <v>11055376</v>
      </c>
      <c r="F27" s="350" t="inlineStr">
        <is>
          <t>16 Tháng 7, 2026</t>
        </is>
      </c>
      <c r="G27" s="352" t="n">
        <v>11055376</v>
      </c>
      <c r="H27" s="351" t="inlineStr">
        <is>
          <t>Visa ···· 8384</t>
        </is>
      </c>
      <c r="I27" s="351" t="inlineStr">
        <is>
          <t>6WZGRWVHX2</t>
        </is>
      </c>
      <c r="J27" s="351" t="inlineStr">
        <is>
          <t>Trang tính15</t>
        </is>
      </c>
    </row>
    <row r="28" ht="13.2" customHeight="1" s="405">
      <c r="B28" s="350" t="n">
        <v>46222</v>
      </c>
      <c r="C28" s="351" t="inlineStr">
        <is>
          <t>Visa ···· 8384</t>
        </is>
      </c>
      <c r="D28" s="351" t="inlineStr">
        <is>
          <t>RATZDX5HX2</t>
        </is>
      </c>
      <c r="E28" s="352" t="n">
        <v>8563628</v>
      </c>
      <c r="F28" s="350" t="inlineStr">
        <is>
          <t>19 Tháng 7, 2026</t>
        </is>
      </c>
      <c r="G28" s="352" t="n">
        <v>8563628</v>
      </c>
      <c r="H28" s="351" t="inlineStr">
        <is>
          <t>Visa ···· 8384</t>
        </is>
      </c>
      <c r="I28" s="351" t="inlineStr">
        <is>
          <t>RATZDX5HX2</t>
        </is>
      </c>
      <c r="J28" s="351" t="inlineStr">
        <is>
          <t>Trang tính15</t>
        </is>
      </c>
    </row>
    <row r="29" ht="13.2" customHeight="1" s="405">
      <c r="B29" s="350" t="n">
        <v>46225</v>
      </c>
      <c r="C29" s="351" t="inlineStr">
        <is>
          <t>Visa ···· 8384</t>
        </is>
      </c>
      <c r="D29" s="351" t="inlineStr">
        <is>
          <t>PEL7DXVHX2</t>
        </is>
      </c>
      <c r="E29" s="352" t="n">
        <v>9636528</v>
      </c>
      <c r="F29" s="350" t="inlineStr">
        <is>
          <t>22 Tháng 7, 2026</t>
        </is>
      </c>
      <c r="G29" s="352" t="n">
        <v>9636528</v>
      </c>
      <c r="H29" s="351" t="inlineStr">
        <is>
          <t>Visa ···· 8384</t>
        </is>
      </c>
      <c r="I29" s="351" t="inlineStr">
        <is>
          <t>PEL7DXVHX2</t>
        </is>
      </c>
      <c r="J29" s="351" t="inlineStr">
        <is>
          <t>Trang tính15</t>
        </is>
      </c>
    </row>
    <row r="30" ht="13.2" customHeight="1" s="405">
      <c r="B30" s="350" t="n">
        <v>46229</v>
      </c>
      <c r="C30" s="351" t="inlineStr">
        <is>
          <t>Visa ···· 8384</t>
        </is>
      </c>
      <c r="D30" s="351" t="inlineStr">
        <is>
          <t>6MX383NHX4</t>
        </is>
      </c>
      <c r="E30" s="352" t="n">
        <v>11099450</v>
      </c>
      <c r="F30" s="350" t="inlineStr">
        <is>
          <t>26 Tháng 7, 2026</t>
        </is>
      </c>
      <c r="G30" s="352" t="n">
        <v>11099450</v>
      </c>
      <c r="H30" s="351" t="inlineStr">
        <is>
          <t>Visa ···· 8384</t>
        </is>
      </c>
      <c r="I30" s="351" t="inlineStr">
        <is>
          <t>6MX383NHX4</t>
        </is>
      </c>
      <c r="J30" s="351" t="inlineStr">
        <is>
          <t>Trang tính15</t>
        </is>
      </c>
    </row>
    <row r="31" ht="13.2" customHeight="1" s="405">
      <c r="B31" s="350" t="n">
        <v>46233</v>
      </c>
      <c r="C31" s="351" t="inlineStr">
        <is>
          <t>Visa ···· 8384</t>
        </is>
      </c>
      <c r="D31" s="351" t="inlineStr">
        <is>
          <t>VWLT22EHX4</t>
        </is>
      </c>
      <c r="E31" s="352" t="n">
        <v>11099450</v>
      </c>
      <c r="F31" s="350" t="inlineStr">
        <is>
          <t>30 Tháng 7, 2026</t>
        </is>
      </c>
      <c r="G31" s="352" t="n">
        <v>11099450</v>
      </c>
      <c r="H31" s="351" t="inlineStr">
        <is>
          <t>Visa ···· 8384</t>
        </is>
      </c>
      <c r="I31" s="351" t="inlineStr">
        <is>
          <t>VWLT22EHX4</t>
        </is>
      </c>
      <c r="J31" s="351" t="inlineStr">
        <is>
          <t>Trang tính15</t>
        </is>
      </c>
    </row>
    <row r="32" ht="13.2" customHeight="1" s="405">
      <c r="B32" s="350" t="n">
        <v>46234</v>
      </c>
      <c r="C32" s="351" t="inlineStr">
        <is>
          <t>Visa ···· 8384</t>
        </is>
      </c>
      <c r="D32" s="351" t="inlineStr">
        <is>
          <t>MNR4U3NHX4</t>
        </is>
      </c>
      <c r="E32" s="352" t="n">
        <v>10971181</v>
      </c>
      <c r="F32" s="350" t="inlineStr">
        <is>
          <t>31 Tháng 7, 2026</t>
        </is>
      </c>
      <c r="G32" s="352" t="n">
        <v>10971181</v>
      </c>
      <c r="H32" s="351" t="inlineStr">
        <is>
          <t>Visa ···· 8384</t>
        </is>
      </c>
      <c r="I32" s="351" t="inlineStr">
        <is>
          <t>MNR4U3NHX4</t>
        </is>
      </c>
      <c r="J32" s="351" t="inlineStr">
        <is>
          <t>Trang tính15</t>
        </is>
      </c>
    </row>
    <row r="33" ht="13.2" customHeight="1" s="405">
      <c r="B33" s="94" t="n"/>
      <c r="C33" s="94" t="n"/>
      <c r="D33" s="94" t="n"/>
      <c r="E33" s="94" t="n"/>
    </row>
    <row r="34" ht="13.2" customHeight="1" s="405">
      <c r="B34" s="355" t="n">
        <v>46204</v>
      </c>
      <c r="C34" s="356" t="inlineStr">
        <is>
          <t>Visa ···· 8384</t>
        </is>
      </c>
      <c r="D34" s="356" t="inlineStr">
        <is>
          <t>SM4MKYRHX2</t>
        </is>
      </c>
      <c r="E34" s="357" t="n">
        <v>1042147</v>
      </c>
      <c r="F34" s="462" t="inlineStr">
        <is>
          <t>1 Tháng 7, 2026</t>
        </is>
      </c>
      <c r="G34" s="463" t="n">
        <v>1042147</v>
      </c>
      <c r="H34" s="464" t="inlineStr">
        <is>
          <t>Visa ···· 8384</t>
        </is>
      </c>
      <c r="I34" s="464" t="inlineStr">
        <is>
          <t>SM4MKYRHX2</t>
        </is>
      </c>
      <c r="J34" s="464" t="inlineStr">
        <is>
          <t>Trang tính16</t>
        </is>
      </c>
    </row>
    <row r="35" ht="13.2" customHeight="1" s="405">
      <c r="B35" s="355" t="n">
        <v>46204</v>
      </c>
      <c r="C35" s="356" t="inlineStr">
        <is>
          <t>Visa ···· 8384</t>
        </is>
      </c>
      <c r="D35" s="356" t="inlineStr">
        <is>
          <t>QY9X4WZGX2</t>
        </is>
      </c>
      <c r="E35" s="357" t="n">
        <v>1061193</v>
      </c>
      <c r="F35" s="462" t="inlineStr">
        <is>
          <t>1 Tháng 7, 2026</t>
        </is>
      </c>
      <c r="G35" s="463" t="n">
        <v>1061193</v>
      </c>
      <c r="H35" s="464" t="inlineStr">
        <is>
          <t>Visa ···· 8384</t>
        </is>
      </c>
      <c r="I35" s="464" t="inlineStr">
        <is>
          <t>QY9X4WZGX2</t>
        </is>
      </c>
      <c r="J35" s="464" t="inlineStr">
        <is>
          <t>Trang tính16</t>
        </is>
      </c>
    </row>
    <row r="36" ht="13.2" customHeight="1" s="405">
      <c r="B36" s="355" t="n">
        <v>46204</v>
      </c>
      <c r="C36" s="356" t="inlineStr">
        <is>
          <t>Visa ···· 8384</t>
        </is>
      </c>
      <c r="D36" s="356" t="inlineStr">
        <is>
          <t>TW3RVWHHX2</t>
        </is>
      </c>
      <c r="E36" s="357" t="n">
        <v>764936</v>
      </c>
      <c r="F36" s="462" t="inlineStr">
        <is>
          <t>1 Tháng 7, 2026</t>
        </is>
      </c>
      <c r="G36" s="463" t="n">
        <v>764936</v>
      </c>
      <c r="H36" s="464" t="inlineStr">
        <is>
          <t>Visa ···· 8384</t>
        </is>
      </c>
      <c r="I36" s="464" t="inlineStr">
        <is>
          <t>TW3RVWHHX2</t>
        </is>
      </c>
      <c r="J36" s="464" t="inlineStr">
        <is>
          <t>Trang tính16</t>
        </is>
      </c>
    </row>
    <row r="37" ht="13.2" customHeight="1" s="405">
      <c r="B37" s="355" t="n">
        <v>46206</v>
      </c>
      <c r="C37" s="356" t="inlineStr">
        <is>
          <t>Visa ···· 8384</t>
        </is>
      </c>
      <c r="D37" s="356" t="inlineStr">
        <is>
          <t>JL5Q4VMHX2</t>
        </is>
      </c>
      <c r="E37" s="357" t="n">
        <v>2714917</v>
      </c>
      <c r="F37" s="462" t="inlineStr">
        <is>
          <t>3 Tháng 7, 2026</t>
        </is>
      </c>
      <c r="G37" s="463" t="n">
        <v>2714917</v>
      </c>
      <c r="H37" s="464" t="inlineStr">
        <is>
          <t>Visa ···· 8384</t>
        </is>
      </c>
      <c r="I37" s="464" t="inlineStr">
        <is>
          <t>JL5Q4VMHX2</t>
        </is>
      </c>
      <c r="J37" s="464" t="inlineStr">
        <is>
          <t>Trang tính16</t>
        </is>
      </c>
    </row>
    <row r="38" ht="13.2" customHeight="1" s="405">
      <c r="B38" s="355" t="n">
        <v>46206</v>
      </c>
      <c r="C38" s="356" t="inlineStr">
        <is>
          <t>Visa ···· 8384</t>
        </is>
      </c>
      <c r="D38" s="356" t="inlineStr">
        <is>
          <t>TJYE4XHHX2</t>
        </is>
      </c>
      <c r="E38" s="357" t="n">
        <v>5956297</v>
      </c>
      <c r="F38" s="462" t="inlineStr">
        <is>
          <t>3 Tháng 7, 2026</t>
        </is>
      </c>
      <c r="G38" s="463" t="n">
        <v>5956297</v>
      </c>
      <c r="H38" s="464" t="inlineStr">
        <is>
          <t>Visa ···· 8384</t>
        </is>
      </c>
      <c r="I38" s="464" t="inlineStr">
        <is>
          <t>TJYE4XHHX2</t>
        </is>
      </c>
      <c r="J38" s="464" t="inlineStr">
        <is>
          <t>Trang tính16</t>
        </is>
      </c>
    </row>
    <row r="39" ht="13.2" customHeight="1" s="405">
      <c r="B39" s="355" t="n">
        <v>46208</v>
      </c>
      <c r="C39" s="356" t="inlineStr">
        <is>
          <t>Visa ···· 8384</t>
        </is>
      </c>
      <c r="D39" s="356" t="inlineStr">
        <is>
          <t>7XE5YV5HX2</t>
        </is>
      </c>
      <c r="E39" s="357" t="n">
        <v>1697425</v>
      </c>
      <c r="F39" s="462" t="inlineStr">
        <is>
          <t>5 Tháng 7, 2026</t>
        </is>
      </c>
      <c r="G39" s="463" t="n">
        <v>1697425</v>
      </c>
      <c r="H39" s="464" t="inlineStr">
        <is>
          <t>Visa ···· 8384</t>
        </is>
      </c>
      <c r="I39" s="464" t="inlineStr">
        <is>
          <t>7XE5YV5HX2</t>
        </is>
      </c>
      <c r="J39" s="464" t="inlineStr">
        <is>
          <t>Trang tính16</t>
        </is>
      </c>
    </row>
    <row r="40" ht="13.2" customHeight="1" s="405">
      <c r="B40" s="355" t="n">
        <v>46208</v>
      </c>
      <c r="C40" s="356" t="inlineStr">
        <is>
          <t>Visa ···· 8384</t>
        </is>
      </c>
      <c r="D40" s="356" t="inlineStr">
        <is>
          <t>G7DNCXHHX2</t>
        </is>
      </c>
      <c r="E40" s="357" t="n">
        <v>848713</v>
      </c>
      <c r="F40" s="462" t="inlineStr">
        <is>
          <t>5 Tháng 7, 2026</t>
        </is>
      </c>
      <c r="G40" s="463" t="n">
        <v>848713</v>
      </c>
      <c r="H40" s="464" t="inlineStr">
        <is>
          <t>Visa ···· 8384</t>
        </is>
      </c>
      <c r="I40" s="464" t="inlineStr">
        <is>
          <t>G7DNCXHHX2</t>
        </is>
      </c>
      <c r="J40" s="464" t="inlineStr">
        <is>
          <t>Trang tính16</t>
        </is>
      </c>
    </row>
    <row r="41" ht="13.2" customHeight="1" s="405">
      <c r="B41" s="355" t="n">
        <v>46209</v>
      </c>
      <c r="C41" s="356" t="inlineStr">
        <is>
          <t>Visa ···· 8384</t>
        </is>
      </c>
      <c r="D41" s="356" t="inlineStr">
        <is>
          <t>79QA5W9HX2</t>
        </is>
      </c>
      <c r="E41" s="357" t="n">
        <v>4645179</v>
      </c>
      <c r="F41" s="462" t="inlineStr">
        <is>
          <t>6 Tháng 7, 2026</t>
        </is>
      </c>
      <c r="G41" s="463" t="n">
        <v>4645179</v>
      </c>
      <c r="H41" s="464" t="inlineStr">
        <is>
          <t>Visa ···· 8384</t>
        </is>
      </c>
      <c r="I41" s="464" t="inlineStr">
        <is>
          <t>79QA5W9HX2</t>
        </is>
      </c>
      <c r="J41" s="464" t="inlineStr">
        <is>
          <t>Trang tính16</t>
        </is>
      </c>
    </row>
    <row r="42" ht="13.2" customHeight="1" s="405">
      <c r="B42" s="355" t="n">
        <v>46210</v>
      </c>
      <c r="C42" s="356" t="inlineStr">
        <is>
          <t>Visa ···· 8384</t>
        </is>
      </c>
      <c r="D42" s="356" t="inlineStr">
        <is>
          <t>37277W5HX2</t>
        </is>
      </c>
      <c r="E42" s="357" t="n">
        <v>6777645</v>
      </c>
      <c r="F42" s="462" t="inlineStr">
        <is>
          <t>7 Tháng 7, 2026</t>
        </is>
      </c>
      <c r="G42" s="463" t="n">
        <v>6777645</v>
      </c>
      <c r="H42" s="464" t="inlineStr">
        <is>
          <t>Visa ···· 8384</t>
        </is>
      </c>
      <c r="I42" s="464" t="inlineStr">
        <is>
          <t>37277W5HX2</t>
        </is>
      </c>
      <c r="J42" s="464" t="inlineStr">
        <is>
          <t>Trang tính16</t>
        </is>
      </c>
    </row>
    <row r="43" ht="13.2" customHeight="1" s="405">
      <c r="B43" s="355" t="n">
        <v>46213</v>
      </c>
      <c r="C43" s="356" t="inlineStr">
        <is>
          <t>Visa ···· 8384</t>
        </is>
      </c>
      <c r="D43" s="356" t="inlineStr">
        <is>
          <t>PDBBSVMHX2</t>
        </is>
      </c>
      <c r="E43" s="357" t="n">
        <v>6777645</v>
      </c>
      <c r="F43" s="462" t="inlineStr">
        <is>
          <t>10 Tháng 7, 2026</t>
        </is>
      </c>
      <c r="G43" s="463" t="n">
        <v>6777645</v>
      </c>
      <c r="H43" s="464" t="inlineStr">
        <is>
          <t>Visa ···· 8384</t>
        </is>
      </c>
      <c r="I43" s="464" t="inlineStr">
        <is>
          <t>PDBBSVMHX2</t>
        </is>
      </c>
      <c r="J43" s="464" t="inlineStr">
        <is>
          <t>Trang tính16</t>
        </is>
      </c>
    </row>
    <row r="44" ht="13.2" customHeight="1" s="405">
      <c r="B44" s="355" t="n">
        <v>46216</v>
      </c>
      <c r="C44" s="356" t="inlineStr">
        <is>
          <t>Visa ···· 8384</t>
        </is>
      </c>
      <c r="D44" s="356" t="inlineStr">
        <is>
          <t>4U7J4WMHX2</t>
        </is>
      </c>
      <c r="E44" s="357" t="n">
        <v>6322564</v>
      </c>
      <c r="F44" s="462" t="inlineStr">
        <is>
          <t>13 Tháng 7, 2026</t>
        </is>
      </c>
      <c r="G44" s="463" t="n">
        <v>6322564</v>
      </c>
      <c r="H44" s="464" t="inlineStr">
        <is>
          <t>Visa ···· 8384</t>
        </is>
      </c>
      <c r="I44" s="464" t="inlineStr">
        <is>
          <t>4U7J4WMHX2</t>
        </is>
      </c>
      <c r="J44" s="464" t="inlineStr">
        <is>
          <t>Trang tính16</t>
        </is>
      </c>
    </row>
    <row r="45" ht="13.2" customHeight="1" s="405">
      <c r="B45" s="355" t="n">
        <v>46218</v>
      </c>
      <c r="C45" s="356" t="inlineStr">
        <is>
          <t>Visa ···· 8384</t>
        </is>
      </c>
      <c r="D45" s="356" t="inlineStr">
        <is>
          <t>FUV8EYHHX2</t>
        </is>
      </c>
      <c r="E45" s="357" t="n">
        <v>5853148</v>
      </c>
      <c r="F45" s="462" t="inlineStr">
        <is>
          <t>15 Tháng 7, 2026</t>
        </is>
      </c>
      <c r="G45" s="463" t="n">
        <v>5853148</v>
      </c>
      <c r="H45" s="464" t="inlineStr">
        <is>
          <t>Visa ···· 8384</t>
        </is>
      </c>
      <c r="I45" s="464" t="inlineStr">
        <is>
          <t>FUV8EYHHX2</t>
        </is>
      </c>
      <c r="J45" s="464" t="inlineStr">
        <is>
          <t>Trang tính16</t>
        </is>
      </c>
    </row>
    <row r="46" ht="13.2" customHeight="1" s="405">
      <c r="B46" s="355" t="n">
        <v>46218</v>
      </c>
      <c r="C46" s="356" t="inlineStr">
        <is>
          <t>Visa ···· 8384</t>
        </is>
      </c>
      <c r="D46" s="356" t="inlineStr">
        <is>
          <t>L4PS3X9HX2</t>
        </is>
      </c>
      <c r="E46" s="357" t="n">
        <v>836164</v>
      </c>
      <c r="F46" s="462" t="inlineStr">
        <is>
          <t>15 Tháng 7, 2026</t>
        </is>
      </c>
      <c r="G46" s="463" t="n">
        <v>836164</v>
      </c>
      <c r="H46" s="464" t="inlineStr">
        <is>
          <t>Visa ···· 8384</t>
        </is>
      </c>
      <c r="I46" s="464" t="inlineStr">
        <is>
          <t>L4PS3X9HX2</t>
        </is>
      </c>
      <c r="J46" s="464" t="inlineStr">
        <is>
          <t>Trang tính16</t>
        </is>
      </c>
    </row>
    <row r="47" ht="13.2" customHeight="1" s="405">
      <c r="B47" s="355" t="n">
        <v>46221</v>
      </c>
      <c r="C47" s="356" t="inlineStr">
        <is>
          <t>Visa ···· 8384</t>
        </is>
      </c>
      <c r="D47" s="356" t="inlineStr">
        <is>
          <t>TUSQNYHHX2</t>
        </is>
      </c>
      <c r="E47" s="357" t="n">
        <v>6686277</v>
      </c>
      <c r="F47" s="462" t="inlineStr">
        <is>
          <t>18 Tháng 7, 2026</t>
        </is>
      </c>
      <c r="G47" s="463" t="n">
        <v>6686277</v>
      </c>
      <c r="H47" s="464" t="inlineStr">
        <is>
          <t>Visa ···· 8384</t>
        </is>
      </c>
      <c r="I47" s="464" t="inlineStr">
        <is>
          <t>TUSQNYHHX2</t>
        </is>
      </c>
      <c r="J47" s="464" t="inlineStr">
        <is>
          <t>Trang tính16</t>
        </is>
      </c>
    </row>
    <row r="48" ht="13.2" customHeight="1" s="405">
      <c r="B48" s="355" t="n">
        <v>46223</v>
      </c>
      <c r="C48" s="356" t="inlineStr">
        <is>
          <t>Visa ···· 8384</t>
        </is>
      </c>
      <c r="D48" s="356" t="inlineStr">
        <is>
          <t>4FNJVWMHX2</t>
        </is>
      </c>
      <c r="E48" s="357" t="n">
        <v>7653187</v>
      </c>
      <c r="F48" s="462" t="inlineStr">
        <is>
          <t>20 Tháng 7, 2026</t>
        </is>
      </c>
      <c r="G48" s="463" t="n">
        <v>7653187</v>
      </c>
      <c r="H48" s="464" t="inlineStr">
        <is>
          <t>Visa ···· 8384</t>
        </is>
      </c>
      <c r="I48" s="464" t="inlineStr">
        <is>
          <t>4FNJVWMHX2</t>
        </is>
      </c>
      <c r="J48" s="464" t="inlineStr">
        <is>
          <t>Trang tính16</t>
        </is>
      </c>
    </row>
    <row r="49" ht="13.2" customHeight="1" s="405">
      <c r="B49" s="355" t="n">
        <v>46227</v>
      </c>
      <c r="C49" s="356" t="inlineStr">
        <is>
          <t>Visa ···· 8384</t>
        </is>
      </c>
      <c r="D49" s="356" t="inlineStr">
        <is>
          <t>FCKJBXMHX2</t>
        </is>
      </c>
      <c r="E49" s="357" t="n">
        <v>8485360</v>
      </c>
      <c r="F49" s="462" t="inlineStr">
        <is>
          <t>24 Tháng 7, 2026</t>
        </is>
      </c>
      <c r="G49" s="463" t="n">
        <v>8485360</v>
      </c>
      <c r="H49" s="464" t="inlineStr">
        <is>
          <t>Visa ···· 8384</t>
        </is>
      </c>
      <c r="I49" s="464" t="inlineStr">
        <is>
          <t>FCKJBXMHX2</t>
        </is>
      </c>
      <c r="J49" s="464" t="inlineStr">
        <is>
          <t>Trang tính16</t>
        </is>
      </c>
    </row>
    <row r="50" ht="13.2" customHeight="1" s="405">
      <c r="B50" s="355" t="n">
        <v>46227</v>
      </c>
      <c r="C50" s="356" t="inlineStr">
        <is>
          <t>Khoản tín dụng quảng cáo</t>
        </is>
      </c>
      <c r="D50" s="356" t="inlineStr">
        <is>
          <t>—</t>
        </is>
      </c>
      <c r="E50" s="357" t="n">
        <v>76</v>
      </c>
      <c r="F50" s="462" t="n"/>
      <c r="G50" s="463" t="n"/>
      <c r="H50" s="464" t="n"/>
      <c r="I50" s="464" t="n"/>
      <c r="J50" s="464" t="n"/>
    </row>
    <row r="51" ht="13.2" customHeight="1" s="405">
      <c r="B51" s="355" t="n">
        <v>46230</v>
      </c>
      <c r="C51" s="356" t="inlineStr">
        <is>
          <t>Visa ···· 8384</t>
        </is>
      </c>
      <c r="D51" s="356" t="inlineStr">
        <is>
          <t>ZUCFAY5HX2</t>
        </is>
      </c>
      <c r="E51" s="357" t="n">
        <v>8039837</v>
      </c>
      <c r="F51" s="462" t="inlineStr">
        <is>
          <t>27 Tháng 7, 2026</t>
        </is>
      </c>
      <c r="G51" s="463" t="n">
        <v>8039837</v>
      </c>
      <c r="H51" s="464" t="inlineStr">
        <is>
          <t>Visa ···· 8384</t>
        </is>
      </c>
      <c r="I51" s="464" t="inlineStr">
        <is>
          <t>ZUCFAY5HX2</t>
        </is>
      </c>
      <c r="J51" s="464" t="inlineStr">
        <is>
          <t>Trang tính16</t>
        </is>
      </c>
    </row>
    <row r="52" ht="13.2" customHeight="1" s="405">
      <c r="B52" s="355" t="n">
        <v>46233</v>
      </c>
      <c r="C52" s="356" t="inlineStr">
        <is>
          <t>Visa ···· 8384</t>
        </is>
      </c>
      <c r="D52" s="356" t="inlineStr">
        <is>
          <t>3R2K9ZZGX2</t>
        </is>
      </c>
      <c r="E52" s="357" t="n">
        <v>8039837</v>
      </c>
      <c r="F52" s="462" t="inlineStr">
        <is>
          <t>30 Tháng 7, 2026</t>
        </is>
      </c>
      <c r="G52" s="463" t="n">
        <v>8039837</v>
      </c>
      <c r="H52" s="464" t="inlineStr">
        <is>
          <t>Visa ···· 8384</t>
        </is>
      </c>
      <c r="I52" s="464" t="inlineStr">
        <is>
          <t>3R2K9ZZGX2</t>
        </is>
      </c>
      <c r="J52" s="464" t="inlineStr">
        <is>
          <t>Trang tính16</t>
        </is>
      </c>
    </row>
    <row r="53" ht="13.2" customHeight="1" s="405">
      <c r="B53" s="355" t="n">
        <v>46234</v>
      </c>
      <c r="C53" s="356" t="inlineStr">
        <is>
          <t>Visa ···· 8384</t>
        </is>
      </c>
      <c r="D53" s="356" t="inlineStr">
        <is>
          <t>CKK382EHX4</t>
        </is>
      </c>
      <c r="E53" s="357" t="n">
        <v>4021221</v>
      </c>
      <c r="F53" s="462" t="inlineStr">
        <is>
          <t>31 Tháng 7, 2026</t>
        </is>
      </c>
      <c r="G53" s="463" t="n">
        <v>4021221</v>
      </c>
      <c r="H53" s="464" t="inlineStr">
        <is>
          <t>Visa ···· 8384</t>
        </is>
      </c>
      <c r="I53" s="464" t="inlineStr">
        <is>
          <t>CKK382EHX4</t>
        </is>
      </c>
      <c r="J53" s="464" t="inlineStr">
        <is>
          <t>Trang tính16</t>
        </is>
      </c>
    </row>
    <row r="54"/>
    <row r="55" ht="13.2" customHeight="1" s="405">
      <c r="B55" s="358" t="n">
        <v>46205</v>
      </c>
      <c r="C55" s="359" t="inlineStr">
        <is>
          <t>Visa ···· 8384</t>
        </is>
      </c>
      <c r="D55" s="359" t="inlineStr">
        <is>
          <t>KKNCNYRHX2</t>
        </is>
      </c>
      <c r="E55" s="360" t="n">
        <v>537980</v>
      </c>
      <c r="F55" s="465" t="inlineStr">
        <is>
          <t>2 Tháng 7, 2026</t>
        </is>
      </c>
      <c r="G55" s="466" t="n">
        <v>537980</v>
      </c>
      <c r="H55" s="467" t="inlineStr">
        <is>
          <t>Visa ···· 8384</t>
        </is>
      </c>
      <c r="I55" s="467" t="inlineStr">
        <is>
          <t>KKNCNYRHX2</t>
        </is>
      </c>
      <c r="J55" s="467" t="inlineStr">
        <is>
          <t>Trang tính3</t>
        </is>
      </c>
    </row>
    <row r="56" ht="13.2" customHeight="1" s="405">
      <c r="B56" s="358" t="n">
        <v>46205</v>
      </c>
      <c r="C56" s="359" t="inlineStr">
        <is>
          <t>Visa ···· 8384</t>
        </is>
      </c>
      <c r="D56" s="359" t="inlineStr">
        <is>
          <t>8FPGNV5HX2</t>
        </is>
      </c>
      <c r="E56" s="360" t="n">
        <v>452290</v>
      </c>
      <c r="F56" s="465" t="inlineStr">
        <is>
          <t>2 Tháng 7, 2026</t>
        </is>
      </c>
      <c r="G56" s="466" t="n">
        <v>452290</v>
      </c>
      <c r="H56" s="467" t="inlineStr">
        <is>
          <t>Visa ···· 8384</t>
        </is>
      </c>
      <c r="I56" s="467" t="inlineStr">
        <is>
          <t>8FPGNV5HX2</t>
        </is>
      </c>
      <c r="J56" s="467" t="inlineStr">
        <is>
          <t>Trang tính3</t>
        </is>
      </c>
    </row>
    <row r="57" ht="13.2" customHeight="1" s="405">
      <c r="B57" s="358" t="n">
        <v>46205</v>
      </c>
      <c r="C57" s="359" t="inlineStr">
        <is>
          <t>Visa ···· 8384</t>
        </is>
      </c>
      <c r="D57" s="359" t="inlineStr">
        <is>
          <t>5UK7RV9HX2</t>
        </is>
      </c>
      <c r="E57" s="360" t="n">
        <v>341342</v>
      </c>
      <c r="F57" s="465" t="inlineStr">
        <is>
          <t>2 Tháng 7, 2026</t>
        </is>
      </c>
      <c r="G57" s="466" t="n">
        <v>341342</v>
      </c>
      <c r="H57" s="467" t="inlineStr">
        <is>
          <t>Visa ···· 8384</t>
        </is>
      </c>
      <c r="I57" s="467" t="inlineStr">
        <is>
          <t>5UK7RV9HX2</t>
        </is>
      </c>
      <c r="J57" s="467" t="inlineStr">
        <is>
          <t>Trang tính3</t>
        </is>
      </c>
    </row>
    <row r="58" ht="13.2" customHeight="1" s="405">
      <c r="B58" s="358" t="n">
        <v>46205</v>
      </c>
      <c r="C58" s="359" t="inlineStr">
        <is>
          <t>Visa ···· 8384</t>
        </is>
      </c>
      <c r="D58" s="359" t="inlineStr">
        <is>
          <t>PJNTSVDHX2</t>
        </is>
      </c>
      <c r="E58" s="360" t="n">
        <v>140165</v>
      </c>
      <c r="F58" s="465" t="inlineStr">
        <is>
          <t>2 Tháng 7, 2026</t>
        </is>
      </c>
      <c r="G58" s="466" t="n">
        <v>140165</v>
      </c>
      <c r="H58" s="467" t="inlineStr">
        <is>
          <t>Visa ···· 8384</t>
        </is>
      </c>
      <c r="I58" s="467" t="inlineStr">
        <is>
          <t>PJNTSVDHX2</t>
        </is>
      </c>
      <c r="J58" s="467" t="inlineStr">
        <is>
          <t>Trang tính3</t>
        </is>
      </c>
    </row>
    <row r="59" ht="13.2" customHeight="1" s="405">
      <c r="B59" s="358" t="n">
        <v>46206</v>
      </c>
      <c r="C59" s="359" t="inlineStr">
        <is>
          <t>Visa ···· 8384</t>
        </is>
      </c>
      <c r="D59" s="359" t="inlineStr">
        <is>
          <t>A3MDYVDHX2</t>
        </is>
      </c>
      <c r="E59" s="360" t="n">
        <v>654313</v>
      </c>
      <c r="F59" s="465" t="inlineStr">
        <is>
          <t>3 Tháng 7, 2026</t>
        </is>
      </c>
      <c r="G59" s="466" t="n">
        <v>654313</v>
      </c>
      <c r="H59" s="467" t="inlineStr">
        <is>
          <t>Visa ···· 8384</t>
        </is>
      </c>
      <c r="I59" s="467" t="inlineStr">
        <is>
          <t>A3MDYVDHX2</t>
        </is>
      </c>
      <c r="J59" s="467" t="inlineStr">
        <is>
          <t>Trang tính3</t>
        </is>
      </c>
    </row>
    <row r="60" ht="13.2" customHeight="1" s="405">
      <c r="B60" s="358" t="n">
        <v>46206</v>
      </c>
      <c r="C60" s="359" t="inlineStr">
        <is>
          <t>Visa ···· 8384</t>
        </is>
      </c>
      <c r="D60" s="359" t="inlineStr">
        <is>
          <t>9KB5YVVGX2</t>
        </is>
      </c>
      <c r="E60" s="360" t="n">
        <v>537727</v>
      </c>
      <c r="F60" s="465" t="inlineStr">
        <is>
          <t>3 Tháng 7, 2026</t>
        </is>
      </c>
      <c r="G60" s="466" t="n">
        <v>537727</v>
      </c>
      <c r="H60" s="467" t="inlineStr">
        <is>
          <t>Visa ···· 8384</t>
        </is>
      </c>
      <c r="I60" s="467" t="inlineStr">
        <is>
          <t>9KB5YVVGX2</t>
        </is>
      </c>
      <c r="J60" s="467" t="inlineStr">
        <is>
          <t>Trang tính3</t>
        </is>
      </c>
    </row>
    <row r="61" ht="13.2" customHeight="1" s="405">
      <c r="B61" s="358" t="n">
        <v>46206</v>
      </c>
      <c r="C61" s="359" t="inlineStr">
        <is>
          <t>Visa ···· 8384</t>
        </is>
      </c>
      <c r="D61" s="359" t="inlineStr">
        <is>
          <t>WD9MTV9HX2</t>
        </is>
      </c>
      <c r="E61" s="360" t="n">
        <v>513336</v>
      </c>
      <c r="F61" s="465" t="inlineStr">
        <is>
          <t>3 Tháng 7, 2026</t>
        </is>
      </c>
      <c r="G61" s="466" t="n">
        <v>513336</v>
      </c>
      <c r="H61" s="467" t="inlineStr">
        <is>
          <t>Visa ···· 8384</t>
        </is>
      </c>
      <c r="I61" s="467" t="inlineStr">
        <is>
          <t>WD9MTV9HX2</t>
        </is>
      </c>
      <c r="J61" s="467" t="inlineStr">
        <is>
          <t>Trang tính3</t>
        </is>
      </c>
    </row>
    <row r="62" ht="13.2" customHeight="1" s="405">
      <c r="B62" s="358" t="n">
        <v>46206</v>
      </c>
      <c r="C62" s="359" t="inlineStr">
        <is>
          <t>Visa ···· 8384</t>
        </is>
      </c>
      <c r="D62" s="359" t="inlineStr">
        <is>
          <t>FB67BWZGX2</t>
        </is>
      </c>
      <c r="E62" s="360" t="n">
        <v>473763</v>
      </c>
      <c r="F62" s="465" t="inlineStr">
        <is>
          <t>3 Tháng 7, 2026</t>
        </is>
      </c>
      <c r="G62" s="466" t="n">
        <v>473763</v>
      </c>
      <c r="H62" s="467" t="inlineStr">
        <is>
          <t>Visa ···· 8384</t>
        </is>
      </c>
      <c r="I62" s="467" t="inlineStr">
        <is>
          <t>FB67BWZGX2</t>
        </is>
      </c>
      <c r="J62" s="467" t="inlineStr">
        <is>
          <t>Trang tính3</t>
        </is>
      </c>
    </row>
    <row r="63" ht="13.2" customHeight="1" s="405">
      <c r="B63" s="358" t="n">
        <v>46206</v>
      </c>
      <c r="C63" s="359" t="inlineStr">
        <is>
          <t>Visa ···· 8384</t>
        </is>
      </c>
      <c r="D63" s="359" t="inlineStr">
        <is>
          <t>646DTV9HX2</t>
        </is>
      </c>
      <c r="E63" s="360" t="n">
        <v>455869</v>
      </c>
      <c r="F63" s="465" t="inlineStr">
        <is>
          <t>3 Tháng 7, 2026</t>
        </is>
      </c>
      <c r="G63" s="466" t="n">
        <v>455869</v>
      </c>
      <c r="H63" s="467" t="inlineStr">
        <is>
          <t>Visa ···· 8384</t>
        </is>
      </c>
      <c r="I63" s="467" t="inlineStr">
        <is>
          <t>646DTV9HX2</t>
        </is>
      </c>
      <c r="J63" s="467" t="inlineStr">
        <is>
          <t>Trang tính3</t>
        </is>
      </c>
    </row>
    <row r="64" ht="13.2" customHeight="1" s="405">
      <c r="B64" s="358" t="n">
        <v>46207</v>
      </c>
      <c r="C64" s="359" t="inlineStr">
        <is>
          <t>Visa ···· 8384</t>
        </is>
      </c>
      <c r="D64" s="359" t="inlineStr">
        <is>
          <t>2AP6GWZGX2</t>
        </is>
      </c>
      <c r="E64" s="360" t="n">
        <v>855261</v>
      </c>
      <c r="F64" s="465" t="inlineStr">
        <is>
          <t>4 Tháng 7, 2026</t>
        </is>
      </c>
      <c r="G64" s="466" t="n">
        <v>855261</v>
      </c>
      <c r="H64" s="467" t="inlineStr">
        <is>
          <t>Visa ···· 8384</t>
        </is>
      </c>
      <c r="I64" s="467" t="inlineStr">
        <is>
          <t>2AP6GWZGX2</t>
        </is>
      </c>
      <c r="J64" s="467" t="inlineStr">
        <is>
          <t>Trang tính3</t>
        </is>
      </c>
    </row>
    <row r="65" ht="13.2" customHeight="1" s="405">
      <c r="B65" s="358" t="n">
        <v>46207</v>
      </c>
      <c r="C65" s="359" t="inlineStr">
        <is>
          <t>Visa ···· 8384</t>
        </is>
      </c>
      <c r="D65" s="359" t="inlineStr">
        <is>
          <t>J375WV9HX2</t>
        </is>
      </c>
      <c r="E65" s="360" t="n">
        <v>666620</v>
      </c>
      <c r="F65" s="465" t="inlineStr">
        <is>
          <t>4 Tháng 7, 2026</t>
        </is>
      </c>
      <c r="G65" s="466" t="n">
        <v>666620</v>
      </c>
      <c r="H65" s="467" t="inlineStr">
        <is>
          <t>Visa ···· 8384</t>
        </is>
      </c>
      <c r="I65" s="467" t="inlineStr">
        <is>
          <t>J375WV9HX2</t>
        </is>
      </c>
      <c r="J65" s="467" t="inlineStr">
        <is>
          <t>Trang tính3</t>
        </is>
      </c>
    </row>
    <row r="66" ht="13.2" customHeight="1" s="405">
      <c r="B66" s="358" t="n">
        <v>46208</v>
      </c>
      <c r="C66" s="359" t="inlineStr">
        <is>
          <t>Visa ···· 8384</t>
        </is>
      </c>
      <c r="D66" s="359" t="inlineStr">
        <is>
          <t>7UXH3W9HX2</t>
        </is>
      </c>
      <c r="E66" s="360" t="n">
        <v>1270035</v>
      </c>
      <c r="F66" s="465" t="inlineStr">
        <is>
          <t>5 Tháng 7, 2026</t>
        </is>
      </c>
      <c r="G66" s="466" t="n">
        <v>1270035</v>
      </c>
      <c r="H66" s="467" t="inlineStr">
        <is>
          <t>Visa ···· 8384</t>
        </is>
      </c>
      <c r="I66" s="467" t="inlineStr">
        <is>
          <t>7UXH3W9HX2</t>
        </is>
      </c>
      <c r="J66" s="467" t="inlineStr">
        <is>
          <t>Trang tính3</t>
        </is>
      </c>
    </row>
    <row r="67" ht="13.2" customHeight="1" s="405">
      <c r="B67" s="358" t="n">
        <v>46208</v>
      </c>
      <c r="C67" s="359" t="inlineStr">
        <is>
          <t>Visa ···· 8384</t>
        </is>
      </c>
      <c r="D67" s="359" t="inlineStr">
        <is>
          <t>NC2CYYRHX2</t>
        </is>
      </c>
      <c r="E67" s="360" t="n">
        <v>1097254</v>
      </c>
      <c r="F67" s="465" t="inlineStr">
        <is>
          <t>5 Tháng 7, 2026</t>
        </is>
      </c>
      <c r="G67" s="466" t="n">
        <v>1097254</v>
      </c>
      <c r="H67" s="467" t="inlineStr">
        <is>
          <t>Visa ···· 8384</t>
        </is>
      </c>
      <c r="I67" s="467" t="inlineStr">
        <is>
          <t>NC2CYYRHX2</t>
        </is>
      </c>
      <c r="J67" s="467" t="inlineStr">
        <is>
          <t>Trang tính3</t>
        </is>
      </c>
    </row>
    <row r="68" ht="13.2" customHeight="1" s="405">
      <c r="B68" s="358" t="n">
        <v>46209</v>
      </c>
      <c r="C68" s="359" t="inlineStr">
        <is>
          <t>Visa ···· 8384</t>
        </is>
      </c>
      <c r="D68" s="359" t="inlineStr">
        <is>
          <t>BZSH3ZRHX2</t>
        </is>
      </c>
      <c r="E68" s="360" t="n">
        <v>1329044</v>
      </c>
      <c r="F68" s="465" t="inlineStr">
        <is>
          <t>6 Tháng 7, 2026</t>
        </is>
      </c>
      <c r="G68" s="466" t="n">
        <v>1329044</v>
      </c>
      <c r="H68" s="467" t="inlineStr">
        <is>
          <t>Visa ···· 8384</t>
        </is>
      </c>
      <c r="I68" s="467" t="inlineStr">
        <is>
          <t>BZSH3ZRHX2</t>
        </is>
      </c>
      <c r="J68" s="467" t="inlineStr">
        <is>
          <t>Trang tính3</t>
        </is>
      </c>
    </row>
    <row r="69" ht="13.2" customHeight="1" s="405">
      <c r="B69" s="358" t="n">
        <v>46210</v>
      </c>
      <c r="C69" s="359" t="inlineStr">
        <is>
          <t>Visa ···· 8384</t>
        </is>
      </c>
      <c r="D69" s="359" t="inlineStr">
        <is>
          <t>T9BR8W9HX2</t>
        </is>
      </c>
      <c r="E69" s="360" t="n">
        <v>1536246</v>
      </c>
      <c r="F69" s="465" t="inlineStr">
        <is>
          <t>7 Tháng 7, 2026</t>
        </is>
      </c>
      <c r="G69" s="466" t="n">
        <v>1536246</v>
      </c>
      <c r="H69" s="467" t="inlineStr">
        <is>
          <t>Visa ···· 8384</t>
        </is>
      </c>
      <c r="I69" s="467" t="inlineStr">
        <is>
          <t>T9BR8W9HX2</t>
        </is>
      </c>
      <c r="J69" s="467" t="inlineStr">
        <is>
          <t>Trang tính3</t>
        </is>
      </c>
    </row>
    <row r="70" ht="13.2" customHeight="1" s="405">
      <c r="B70" s="358" t="n">
        <v>46211</v>
      </c>
      <c r="C70" s="359" t="inlineStr">
        <is>
          <t>Visa ···· 8384</t>
        </is>
      </c>
      <c r="D70" s="359" t="inlineStr">
        <is>
          <t>6L7MAW5HX2</t>
        </is>
      </c>
      <c r="E70" s="360" t="n">
        <v>2067105</v>
      </c>
      <c r="F70" s="465" t="inlineStr">
        <is>
          <t>8 Tháng 7, 2026</t>
        </is>
      </c>
      <c r="G70" s="466" t="n">
        <v>2067105</v>
      </c>
      <c r="H70" s="467" t="inlineStr">
        <is>
          <t>Visa ···· 8384</t>
        </is>
      </c>
      <c r="I70" s="467" t="inlineStr">
        <is>
          <t>6L7MAW5HX2</t>
        </is>
      </c>
      <c r="J70" s="467" t="inlineStr">
        <is>
          <t>Trang tính3</t>
        </is>
      </c>
    </row>
    <row r="71" ht="13.2" customHeight="1" s="405">
      <c r="B71" s="358" t="n">
        <v>46211</v>
      </c>
      <c r="C71" s="359" t="inlineStr">
        <is>
          <t>Visa ···· 8384</t>
        </is>
      </c>
      <c r="D71" s="359" t="inlineStr">
        <is>
          <t>YC7B8W5HX2</t>
        </is>
      </c>
      <c r="E71" s="360" t="n">
        <v>2067105</v>
      </c>
      <c r="F71" s="465" t="inlineStr">
        <is>
          <t>8 Tháng 7, 2026</t>
        </is>
      </c>
      <c r="G71" s="466" t="n">
        <v>2067105</v>
      </c>
      <c r="H71" s="467" t="inlineStr">
        <is>
          <t>Visa ···· 8384</t>
        </is>
      </c>
      <c r="I71" s="467" t="inlineStr">
        <is>
          <t>YC7B8W5HX2</t>
        </is>
      </c>
      <c r="J71" s="467" t="inlineStr">
        <is>
          <t>Trang tính3</t>
        </is>
      </c>
    </row>
    <row r="72" ht="13.2" customHeight="1" s="405">
      <c r="B72" s="358" t="n">
        <v>46212</v>
      </c>
      <c r="C72" s="359" t="inlineStr">
        <is>
          <t>Visa ···· 8384</t>
        </is>
      </c>
      <c r="D72" s="359" t="inlineStr">
        <is>
          <t>CZHFMWVGX2</t>
        </is>
      </c>
      <c r="E72" s="360" t="n">
        <v>2855090</v>
      </c>
      <c r="F72" s="465" t="inlineStr">
        <is>
          <t>9 Tháng 7, 2026</t>
        </is>
      </c>
      <c r="G72" s="466" t="n">
        <v>2855090</v>
      </c>
      <c r="H72" s="467" t="inlineStr">
        <is>
          <t>Visa ···· 8384</t>
        </is>
      </c>
      <c r="I72" s="467" t="inlineStr">
        <is>
          <t>CZHFMWVGX2</t>
        </is>
      </c>
      <c r="J72" s="467" t="inlineStr">
        <is>
          <t>Trang tính3</t>
        </is>
      </c>
    </row>
    <row r="73" ht="13.2" customHeight="1" s="405">
      <c r="B73" s="358" t="n">
        <v>46214</v>
      </c>
      <c r="C73" s="359" t="inlineStr">
        <is>
          <t>Visa ···· 8384</t>
        </is>
      </c>
      <c r="D73" s="359" t="inlineStr">
        <is>
          <t>X48ASWDHX2</t>
        </is>
      </c>
      <c r="E73" s="360" t="n">
        <v>2855090</v>
      </c>
      <c r="F73" s="465" t="inlineStr">
        <is>
          <t>11 Tháng 7, 2026</t>
        </is>
      </c>
      <c r="G73" s="466" t="n">
        <v>2855090</v>
      </c>
      <c r="H73" s="467" t="inlineStr">
        <is>
          <t>Visa ···· 8384</t>
        </is>
      </c>
      <c r="I73" s="467" t="inlineStr">
        <is>
          <t>X48ASWDHX2</t>
        </is>
      </c>
      <c r="J73" s="467" t="inlineStr">
        <is>
          <t>Trang tính3</t>
        </is>
      </c>
    </row>
    <row r="74" ht="13.2" customHeight="1" s="405">
      <c r="B74" s="358" t="n">
        <v>46215</v>
      </c>
      <c r="C74" s="359" t="inlineStr">
        <is>
          <t>Visa ···· 8384</t>
        </is>
      </c>
      <c r="D74" s="359" t="inlineStr">
        <is>
          <t>XBGWAXZGX2</t>
        </is>
      </c>
      <c r="E74" s="360" t="n">
        <v>2855090</v>
      </c>
      <c r="F74" s="465" t="inlineStr">
        <is>
          <t>12 Tháng 7, 2026</t>
        </is>
      </c>
      <c r="G74" s="466" t="n">
        <v>2855090</v>
      </c>
      <c r="H74" s="467" t="inlineStr">
        <is>
          <t>Visa ···· 8384</t>
        </is>
      </c>
      <c r="I74" s="467" t="inlineStr">
        <is>
          <t>XBGWAXZGX2</t>
        </is>
      </c>
      <c r="J74" s="467" t="inlineStr">
        <is>
          <t>Trang tính3</t>
        </is>
      </c>
    </row>
    <row r="75" ht="13.2" customHeight="1" s="405">
      <c r="B75" s="358" t="n">
        <v>46217</v>
      </c>
      <c r="C75" s="359" t="inlineStr">
        <is>
          <t>Visa ···· 8384</t>
        </is>
      </c>
      <c r="D75" s="359" t="inlineStr">
        <is>
          <t>RSTNVZRHX2</t>
        </is>
      </c>
      <c r="E75" s="360" t="n">
        <v>2855090</v>
      </c>
      <c r="F75" s="465" t="inlineStr">
        <is>
          <t>14 Tháng 7, 2026</t>
        </is>
      </c>
      <c r="G75" s="466" t="n">
        <v>2855090</v>
      </c>
      <c r="H75" s="467" t="inlineStr">
        <is>
          <t>Visa ···· 8384</t>
        </is>
      </c>
      <c r="I75" s="467" t="inlineStr">
        <is>
          <t>RSTNVZRHX2</t>
        </is>
      </c>
      <c r="J75" s="467" t="inlineStr">
        <is>
          <t>Trang tính3</t>
        </is>
      </c>
    </row>
    <row r="76" ht="13.2" customHeight="1" s="405">
      <c r="B76" s="358" t="n">
        <v>46218</v>
      </c>
      <c r="C76" s="359" t="inlineStr">
        <is>
          <t>Visa ···· 8384</t>
        </is>
      </c>
      <c r="D76" s="359" t="inlineStr">
        <is>
          <t>2TQCKXZGX2</t>
        </is>
      </c>
      <c r="E76" s="360" t="n">
        <v>2855090</v>
      </c>
      <c r="F76" s="465" t="inlineStr">
        <is>
          <t>15 Tháng 7, 2026</t>
        </is>
      </c>
      <c r="G76" s="466" t="n">
        <v>2855090</v>
      </c>
      <c r="H76" s="467" t="inlineStr">
        <is>
          <t>Visa ···· 8384</t>
        </is>
      </c>
      <c r="I76" s="467" t="inlineStr">
        <is>
          <t>2TQCKXZGX2</t>
        </is>
      </c>
      <c r="J76" s="467" t="inlineStr">
        <is>
          <t>Trang tính3</t>
        </is>
      </c>
    </row>
    <row r="77" ht="13.2" customHeight="1" s="405">
      <c r="B77" s="358" t="n">
        <v>46220</v>
      </c>
      <c r="C77" s="359" t="inlineStr">
        <is>
          <t>Visa ···· 8384</t>
        </is>
      </c>
      <c r="D77" s="359" t="inlineStr">
        <is>
          <t>VC53UXZGX2</t>
        </is>
      </c>
      <c r="E77" s="360" t="n">
        <v>2855090</v>
      </c>
      <c r="F77" s="465" t="inlineStr">
        <is>
          <t>17 Tháng 7, 2026</t>
        </is>
      </c>
      <c r="G77" s="466" t="n">
        <v>2855090</v>
      </c>
      <c r="H77" s="467" t="inlineStr">
        <is>
          <t>Visa ···· 8384</t>
        </is>
      </c>
      <c r="I77" s="467" t="inlineStr">
        <is>
          <t>VC53UXZGX2</t>
        </is>
      </c>
      <c r="J77" s="467" t="inlineStr">
        <is>
          <t>Trang tính3</t>
        </is>
      </c>
    </row>
    <row r="78" ht="13.2" customHeight="1" s="405">
      <c r="B78" s="358" t="n">
        <v>46220</v>
      </c>
      <c r="C78" s="359" t="inlineStr">
        <is>
          <t>Visa ···· 8384</t>
        </is>
      </c>
      <c r="D78" s="359" t="inlineStr">
        <is>
          <t>ZCMJHWMHX2</t>
        </is>
      </c>
      <c r="E78" s="360" t="n">
        <v>2855090</v>
      </c>
      <c r="F78" s="465" t="inlineStr">
        <is>
          <t>17 Tháng 7, 2026</t>
        </is>
      </c>
      <c r="G78" s="466" t="n">
        <v>2855090</v>
      </c>
      <c r="H78" s="467" t="inlineStr">
        <is>
          <t>Visa ···· 8384</t>
        </is>
      </c>
      <c r="I78" s="467" t="inlineStr">
        <is>
          <t>ZCMJHWMHX2</t>
        </is>
      </c>
      <c r="J78" s="467" t="inlineStr">
        <is>
          <t>Trang tính3</t>
        </is>
      </c>
    </row>
    <row r="79" ht="13.2" customHeight="1" s="405">
      <c r="B79" s="358" t="n">
        <v>46222</v>
      </c>
      <c r="C79" s="359" t="inlineStr">
        <is>
          <t>Visa ···· 8384</t>
        </is>
      </c>
      <c r="D79" s="359" t="inlineStr">
        <is>
          <t>ZXCQMXDHX2</t>
        </is>
      </c>
      <c r="E79" s="360" t="n">
        <v>4524443</v>
      </c>
      <c r="F79" s="465" t="inlineStr">
        <is>
          <t>19 Tháng 7, 2026</t>
        </is>
      </c>
      <c r="G79" s="466" t="n">
        <v>4524443</v>
      </c>
      <c r="H79" s="467" t="inlineStr">
        <is>
          <t>Visa ···· 8384</t>
        </is>
      </c>
      <c r="I79" s="467" t="inlineStr">
        <is>
          <t>ZXCQMXDHX2</t>
        </is>
      </c>
      <c r="J79" s="467" t="inlineStr">
        <is>
          <t>Trang tính3</t>
        </is>
      </c>
    </row>
    <row r="80" ht="13.2" customHeight="1" s="405">
      <c r="B80" s="358" t="n">
        <v>46224</v>
      </c>
      <c r="C80" s="359" t="inlineStr">
        <is>
          <t>Visa ···· 8384</t>
        </is>
      </c>
      <c r="D80" s="359" t="inlineStr">
        <is>
          <t>QJ9WPX9HX2</t>
        </is>
      </c>
      <c r="E80" s="360" t="n">
        <v>4524443</v>
      </c>
      <c r="F80" s="465" t="inlineStr">
        <is>
          <t>21 Tháng 7, 2026</t>
        </is>
      </c>
      <c r="G80" s="466" t="n">
        <v>4524443</v>
      </c>
      <c r="H80" s="467" t="inlineStr">
        <is>
          <t>Visa ···· 8384</t>
        </is>
      </c>
      <c r="I80" s="467" t="inlineStr">
        <is>
          <t>QJ9WPX9HX2</t>
        </is>
      </c>
      <c r="J80" s="467" t="inlineStr">
        <is>
          <t>Trang tính3</t>
        </is>
      </c>
    </row>
    <row r="81" ht="13.2" customHeight="1" s="405">
      <c r="B81" s="358" t="n">
        <v>46226</v>
      </c>
      <c r="C81" s="359" t="inlineStr">
        <is>
          <t>Visa ···· 8384</t>
        </is>
      </c>
      <c r="D81" s="359" t="inlineStr">
        <is>
          <t>EXNE7XMHX2</t>
        </is>
      </c>
      <c r="E81" s="360" t="n">
        <v>4524443</v>
      </c>
      <c r="F81" s="465" t="inlineStr">
        <is>
          <t>23 Tháng 7, 2026</t>
        </is>
      </c>
      <c r="G81" s="466" t="n">
        <v>4524443</v>
      </c>
      <c r="H81" s="467" t="inlineStr">
        <is>
          <t>Visa ···· 8384</t>
        </is>
      </c>
      <c r="I81" s="467" t="inlineStr">
        <is>
          <t>EXNE7XMHX2</t>
        </is>
      </c>
      <c r="J81" s="467" t="inlineStr">
        <is>
          <t>Trang tính3</t>
        </is>
      </c>
    </row>
    <row r="82" ht="13.2" customHeight="1" s="405">
      <c r="B82" s="358" t="n">
        <v>46228</v>
      </c>
      <c r="C82" s="359" t="inlineStr">
        <is>
          <t>Visa ···· 8384</t>
        </is>
      </c>
      <c r="D82" s="359" t="inlineStr">
        <is>
          <t>6VKDRXVHX2</t>
        </is>
      </c>
      <c r="E82" s="360" t="n">
        <v>4524443</v>
      </c>
      <c r="F82" s="465" t="inlineStr">
        <is>
          <t>25 Tháng 7, 2026</t>
        </is>
      </c>
      <c r="G82" s="466" t="n">
        <v>4524443</v>
      </c>
      <c r="H82" s="467" t="inlineStr">
        <is>
          <t>Visa ···· 8384</t>
        </is>
      </c>
      <c r="I82" s="467" t="inlineStr">
        <is>
          <t>6VKDRXVHX2</t>
        </is>
      </c>
      <c r="J82" s="467" t="inlineStr">
        <is>
          <t>Trang tính3</t>
        </is>
      </c>
    </row>
    <row r="83" ht="13.2" customHeight="1" s="405">
      <c r="B83" s="358" t="n">
        <v>46230</v>
      </c>
      <c r="C83" s="359" t="inlineStr">
        <is>
          <t>Visa ···· 8384</t>
        </is>
      </c>
      <c r="D83" s="359" t="inlineStr">
        <is>
          <t>UV52KYVGX2</t>
        </is>
      </c>
      <c r="E83" s="360" t="n">
        <v>4524443</v>
      </c>
      <c r="F83" s="465" t="inlineStr">
        <is>
          <t>27 Tháng 7, 2026</t>
        </is>
      </c>
      <c r="G83" s="466" t="n">
        <v>4524443</v>
      </c>
      <c r="H83" s="467" t="inlineStr">
        <is>
          <t>Visa ···· 8384</t>
        </is>
      </c>
      <c r="I83" s="467" t="inlineStr">
        <is>
          <t>UV52KYVGX2</t>
        </is>
      </c>
      <c r="J83" s="467" t="inlineStr">
        <is>
          <t>Trang tính3</t>
        </is>
      </c>
    </row>
    <row r="84" ht="13.2" customHeight="1" s="405">
      <c r="B84" s="358" t="n">
        <v>46233</v>
      </c>
      <c r="C84" s="359" t="inlineStr">
        <is>
          <t>Visa ···· 8384</t>
        </is>
      </c>
      <c r="D84" s="359" t="inlineStr">
        <is>
          <t>KT23VYDHX2</t>
        </is>
      </c>
      <c r="E84" s="360" t="n">
        <v>4524443</v>
      </c>
      <c r="F84" s="465" t="inlineStr">
        <is>
          <t>30 Tháng 7, 2026</t>
        </is>
      </c>
      <c r="G84" s="466" t="n">
        <v>4524443</v>
      </c>
      <c r="H84" s="467" t="inlineStr">
        <is>
          <t>Visa ···· 8384</t>
        </is>
      </c>
      <c r="I84" s="467" t="inlineStr">
        <is>
          <t>KT23VYDHX2</t>
        </is>
      </c>
      <c r="J84" s="467" t="inlineStr">
        <is>
          <t>Trang tính3</t>
        </is>
      </c>
    </row>
    <row r="85" ht="13.2" customHeight="1" s="405">
      <c r="B85" s="358" t="n">
        <v>46234</v>
      </c>
      <c r="C85" s="359" t="inlineStr">
        <is>
          <t>Visa ···· 8384</t>
        </is>
      </c>
      <c r="D85" s="359" t="inlineStr">
        <is>
          <t>SV5QSY5HX2</t>
        </is>
      </c>
      <c r="E85" s="360" t="n">
        <v>3540539</v>
      </c>
      <c r="F85" s="465" t="inlineStr">
        <is>
          <t>31 Tháng 7, 2026</t>
        </is>
      </c>
      <c r="G85" s="466" t="n">
        <v>3540539</v>
      </c>
      <c r="H85" s="467" t="inlineStr">
        <is>
          <t>Visa ···· 8384</t>
        </is>
      </c>
      <c r="I85" s="467" t="inlineStr">
        <is>
          <t>SV5QSY5HX2</t>
        </is>
      </c>
      <c r="J85" s="467" t="inlineStr">
        <is>
          <t>Trang tính3</t>
        </is>
      </c>
    </row>
    <row r="86"/>
    <row r="87" ht="13.2" customHeight="1" s="405">
      <c r="B87" s="361" t="n">
        <v>46206</v>
      </c>
      <c r="C87" s="362" t="inlineStr">
        <is>
          <t>Visa ···· 8384</t>
        </is>
      </c>
      <c r="D87" s="362" t="inlineStr">
        <is>
          <t>JJEZHU5AF2</t>
        </is>
      </c>
      <c r="E87" s="363" t="n">
        <v>37048</v>
      </c>
      <c r="F87" s="468" t="inlineStr">
        <is>
          <t>3 Tháng 7, 2026</t>
        </is>
      </c>
      <c r="G87" s="469" t="n">
        <v>37048</v>
      </c>
      <c r="H87" s="470" t="inlineStr">
        <is>
          <t>Visa ···· 8384</t>
        </is>
      </c>
      <c r="I87" s="470" t="inlineStr">
        <is>
          <t>JJEZHU5AF2</t>
        </is>
      </c>
      <c r="J87" s="470" t="inlineStr">
        <is>
          <t>01 Quang Huy ADS (+8) (10221992</t>
        </is>
      </c>
    </row>
    <row r="88" ht="13.2" customHeight="1" s="405">
      <c r="B88" s="361" t="n">
        <v>46206</v>
      </c>
      <c r="C88" s="362" t="inlineStr">
        <is>
          <t>Visa ···· 8384</t>
        </is>
      </c>
      <c r="D88" s="362" t="inlineStr">
        <is>
          <t>2HA7QV9AF2</t>
        </is>
      </c>
      <c r="E88" s="363" t="n">
        <v>58313</v>
      </c>
      <c r="F88" s="468" t="inlineStr">
        <is>
          <t>3 Tháng 7, 2026</t>
        </is>
      </c>
      <c r="G88" s="469" t="n">
        <v>58313</v>
      </c>
      <c r="H88" s="470" t="inlineStr">
        <is>
          <t>Visa ···· 8384</t>
        </is>
      </c>
      <c r="I88" s="470" t="inlineStr">
        <is>
          <t>2HA7QV9AF2</t>
        </is>
      </c>
      <c r="J88" s="470" t="inlineStr">
        <is>
          <t>01 Quang Huy ADS (+8) (10221992</t>
        </is>
      </c>
    </row>
    <row r="89" ht="13.2" customHeight="1" s="405">
      <c r="B89" s="361" t="n">
        <v>46210</v>
      </c>
      <c r="C89" s="362" t="inlineStr">
        <is>
          <t>Visa ···· 8384</t>
        </is>
      </c>
      <c r="D89" s="362" t="inlineStr">
        <is>
          <t>YLHQNVHAF2</t>
        </is>
      </c>
      <c r="E89" s="363" t="n">
        <v>58313</v>
      </c>
      <c r="F89" s="468" t="inlineStr">
        <is>
          <t>7 Tháng 7, 2026</t>
        </is>
      </c>
      <c r="G89" s="469" t="n">
        <v>58313</v>
      </c>
      <c r="H89" s="470" t="inlineStr">
        <is>
          <t>Visa ···· 8384</t>
        </is>
      </c>
      <c r="I89" s="470" t="inlineStr">
        <is>
          <t>YLHQNVHAF2</t>
        </is>
      </c>
      <c r="J89" s="470" t="inlineStr">
        <is>
          <t>01 Quang Huy ADS (+8) (10221992</t>
        </is>
      </c>
    </row>
    <row r="90" ht="13.2" customHeight="1" s="405">
      <c r="B90" s="361" t="n">
        <v>46211</v>
      </c>
      <c r="C90" s="362" t="inlineStr">
        <is>
          <t>Visa ···· 8384</t>
        </is>
      </c>
      <c r="D90" s="362" t="inlineStr">
        <is>
          <t>9SAQ2V5AF2</t>
        </is>
      </c>
      <c r="E90" s="363" t="n">
        <v>58313</v>
      </c>
      <c r="F90" s="468" t="inlineStr">
        <is>
          <t>8 Tháng 7, 2026</t>
        </is>
      </c>
      <c r="G90" s="469" t="n">
        <v>58313</v>
      </c>
      <c r="H90" s="470" t="inlineStr">
        <is>
          <t>Visa ···· 8384</t>
        </is>
      </c>
      <c r="I90" s="470" t="inlineStr">
        <is>
          <t>9SAQ2V5AF2</t>
        </is>
      </c>
      <c r="J90" s="470" t="inlineStr">
        <is>
          <t>01 Quang Huy ADS (+8) (10221992</t>
        </is>
      </c>
    </row>
    <row r="91" ht="13.2" customHeight="1" s="405">
      <c r="B91" s="361" t="n">
        <v>46213</v>
      </c>
      <c r="C91" s="362" t="inlineStr">
        <is>
          <t>Visa ···· 8384</t>
        </is>
      </c>
      <c r="D91" s="362" t="inlineStr">
        <is>
          <t>8HGTPVZAF2</t>
        </is>
      </c>
      <c r="E91" s="363" t="n">
        <v>150902</v>
      </c>
      <c r="F91" s="468" t="inlineStr">
        <is>
          <t>10 Tháng 7, 2026</t>
        </is>
      </c>
      <c r="G91" s="469" t="n">
        <v>150902</v>
      </c>
      <c r="H91" s="470" t="inlineStr">
        <is>
          <t>Visa ···· 8384</t>
        </is>
      </c>
      <c r="I91" s="470" t="inlineStr">
        <is>
          <t>8HGTPVZAF2</t>
        </is>
      </c>
      <c r="J91" s="470" t="inlineStr">
        <is>
          <t>01 Quang Huy ADS (+8) (10221992</t>
        </is>
      </c>
    </row>
    <row r="92" ht="13.2" customHeight="1" s="405">
      <c r="B92" s="361" t="n">
        <v>46214</v>
      </c>
      <c r="C92" s="362" t="inlineStr">
        <is>
          <t>Visa ···· 8384</t>
        </is>
      </c>
      <c r="D92" s="362" t="inlineStr">
        <is>
          <t>5U8D3WHAF2</t>
        </is>
      </c>
      <c r="E92" s="363" t="n">
        <v>96107</v>
      </c>
      <c r="F92" s="468" t="inlineStr">
        <is>
          <t>11 Tháng 7, 2026</t>
        </is>
      </c>
      <c r="G92" s="469" t="n">
        <v>96107</v>
      </c>
      <c r="H92" s="470" t="inlineStr">
        <is>
          <t>Visa ···· 8384</t>
        </is>
      </c>
      <c r="I92" s="470" t="inlineStr">
        <is>
          <t>5U8D3WHAF2</t>
        </is>
      </c>
      <c r="J92" s="470" t="inlineStr">
        <is>
          <t>01 Quang Huy ADS (+8) (10221992</t>
        </is>
      </c>
    </row>
    <row r="93" ht="13.2" customHeight="1" s="405">
      <c r="B93" s="364" t="n"/>
      <c r="C93" s="365" t="n"/>
      <c r="D93" s="365" t="n"/>
      <c r="E93" s="366" t="n"/>
    </row>
    <row r="94" ht="13.2" customHeight="1" s="405">
      <c r="B94" s="355" t="n">
        <v>46211</v>
      </c>
      <c r="C94" s="356" t="inlineStr">
        <is>
          <t>Visa ···· 8384</t>
        </is>
      </c>
      <c r="D94" s="356" t="inlineStr">
        <is>
          <t>G22EPVVFX2</t>
        </is>
      </c>
      <c r="E94" s="357" t="n">
        <v>194944</v>
      </c>
      <c r="F94" s="462" t="inlineStr">
        <is>
          <t>8 Tháng 7, 2026</t>
        </is>
      </c>
      <c r="G94" s="463" t="n">
        <v>194944</v>
      </c>
      <c r="H94" s="464" t="inlineStr">
        <is>
          <t>Visa ···· 8384</t>
        </is>
      </c>
      <c r="I94" s="464" t="inlineStr">
        <is>
          <t>G22EPVVFX2</t>
        </is>
      </c>
      <c r="J94" s="464" t="inlineStr">
        <is>
          <t>02 Quang Huy ADS (+8) (16502025</t>
        </is>
      </c>
    </row>
    <row r="95" ht="13.2" customHeight="1" s="405">
      <c r="B95" s="355" t="n">
        <v>46211</v>
      </c>
      <c r="C95" s="356" t="inlineStr">
        <is>
          <t>Visa ···· 8384</t>
        </is>
      </c>
      <c r="D95" s="356" t="inlineStr">
        <is>
          <t>SKJF3ZRFX2</t>
        </is>
      </c>
      <c r="E95" s="357" t="n">
        <v>301359</v>
      </c>
      <c r="F95" s="462" t="inlineStr">
        <is>
          <t>8 Tháng 7, 2026</t>
        </is>
      </c>
      <c r="G95" s="463" t="n">
        <v>301359</v>
      </c>
      <c r="H95" s="464" t="inlineStr">
        <is>
          <t>Visa ···· 8384</t>
        </is>
      </c>
      <c r="I95" s="464" t="inlineStr">
        <is>
          <t>SKJF3ZRFX2</t>
        </is>
      </c>
      <c r="J95" s="464" t="inlineStr">
        <is>
          <t>02 Quang Huy ADS (+8) (16502025</t>
        </is>
      </c>
    </row>
    <row r="96" ht="13.2" customHeight="1" s="405">
      <c r="B96" s="355" t="n">
        <v>46211</v>
      </c>
      <c r="C96" s="356" t="inlineStr">
        <is>
          <t>Visa ···· 8384</t>
        </is>
      </c>
      <c r="D96" s="356" t="inlineStr">
        <is>
          <t>FP4DBWMGX2</t>
        </is>
      </c>
      <c r="E96" s="357" t="n">
        <v>174376</v>
      </c>
      <c r="F96" s="462" t="inlineStr">
        <is>
          <t>8 Tháng 7, 2026</t>
        </is>
      </c>
      <c r="G96" s="463" t="n">
        <v>174376</v>
      </c>
      <c r="H96" s="464" t="inlineStr">
        <is>
          <t>Visa ···· 8384</t>
        </is>
      </c>
      <c r="I96" s="464" t="inlineStr">
        <is>
          <t>FP4DBWMGX2</t>
        </is>
      </c>
      <c r="J96" s="464" t="inlineStr">
        <is>
          <t>02 Quang Huy ADS (+8) (16502025</t>
        </is>
      </c>
    </row>
    <row r="97" ht="13.2" customHeight="1" s="405">
      <c r="B97" s="355" t="n">
        <v>46211</v>
      </c>
      <c r="C97" s="356" t="inlineStr">
        <is>
          <t>Visa ···· 8384</t>
        </is>
      </c>
      <c r="D97" s="356" t="inlineStr">
        <is>
          <t>YU4VJVDGX2</t>
        </is>
      </c>
      <c r="E97" s="357" t="n">
        <v>165777</v>
      </c>
      <c r="F97" s="462" t="inlineStr">
        <is>
          <t>8 Tháng 7, 2026</t>
        </is>
      </c>
      <c r="G97" s="463" t="n">
        <v>165777</v>
      </c>
      <c r="H97" s="464" t="inlineStr">
        <is>
          <t>Visa ···· 8384</t>
        </is>
      </c>
      <c r="I97" s="464" t="inlineStr">
        <is>
          <t>YU4VJVDGX2</t>
        </is>
      </c>
      <c r="J97" s="464" t="inlineStr">
        <is>
          <t>02 Quang Huy ADS (+8) (16502025</t>
        </is>
      </c>
    </row>
    <row r="98" ht="13.2" customHeight="1" s="405">
      <c r="B98" s="355" t="n">
        <v>46212</v>
      </c>
      <c r="C98" s="356" t="inlineStr">
        <is>
          <t>Visa ···· 8384</t>
        </is>
      </c>
      <c r="D98" s="356" t="inlineStr">
        <is>
          <t>LVJMSVVFX2</t>
        </is>
      </c>
      <c r="E98" s="357" t="n">
        <v>500644</v>
      </c>
      <c r="F98" s="462" t="inlineStr">
        <is>
          <t>9 Tháng 7, 2026</t>
        </is>
      </c>
      <c r="G98" s="463" t="n">
        <v>500644</v>
      </c>
      <c r="H98" s="464" t="inlineStr">
        <is>
          <t>Visa ···· 8384</t>
        </is>
      </c>
      <c r="I98" s="464" t="inlineStr">
        <is>
          <t>LVJMSVVFX2</t>
        </is>
      </c>
      <c r="J98" s="464" t="inlineStr">
        <is>
          <t>02 Quang Huy ADS (+8) (16502025</t>
        </is>
      </c>
    </row>
    <row r="99" ht="13.2" customHeight="1" s="405">
      <c r="B99" s="355" t="n">
        <v>46212</v>
      </c>
      <c r="C99" s="356" t="inlineStr">
        <is>
          <t>Visa ···· 8384</t>
        </is>
      </c>
      <c r="D99" s="356" t="inlineStr">
        <is>
          <t>NN57HYHGX2</t>
        </is>
      </c>
      <c r="E99" s="357" t="n">
        <v>481638</v>
      </c>
      <c r="F99" s="462" t="inlineStr">
        <is>
          <t>9 Tháng 7, 2026</t>
        </is>
      </c>
      <c r="G99" s="463" t="n">
        <v>481638</v>
      </c>
      <c r="H99" s="464" t="inlineStr">
        <is>
          <t>Visa ···· 8384</t>
        </is>
      </c>
      <c r="I99" s="464" t="inlineStr">
        <is>
          <t>NN57HYHGX2</t>
        </is>
      </c>
      <c r="J99" s="464" t="inlineStr">
        <is>
          <t>02 Quang Huy ADS (+8) (16502025</t>
        </is>
      </c>
    </row>
    <row r="100" ht="13.2" customHeight="1" s="405">
      <c r="B100" s="355" t="n">
        <v>46212</v>
      </c>
      <c r="C100" s="356" t="inlineStr">
        <is>
          <t>Visa ···· 8384</t>
        </is>
      </c>
      <c r="D100" s="356" t="inlineStr">
        <is>
          <t>BJAKAV9GX2</t>
        </is>
      </c>
      <c r="E100" s="357" t="n">
        <v>199639</v>
      </c>
      <c r="F100" s="462" t="inlineStr">
        <is>
          <t>9 Tháng 7, 2026</t>
        </is>
      </c>
      <c r="G100" s="463" t="n">
        <v>199639</v>
      </c>
      <c r="H100" s="464" t="inlineStr">
        <is>
          <t>Visa ···· 8384</t>
        </is>
      </c>
      <c r="I100" s="464" t="inlineStr">
        <is>
          <t>BJAKAV9GX2</t>
        </is>
      </c>
      <c r="J100" s="464" t="inlineStr">
        <is>
          <t>02 Quang Huy ADS (+8) (16502025</t>
        </is>
      </c>
    </row>
    <row r="101" ht="13.2" customHeight="1" s="405">
      <c r="B101" s="355" t="n">
        <v>46213</v>
      </c>
      <c r="C101" s="356" t="inlineStr">
        <is>
          <t>Visa ···· 8384</t>
        </is>
      </c>
      <c r="D101" s="356" t="inlineStr">
        <is>
          <t>33R5SWMFX2</t>
        </is>
      </c>
      <c r="E101" s="357" t="n">
        <v>612555</v>
      </c>
      <c r="F101" s="462" t="inlineStr">
        <is>
          <t>10 Tháng 7, 2026</t>
        </is>
      </c>
      <c r="G101" s="463" t="n">
        <v>612555</v>
      </c>
      <c r="H101" s="464" t="inlineStr">
        <is>
          <t>Visa ···· 8384</t>
        </is>
      </c>
      <c r="I101" s="464" t="inlineStr">
        <is>
          <t>33R5SWMFX2</t>
        </is>
      </c>
      <c r="J101" s="464" t="inlineStr">
        <is>
          <t>02 Quang Huy ADS (+8) (16502025</t>
        </is>
      </c>
    </row>
    <row r="102" ht="13.2" customHeight="1" s="405">
      <c r="B102" s="355" t="n">
        <v>46213</v>
      </c>
      <c r="C102" s="356" t="inlineStr">
        <is>
          <t>Visa ···· 8384</t>
        </is>
      </c>
      <c r="D102" s="356" t="inlineStr">
        <is>
          <t>NXUUAVZFX2</t>
        </is>
      </c>
      <c r="E102" s="357" t="n">
        <v>568961</v>
      </c>
      <c r="F102" s="462" t="inlineStr">
        <is>
          <t>10 Tháng 7, 2026</t>
        </is>
      </c>
      <c r="G102" s="463" t="n">
        <v>568961</v>
      </c>
      <c r="H102" s="464" t="inlineStr">
        <is>
          <t>Visa ···· 8384</t>
        </is>
      </c>
      <c r="I102" s="464" t="inlineStr">
        <is>
          <t>NXUUAVZFX2</t>
        </is>
      </c>
      <c r="J102" s="464" t="inlineStr">
        <is>
          <t>02 Quang Huy ADS (+8) (16502025</t>
        </is>
      </c>
    </row>
    <row r="103" ht="13.2" customHeight="1" s="405">
      <c r="B103" s="355" t="n">
        <v>46213</v>
      </c>
      <c r="C103" s="356" t="inlineStr">
        <is>
          <t>Visa ···· 8384</t>
        </is>
      </c>
      <c r="D103" s="356" t="inlineStr">
        <is>
          <t>7PJ2EV9GX2</t>
        </is>
      </c>
      <c r="E103" s="357" t="n">
        <v>500644</v>
      </c>
      <c r="F103" s="462" t="inlineStr">
        <is>
          <t>10 Tháng 7, 2026</t>
        </is>
      </c>
      <c r="G103" s="463" t="n">
        <v>500644</v>
      </c>
      <c r="H103" s="464" t="inlineStr">
        <is>
          <t>Visa ···· 8384</t>
        </is>
      </c>
      <c r="I103" s="464" t="inlineStr">
        <is>
          <t>7PJ2EV9GX2</t>
        </is>
      </c>
      <c r="J103" s="464" t="inlineStr">
        <is>
          <t>02 Quang Huy ADS (+8) (16502025</t>
        </is>
      </c>
    </row>
    <row r="104" ht="13.2" customHeight="1" s="405">
      <c r="B104" s="355" t="n">
        <v>46214</v>
      </c>
      <c r="C104" s="356" t="inlineStr">
        <is>
          <t>Visa ···· 8384</t>
        </is>
      </c>
      <c r="D104" s="356" t="inlineStr">
        <is>
          <t>MPDZTWMFX2</t>
        </is>
      </c>
      <c r="E104" s="357" t="n">
        <v>585057</v>
      </c>
      <c r="F104" s="462" t="inlineStr">
        <is>
          <t>11 Tháng 7, 2026</t>
        </is>
      </c>
      <c r="G104" s="463" t="n">
        <v>585057</v>
      </c>
      <c r="H104" s="464" t="inlineStr">
        <is>
          <t>Visa ···· 8384</t>
        </is>
      </c>
      <c r="I104" s="464" t="inlineStr">
        <is>
          <t>MPDZTWMFX2</t>
        </is>
      </c>
      <c r="J104" s="464" t="inlineStr">
        <is>
          <t>02 Quang Huy ADS (+8) (16502025</t>
        </is>
      </c>
    </row>
    <row r="105" ht="13.2" customHeight="1" s="405">
      <c r="B105" s="355" t="n">
        <v>46215</v>
      </c>
      <c r="C105" s="356" t="inlineStr">
        <is>
          <t>Visa ···· 8384</t>
        </is>
      </c>
      <c r="D105" s="356" t="inlineStr">
        <is>
          <t>64P6YWMFX2</t>
        </is>
      </c>
      <c r="E105" s="357" t="n">
        <v>1028864</v>
      </c>
      <c r="F105" s="462" t="inlineStr">
        <is>
          <t>12 Tháng 7, 2026</t>
        </is>
      </c>
      <c r="G105" s="463" t="n">
        <v>1028864</v>
      </c>
      <c r="H105" s="464" t="inlineStr">
        <is>
          <t>Visa ···· 8384</t>
        </is>
      </c>
      <c r="I105" s="464" t="inlineStr">
        <is>
          <t>64P6YWMFX2</t>
        </is>
      </c>
      <c r="J105" s="464" t="inlineStr">
        <is>
          <t>02 Quang Huy ADS (+8) (16502025</t>
        </is>
      </c>
    </row>
    <row r="106" ht="13.2" customHeight="1" s="405">
      <c r="B106" s="355" t="n">
        <v>46215</v>
      </c>
      <c r="C106" s="356" t="inlineStr">
        <is>
          <t>Visa ···· 8384</t>
        </is>
      </c>
      <c r="D106" s="356" t="inlineStr">
        <is>
          <t>96WPDZRFX2</t>
        </is>
      </c>
      <c r="E106" s="357" t="n">
        <v>1028864</v>
      </c>
      <c r="F106" s="462" t="inlineStr">
        <is>
          <t>12 Tháng 7, 2026</t>
        </is>
      </c>
      <c r="G106" s="463" t="n">
        <v>1028864</v>
      </c>
      <c r="H106" s="464" t="inlineStr">
        <is>
          <t>Visa ···· 8384</t>
        </is>
      </c>
      <c r="I106" s="464" t="inlineStr">
        <is>
          <t>96WPDZRFX2</t>
        </is>
      </c>
      <c r="J106" s="464" t="inlineStr">
        <is>
          <t>02 Quang Huy ADS (+8) (16502025</t>
        </is>
      </c>
    </row>
    <row r="107" ht="13.2" customHeight="1" s="405">
      <c r="B107" s="355" t="n">
        <v>46216</v>
      </c>
      <c r="C107" s="356" t="inlineStr">
        <is>
          <t>Visa ···· 8384</t>
        </is>
      </c>
      <c r="D107" s="356" t="inlineStr">
        <is>
          <t>KYPKLVZFX2</t>
        </is>
      </c>
      <c r="E107" s="357" t="n">
        <v>1158254</v>
      </c>
      <c r="F107" s="462" t="inlineStr">
        <is>
          <t>13 Tháng 7, 2026</t>
        </is>
      </c>
      <c r="G107" s="463" t="n">
        <v>1158254</v>
      </c>
      <c r="H107" s="464" t="inlineStr">
        <is>
          <t>Visa ···· 8384</t>
        </is>
      </c>
      <c r="I107" s="464" t="inlineStr">
        <is>
          <t>KYPKLVZFX2</t>
        </is>
      </c>
      <c r="J107" s="464" t="inlineStr">
        <is>
          <t>02 Quang Huy ADS (+8) (16502025</t>
        </is>
      </c>
    </row>
    <row r="108" ht="13.2" customHeight="1" s="405">
      <c r="B108" s="355" t="n">
        <v>46217</v>
      </c>
      <c r="C108" s="356" t="inlineStr">
        <is>
          <t>Visa ···· 8384</t>
        </is>
      </c>
      <c r="D108" s="356" t="inlineStr">
        <is>
          <t>VASDPVZFX2</t>
        </is>
      </c>
      <c r="E108" s="357" t="n">
        <v>1364966</v>
      </c>
      <c r="F108" s="462" t="inlineStr">
        <is>
          <t>14 Tháng 7, 2026</t>
        </is>
      </c>
      <c r="G108" s="463" t="n">
        <v>1364966</v>
      </c>
      <c r="H108" s="464" t="inlineStr">
        <is>
          <t>Visa ···· 8384</t>
        </is>
      </c>
      <c r="I108" s="464" t="inlineStr">
        <is>
          <t>VASDPVZFX2</t>
        </is>
      </c>
      <c r="J108" s="464" t="inlineStr">
        <is>
          <t>02 Quang Huy ADS (+8) (16502025</t>
        </is>
      </c>
    </row>
    <row r="109" ht="13.2" customHeight="1" s="405">
      <c r="B109" s="355" t="n">
        <v>46218</v>
      </c>
      <c r="C109" s="356" t="inlineStr">
        <is>
          <t>Visa ···· 8384</t>
        </is>
      </c>
      <c r="D109" s="356" t="inlineStr">
        <is>
          <t>SUK82XMGX2</t>
        </is>
      </c>
      <c r="E109" s="357" t="n">
        <v>1536196</v>
      </c>
      <c r="F109" s="462" t="inlineStr">
        <is>
          <t>15 Tháng 7, 2026</t>
        </is>
      </c>
      <c r="G109" s="463" t="n">
        <v>1536196</v>
      </c>
      <c r="H109" s="464" t="inlineStr">
        <is>
          <t>Visa ···· 8384</t>
        </is>
      </c>
      <c r="I109" s="464" t="inlineStr">
        <is>
          <t>SUK82XMGX2</t>
        </is>
      </c>
      <c r="J109" s="464" t="inlineStr">
        <is>
          <t>02 Quang Huy ADS (+8) (16502025</t>
        </is>
      </c>
    </row>
    <row r="110" ht="13.2" customHeight="1" s="405">
      <c r="B110" s="355" t="n">
        <v>46219</v>
      </c>
      <c r="C110" s="356" t="inlineStr">
        <is>
          <t>Visa ···· 8384</t>
        </is>
      </c>
      <c r="D110" s="356" t="inlineStr">
        <is>
          <t>RJCL2W9GX2</t>
        </is>
      </c>
      <c r="E110" s="357" t="n">
        <v>1548597</v>
      </c>
      <c r="F110" s="462" t="inlineStr">
        <is>
          <t>16 Tháng 7, 2026</t>
        </is>
      </c>
      <c r="G110" s="463" t="n">
        <v>1548597</v>
      </c>
      <c r="H110" s="464" t="inlineStr">
        <is>
          <t>Visa ···· 8384</t>
        </is>
      </c>
      <c r="I110" s="464" t="inlineStr">
        <is>
          <t>RJCL2W9GX2</t>
        </is>
      </c>
      <c r="J110" s="464" t="inlineStr">
        <is>
          <t>02 Quang Huy ADS (+8) (16502025</t>
        </is>
      </c>
    </row>
    <row r="111" ht="13.2" customHeight="1" s="405">
      <c r="B111" s="355" t="n">
        <v>46220</v>
      </c>
      <c r="C111" s="356" t="inlineStr">
        <is>
          <t>Visa ···· 8384</t>
        </is>
      </c>
      <c r="D111" s="356" t="inlineStr">
        <is>
          <t>NRXXLWVFX2</t>
        </is>
      </c>
      <c r="E111" s="357" t="n">
        <v>1548597</v>
      </c>
      <c r="F111" s="462" t="inlineStr">
        <is>
          <t>17 Tháng 7, 2026</t>
        </is>
      </c>
      <c r="G111" s="463" t="n">
        <v>1548597</v>
      </c>
      <c r="H111" s="464" t="inlineStr">
        <is>
          <t>Visa ···· 8384</t>
        </is>
      </c>
      <c r="I111" s="464" t="inlineStr">
        <is>
          <t>NRXXLWVFX2</t>
        </is>
      </c>
      <c r="J111" s="464" t="inlineStr">
        <is>
          <t>02 Quang Huy ADS (+8) (16502025</t>
        </is>
      </c>
    </row>
    <row r="112" ht="13.2" customHeight="1" s="405">
      <c r="B112" s="355" t="n">
        <v>46222</v>
      </c>
      <c r="C112" s="356" t="inlineStr">
        <is>
          <t>Visa ···· 8384</t>
        </is>
      </c>
      <c r="D112" s="356" t="inlineStr">
        <is>
          <t>Z6QKPXMFX2</t>
        </is>
      </c>
      <c r="E112" s="357" t="n">
        <v>1548597</v>
      </c>
      <c r="F112" s="462" t="inlineStr">
        <is>
          <t>19 Tháng 7, 2026</t>
        </is>
      </c>
      <c r="G112" s="463" t="n">
        <v>1548597</v>
      </c>
      <c r="H112" s="464" t="inlineStr">
        <is>
          <t>Visa ···· 8384</t>
        </is>
      </c>
      <c r="I112" s="464" t="inlineStr">
        <is>
          <t>Z6QKPXMFX2</t>
        </is>
      </c>
      <c r="J112" s="464" t="inlineStr">
        <is>
          <t>02 Quang Huy ADS (+8) (16502025</t>
        </is>
      </c>
    </row>
    <row r="113" ht="13.2" customHeight="1" s="405">
      <c r="B113" s="355" t="n">
        <v>46222</v>
      </c>
      <c r="C113" s="356" t="inlineStr">
        <is>
          <t>Visa ···· 8384</t>
        </is>
      </c>
      <c r="D113" s="356" t="inlineStr">
        <is>
          <t>J5H5GZHGX2</t>
        </is>
      </c>
      <c r="E113" s="357" t="n">
        <v>1548597</v>
      </c>
      <c r="F113" s="462" t="inlineStr">
        <is>
          <t>19 Tháng 7, 2026</t>
        </is>
      </c>
      <c r="G113" s="463" t="n">
        <v>1548597</v>
      </c>
      <c r="H113" s="464" t="inlineStr">
        <is>
          <t>Visa ···· 8384</t>
        </is>
      </c>
      <c r="I113" s="464" t="inlineStr">
        <is>
          <t>J5H5GZHGX2</t>
        </is>
      </c>
      <c r="J113" s="464" t="inlineStr">
        <is>
          <t>02 Quang Huy ADS (+8) (16502025</t>
        </is>
      </c>
    </row>
    <row r="114" ht="13.2" customHeight="1" s="405">
      <c r="B114" s="355" t="n">
        <v>46224</v>
      </c>
      <c r="C114" s="356" t="inlineStr">
        <is>
          <t>Visa ···· 8384</t>
        </is>
      </c>
      <c r="D114" s="356" t="inlineStr">
        <is>
          <t>YDGWRZHGX2</t>
        </is>
      </c>
      <c r="E114" s="357" t="n">
        <v>2001438</v>
      </c>
      <c r="F114" s="462" t="inlineStr">
        <is>
          <t>21 Tháng 7, 2026</t>
        </is>
      </c>
      <c r="G114" s="463" t="n">
        <v>2001438</v>
      </c>
      <c r="H114" s="464" t="inlineStr">
        <is>
          <t>Visa ···· 8384</t>
        </is>
      </c>
      <c r="I114" s="464" t="inlineStr">
        <is>
          <t>YDGWRZHGX2</t>
        </is>
      </c>
      <c r="J114" s="464" t="inlineStr">
        <is>
          <t>02 Quang Huy ADS (+8) (16502025</t>
        </is>
      </c>
    </row>
    <row r="115" ht="13.2" customHeight="1" s="405">
      <c r="B115" s="355" t="n">
        <v>46224</v>
      </c>
      <c r="C115" s="356" t="inlineStr">
        <is>
          <t>Visa ···· 8384</t>
        </is>
      </c>
      <c r="D115" s="356" t="inlineStr">
        <is>
          <t>FQFSZV5GX2</t>
        </is>
      </c>
      <c r="E115" s="357" t="n">
        <v>2001438</v>
      </c>
      <c r="F115" s="462" t="inlineStr">
        <is>
          <t>21 Tháng 7, 2026</t>
        </is>
      </c>
      <c r="G115" s="463" t="n">
        <v>2001438</v>
      </c>
      <c r="H115" s="464" t="inlineStr">
        <is>
          <t>Visa ···· 8384</t>
        </is>
      </c>
      <c r="I115" s="464" t="inlineStr">
        <is>
          <t>FQFSZV5GX2</t>
        </is>
      </c>
      <c r="J115" s="464" t="inlineStr">
        <is>
          <t>02 Quang Huy ADS (+8) (16502025</t>
        </is>
      </c>
    </row>
    <row r="116" ht="13.2" customHeight="1" s="405">
      <c r="B116" s="355" t="n">
        <v>46226</v>
      </c>
      <c r="C116" s="356" t="inlineStr">
        <is>
          <t>Visa ···· 8384</t>
        </is>
      </c>
      <c r="D116" s="356" t="inlineStr">
        <is>
          <t>RGVW3YMFX2</t>
        </is>
      </c>
      <c r="E116" s="357" t="n">
        <v>2596486</v>
      </c>
      <c r="F116" s="462" t="inlineStr">
        <is>
          <t>23 Tháng 7, 2026</t>
        </is>
      </c>
      <c r="G116" s="463" t="n">
        <v>2596486</v>
      </c>
      <c r="H116" s="464" t="inlineStr">
        <is>
          <t>Visa ···· 8384</t>
        </is>
      </c>
      <c r="I116" s="464" t="inlineStr">
        <is>
          <t>RGVW3YMFX2</t>
        </is>
      </c>
      <c r="J116" s="464" t="inlineStr">
        <is>
          <t>02 Quang Huy ADS (+8) (16502025</t>
        </is>
      </c>
    </row>
    <row r="117" ht="13.2" customHeight="1" s="405">
      <c r="B117" s="355" t="n">
        <v>46227</v>
      </c>
      <c r="C117" s="356" t="inlineStr">
        <is>
          <t>Visa ···· 8384</t>
        </is>
      </c>
      <c r="D117" s="356" t="inlineStr">
        <is>
          <t>V4M6ZXMGX2</t>
        </is>
      </c>
      <c r="E117" s="357" t="n">
        <v>2596486</v>
      </c>
      <c r="F117" s="462" t="inlineStr">
        <is>
          <t>24 Tháng 7, 2026</t>
        </is>
      </c>
      <c r="G117" s="463" t="n">
        <v>2596486</v>
      </c>
      <c r="H117" s="464" t="inlineStr">
        <is>
          <t>Visa ···· 8384</t>
        </is>
      </c>
      <c r="I117" s="464" t="inlineStr">
        <is>
          <t>V4M6ZXMGX2</t>
        </is>
      </c>
      <c r="J117" s="464" t="inlineStr">
        <is>
          <t>02 Quang Huy ADS (+8) (16502025</t>
        </is>
      </c>
    </row>
    <row r="118" ht="13.2" customHeight="1" s="405">
      <c r="B118" s="355" t="n">
        <v>46228</v>
      </c>
      <c r="C118" s="356" t="inlineStr">
        <is>
          <t>Visa ···· 8384</t>
        </is>
      </c>
      <c r="D118" s="356" t="inlineStr">
        <is>
          <t>UT33JW5GX2</t>
        </is>
      </c>
      <c r="E118" s="357" t="n">
        <v>2596486</v>
      </c>
      <c r="F118" s="462" t="inlineStr">
        <is>
          <t>25 Tháng 7, 2026</t>
        </is>
      </c>
      <c r="G118" s="463" t="n">
        <v>2596486</v>
      </c>
      <c r="H118" s="464" t="inlineStr">
        <is>
          <t>Visa ···· 8384</t>
        </is>
      </c>
      <c r="I118" s="464" t="inlineStr">
        <is>
          <t>UT33JW5GX2</t>
        </is>
      </c>
      <c r="J118" s="464" t="inlineStr">
        <is>
          <t>02 Quang Huy ADS (+8) (16502025</t>
        </is>
      </c>
    </row>
    <row r="119" ht="13.2" customHeight="1" s="405">
      <c r="B119" s="355" t="n">
        <v>46229</v>
      </c>
      <c r="C119" s="356" t="inlineStr">
        <is>
          <t>Visa ···· 8384</t>
        </is>
      </c>
      <c r="D119" s="356" t="inlineStr">
        <is>
          <t>MJHCY2NFX4</t>
        </is>
      </c>
      <c r="E119" s="357" t="n">
        <v>2596486</v>
      </c>
      <c r="F119" s="462" t="inlineStr">
        <is>
          <t>26 Tháng 7, 2026</t>
        </is>
      </c>
      <c r="G119" s="463" t="n">
        <v>2596486</v>
      </c>
      <c r="H119" s="464" t="inlineStr">
        <is>
          <t>Visa ···· 8384</t>
        </is>
      </c>
      <c r="I119" s="464" t="inlineStr">
        <is>
          <t>MJHCY2NFX4</t>
        </is>
      </c>
      <c r="J119" s="464" t="inlineStr">
        <is>
          <t>02 Quang Huy ADS (+8) (16502025</t>
        </is>
      </c>
    </row>
    <row r="120" ht="13.2" customHeight="1" s="405">
      <c r="B120" s="355" t="n">
        <v>46230</v>
      </c>
      <c r="C120" s="356" t="inlineStr">
        <is>
          <t>Visa ···· 8384</t>
        </is>
      </c>
      <c r="D120" s="356" t="inlineStr">
        <is>
          <t>K9J8CYMGX2</t>
        </is>
      </c>
      <c r="E120" s="357" t="n">
        <v>2596486</v>
      </c>
      <c r="F120" s="462" t="inlineStr">
        <is>
          <t>27 Tháng 7, 2026</t>
        </is>
      </c>
      <c r="G120" s="463" t="n">
        <v>2596486</v>
      </c>
      <c r="H120" s="464" t="inlineStr">
        <is>
          <t>Visa ···· 8384</t>
        </is>
      </c>
      <c r="I120" s="464" t="inlineStr">
        <is>
          <t>K9J8CYMGX2</t>
        </is>
      </c>
      <c r="J120" s="464" t="inlineStr">
        <is>
          <t>02 Quang Huy ADS (+8) (16502025</t>
        </is>
      </c>
    </row>
    <row r="121" ht="13.2" customHeight="1" s="405">
      <c r="B121" s="355" t="n">
        <v>46231</v>
      </c>
      <c r="C121" s="356" t="inlineStr">
        <is>
          <t>Visa ···· 8384</t>
        </is>
      </c>
      <c r="D121" s="356" t="inlineStr">
        <is>
          <t>W86973NFX4</t>
        </is>
      </c>
      <c r="E121" s="357" t="n">
        <v>2596486</v>
      </c>
      <c r="F121" s="462" t="inlineStr">
        <is>
          <t>28 Tháng 7, 2026</t>
        </is>
      </c>
      <c r="G121" s="463" t="n">
        <v>2596486</v>
      </c>
      <c r="H121" s="464" t="inlineStr">
        <is>
          <t>Visa ···· 8384</t>
        </is>
      </c>
      <c r="I121" s="464" t="inlineStr">
        <is>
          <t>W86973NFX4</t>
        </is>
      </c>
      <c r="J121" s="464" t="inlineStr">
        <is>
          <t>02 Quang Huy ADS (+8) (16502025</t>
        </is>
      </c>
    </row>
    <row r="122" ht="13.2" customHeight="1" s="405">
      <c r="B122" s="355" t="n">
        <v>46233</v>
      </c>
      <c r="C122" s="356" t="inlineStr">
        <is>
          <t>Visa ···· 8384</t>
        </is>
      </c>
      <c r="D122" s="356" t="inlineStr">
        <is>
          <t>R87CFXZFX2</t>
        </is>
      </c>
      <c r="E122" s="357" t="n">
        <v>3814044</v>
      </c>
      <c r="F122" s="462" t="inlineStr">
        <is>
          <t>30 Tháng 7, 2026</t>
        </is>
      </c>
      <c r="G122" s="463" t="n">
        <v>3814044</v>
      </c>
      <c r="H122" s="464" t="inlineStr">
        <is>
          <t>Visa ···· 8384</t>
        </is>
      </c>
      <c r="I122" s="464" t="inlineStr">
        <is>
          <t>R87CFXZFX2</t>
        </is>
      </c>
      <c r="J122" s="464" t="inlineStr">
        <is>
          <t>02 Quang Huy ADS (+8) (16502025</t>
        </is>
      </c>
    </row>
    <row r="123" ht="13.2" customHeight="1" s="405">
      <c r="B123" s="355" t="n">
        <v>46234</v>
      </c>
      <c r="C123" s="356" t="inlineStr">
        <is>
          <t>Visa ···· 8384</t>
        </is>
      </c>
      <c r="D123" s="356" t="inlineStr">
        <is>
          <t>56SRQX9GX2</t>
        </is>
      </c>
      <c r="E123" s="357" t="n">
        <v>3386836</v>
      </c>
      <c r="F123" s="462" t="inlineStr">
        <is>
          <t>31 Tháng 7, 2026</t>
        </is>
      </c>
      <c r="G123" s="463" t="n">
        <v>3386836</v>
      </c>
      <c r="H123" s="464" t="inlineStr">
        <is>
          <t>Visa ···· 8384</t>
        </is>
      </c>
      <c r="I123" s="464" t="inlineStr">
        <is>
          <t>56SRQX9GX2</t>
        </is>
      </c>
      <c r="J123" s="464" t="inlineStr">
        <is>
          <t>02 Quang Huy ADS (+8) (16502025</t>
        </is>
      </c>
    </row>
  </sheetData>
  <mergeCells count="3">
    <mergeCell ref="C2:C3"/>
    <mergeCell ref="A2:A3"/>
    <mergeCell ref="B2:B3"/>
  </mergeCells>
  <hyperlinks>
    <hyperlink xmlns:r="http://schemas.openxmlformats.org/officeDocument/2006/relationships" ref="G16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0" summaryRight="0"/>
    <pageSetUpPr/>
  </sheetPr>
  <dimension ref="A1:G999"/>
  <sheetViews>
    <sheetView workbookViewId="0">
      <selection activeCell="A1" sqref="A1"/>
    </sheetView>
  </sheetViews>
  <sheetFormatPr baseColWidth="8" defaultColWidth="12.6640625" defaultRowHeight="15.75" customHeight="1"/>
  <cols>
    <col width="4.33203125" customWidth="1" style="405" min="1" max="1"/>
  </cols>
  <sheetData>
    <row r="1" ht="15.75" customHeight="1" s="405">
      <c r="A1" s="429" t="n"/>
      <c r="B1" s="430" t="n"/>
      <c r="C1" s="430" t="n"/>
      <c r="D1" s="431" t="n"/>
      <c r="E1" s="5" t="n"/>
      <c r="F1" s="5" t="n"/>
      <c r="G1" s="5" t="n"/>
    </row>
    <row r="2">
      <c r="A2" s="208" t="inlineStr">
        <is>
          <t>STT</t>
        </is>
      </c>
      <c r="B2" s="432" t="inlineStr">
        <is>
          <t>Ngày/tháng</t>
        </is>
      </c>
      <c r="C2" s="10" t="inlineStr">
        <is>
          <t xml:space="preserve">Ngân sách cấp 
</t>
        </is>
      </c>
      <c r="D2" s="26" t="inlineStr">
        <is>
          <t>Tổng đã tiêu</t>
        </is>
      </c>
      <c r="E2" s="208" t="inlineStr">
        <is>
          <t>Số đơn</t>
        </is>
      </c>
      <c r="F2" s="208" t="inlineStr">
        <is>
          <t>Doanh số</t>
        </is>
      </c>
      <c r="G2" s="208" t="inlineStr">
        <is>
          <t>Tỷ lệ CP</t>
        </is>
      </c>
    </row>
    <row r="3">
      <c r="A3" s="433" t="n"/>
      <c r="B3" s="433" t="n"/>
      <c r="C3" s="17">
        <f>+SUM(C4:C34)</f>
        <v/>
      </c>
      <c r="D3" s="21">
        <f>SUM(D4:D34)</f>
        <v/>
      </c>
      <c r="E3" s="26">
        <f>SUM(E4:E34)</f>
        <v/>
      </c>
      <c r="F3" s="21">
        <f>SUM(F4:F36)</f>
        <v/>
      </c>
      <c r="G3" s="31">
        <f>IFERROR(D3/F3,0)</f>
        <v/>
      </c>
    </row>
    <row r="4" ht="15.75" customHeight="1" s="405">
      <c r="A4" s="33" t="n">
        <v>1</v>
      </c>
      <c r="B4" s="35" t="n">
        <v>46204</v>
      </c>
      <c r="C4" s="300" t="n">
        <v>24000000</v>
      </c>
      <c r="D4" s="370">
        <f>'PT Hải CT'!D8</f>
        <v/>
      </c>
      <c r="E4" s="330" t="n">
        <v>2</v>
      </c>
      <c r="F4" s="313" t="n">
        <v>8030000</v>
      </c>
      <c r="G4" s="50">
        <f>IFERROR(D4/F4,0)</f>
        <v/>
      </c>
    </row>
    <row r="5" ht="15.75" customHeight="1" s="405">
      <c r="A5" s="52" t="n">
        <v>2</v>
      </c>
      <c r="B5" s="54" t="n">
        <v>46205</v>
      </c>
      <c r="C5" s="307" t="n"/>
      <c r="D5" s="371">
        <f>'PT Hải CT'!E8</f>
        <v/>
      </c>
      <c r="E5" s="332" t="n">
        <v>2</v>
      </c>
      <c r="F5" s="311" t="n">
        <v>5770000</v>
      </c>
      <c r="G5" s="62">
        <f>IFERROR(D5/F5,0)</f>
        <v/>
      </c>
    </row>
    <row r="6" ht="15.75" customHeight="1" s="405">
      <c r="A6" s="33" t="n">
        <v>3</v>
      </c>
      <c r="B6" s="35" t="n">
        <v>46206</v>
      </c>
      <c r="C6" s="300" t="n"/>
      <c r="D6" s="370">
        <f>'PT Hải CT'!F8</f>
        <v/>
      </c>
      <c r="E6" s="330" t="n">
        <v>5</v>
      </c>
      <c r="F6" s="313" t="n">
        <v>14945000</v>
      </c>
      <c r="G6" s="50">
        <f>IFERROR(D6/F6,0)</f>
        <v/>
      </c>
    </row>
    <row r="7" ht="15.75" customHeight="1" s="405">
      <c r="A7" s="52" t="n">
        <v>4</v>
      </c>
      <c r="B7" s="54" t="n">
        <v>46207</v>
      </c>
      <c r="C7" s="307" t="n"/>
      <c r="D7" s="371">
        <f>'PT Hải CT'!G8</f>
        <v/>
      </c>
      <c r="E7" s="332" t="n">
        <v>2</v>
      </c>
      <c r="F7" s="311" t="n">
        <v>5725000</v>
      </c>
      <c r="G7" s="62">
        <f>IFERROR(D7/F7,0)</f>
        <v/>
      </c>
    </row>
    <row r="8" ht="15.75" customHeight="1" s="405">
      <c r="A8" s="33" t="n">
        <v>5</v>
      </c>
      <c r="B8" s="35" t="n">
        <v>46208</v>
      </c>
      <c r="C8" s="300" t="n"/>
      <c r="D8" s="370">
        <f>'PT Hải CT'!H8</f>
        <v/>
      </c>
      <c r="E8" s="330" t="n">
        <v>1</v>
      </c>
      <c r="F8" s="313" t="n">
        <v>3270000</v>
      </c>
      <c r="G8" s="50">
        <f>IFERROR(D8/F8,0)</f>
        <v/>
      </c>
    </row>
    <row r="9" ht="15.75" customHeight="1" s="405">
      <c r="A9" s="52" t="n">
        <v>6</v>
      </c>
      <c r="B9" s="54" t="n">
        <v>46209</v>
      </c>
      <c r="C9" s="307" t="n"/>
      <c r="D9" s="371">
        <f>'PT Hải CT'!I8</f>
        <v/>
      </c>
      <c r="E9" s="332" t="n">
        <v>3</v>
      </c>
      <c r="F9" s="311" t="n">
        <v>10030000</v>
      </c>
      <c r="G9" s="62">
        <f>IFERROR(D9/F9,0)</f>
        <v/>
      </c>
    </row>
    <row r="10" ht="15.75" customHeight="1" s="405">
      <c r="A10" s="33" t="n">
        <v>7</v>
      </c>
      <c r="B10" s="35" t="n">
        <v>46210</v>
      </c>
      <c r="C10" s="300" t="n"/>
      <c r="D10" s="370">
        <f>'PT Hải CT'!J8</f>
        <v/>
      </c>
      <c r="E10" s="330" t="n">
        <v>2</v>
      </c>
      <c r="F10" s="313" t="n">
        <v>6705000</v>
      </c>
      <c r="G10" s="50">
        <f>IFERROR(D10/F10,0)</f>
        <v/>
      </c>
    </row>
    <row r="11" ht="15.75" customHeight="1" s="405">
      <c r="A11" s="52" t="n">
        <v>8</v>
      </c>
      <c r="B11" s="54" t="n">
        <v>46211</v>
      </c>
      <c r="C11" s="307" t="n"/>
      <c r="D11" s="371">
        <f>'PT Hải CT'!K8</f>
        <v/>
      </c>
      <c r="E11" s="332" t="n">
        <v>3</v>
      </c>
      <c r="F11" s="311" t="n">
        <v>8660000</v>
      </c>
      <c r="G11" s="62">
        <f>IFERROR(D11/F11,0)</f>
        <v/>
      </c>
    </row>
    <row r="12" ht="15.75" customHeight="1" s="405">
      <c r="A12" s="33" t="n">
        <v>9</v>
      </c>
      <c r="B12" s="35" t="n">
        <v>46212</v>
      </c>
      <c r="C12" s="300" t="n"/>
      <c r="D12" s="370">
        <f>'PT Hải CT'!L8</f>
        <v/>
      </c>
      <c r="E12" s="330" t="n">
        <v>5</v>
      </c>
      <c r="F12" s="313" t="n">
        <v>15150000</v>
      </c>
      <c r="G12" s="50">
        <f>IFERROR(D12/F12,0)</f>
        <v/>
      </c>
    </row>
    <row r="13" ht="15.75" customHeight="1" s="405">
      <c r="A13" s="52" t="n">
        <v>10</v>
      </c>
      <c r="B13" s="54" t="n">
        <v>46213</v>
      </c>
      <c r="C13" s="307" t="n"/>
      <c r="D13" s="371">
        <f>'PT Hải CT'!M8</f>
        <v/>
      </c>
      <c r="E13" s="330" t="n">
        <v>4</v>
      </c>
      <c r="F13" s="311" t="n">
        <v>12235000</v>
      </c>
      <c r="G13" s="62">
        <f>IFERROR(D13/F13,0)</f>
        <v/>
      </c>
    </row>
    <row r="14" ht="15.75" customHeight="1" s="405">
      <c r="A14" s="33" t="n">
        <v>11</v>
      </c>
      <c r="B14" s="35" t="n">
        <v>46214</v>
      </c>
      <c r="C14" s="300" t="n"/>
      <c r="D14" s="370">
        <f>'PT Hải CT'!N8</f>
        <v/>
      </c>
      <c r="E14" s="330" t="n">
        <v>2</v>
      </c>
      <c r="F14" s="313" t="n">
        <v>6245000</v>
      </c>
      <c r="G14" s="50">
        <f>IFERROR(D14/F14,0)</f>
        <v/>
      </c>
    </row>
    <row r="15" ht="15.75" customHeight="1" s="405">
      <c r="A15" s="52" t="n">
        <v>12</v>
      </c>
      <c r="B15" s="54" t="n">
        <v>46215</v>
      </c>
      <c r="C15" s="307" t="n"/>
      <c r="D15" s="371">
        <f>'PT Hải CT'!O8</f>
        <v/>
      </c>
      <c r="E15" s="332" t="n">
        <v>2</v>
      </c>
      <c r="F15" s="311" t="n">
        <v>5820000</v>
      </c>
      <c r="G15" s="62">
        <f>IFERROR(D15/F15,0)</f>
        <v/>
      </c>
    </row>
    <row r="16" ht="14.4" customHeight="1" s="405">
      <c r="A16" s="33" t="n">
        <v>13</v>
      </c>
      <c r="B16" s="35" t="n">
        <v>46216</v>
      </c>
      <c r="C16" s="300" t="n"/>
      <c r="D16" s="370">
        <f>'PT Hải CT'!P8</f>
        <v/>
      </c>
      <c r="E16" s="330" t="n">
        <v>2</v>
      </c>
      <c r="F16" s="313" t="n">
        <v>5820000</v>
      </c>
      <c r="G16" s="50">
        <f>IFERROR(D16/F16,0)</f>
        <v/>
      </c>
    </row>
    <row r="17" ht="14.4" customHeight="1" s="405">
      <c r="A17" s="52" t="n">
        <v>14</v>
      </c>
      <c r="B17" s="54" t="n">
        <v>46217</v>
      </c>
      <c r="C17" s="307" t="n"/>
      <c r="D17" s="371">
        <f>'PT Hải CT'!Q8</f>
        <v/>
      </c>
      <c r="E17" s="332" t="n">
        <v>2</v>
      </c>
      <c r="F17" s="311" t="n">
        <v>5750000</v>
      </c>
      <c r="G17" s="50">
        <f>IFERROR(D17/F17,0)</f>
        <v/>
      </c>
    </row>
    <row r="18" ht="14.4" customHeight="1" s="405">
      <c r="A18" s="33" t="n">
        <v>15</v>
      </c>
      <c r="B18" s="35" t="n">
        <v>46218</v>
      </c>
      <c r="C18" s="300" t="n"/>
      <c r="D18" s="370">
        <f>'PT Hải CT'!R8</f>
        <v/>
      </c>
      <c r="E18" s="330" t="n">
        <v>1</v>
      </c>
      <c r="F18" s="313" t="n">
        <v>2910000</v>
      </c>
      <c r="G18" s="50">
        <f>IFERROR(D18/F18,0)</f>
        <v/>
      </c>
    </row>
    <row r="19" ht="14.4" customHeight="1" s="405">
      <c r="A19" s="52" t="n">
        <v>16</v>
      </c>
      <c r="B19" s="54" t="n">
        <v>46219</v>
      </c>
      <c r="C19" s="307" t="n"/>
      <c r="D19" s="371">
        <f>'PT Hải CT'!S8</f>
        <v/>
      </c>
      <c r="E19" s="332" t="n">
        <v>2</v>
      </c>
      <c r="F19" s="311" t="n">
        <v>6810000</v>
      </c>
      <c r="G19" s="62">
        <f>IFERROR(D19/F19,0)</f>
        <v/>
      </c>
    </row>
    <row r="20" ht="14.4" customHeight="1" s="405">
      <c r="A20" s="33" t="n">
        <v>17</v>
      </c>
      <c r="B20" s="35" t="n">
        <v>46220</v>
      </c>
      <c r="C20" s="300" t="n"/>
      <c r="D20" s="371">
        <f>'PT Hải CT'!T8</f>
        <v/>
      </c>
      <c r="E20" s="330" t="n">
        <v>2</v>
      </c>
      <c r="F20" s="313" t="n">
        <v>6215000</v>
      </c>
      <c r="G20" s="50">
        <f>IFERROR(#REF!/F20,0)</f>
        <v/>
      </c>
    </row>
    <row r="21" ht="14.4" customHeight="1" s="405">
      <c r="A21" s="52" t="n">
        <v>18</v>
      </c>
      <c r="B21" s="54" t="n">
        <v>46221</v>
      </c>
      <c r="C21" s="307" t="n"/>
      <c r="D21" s="371">
        <f>'PT Hải CT'!U8</f>
        <v/>
      </c>
      <c r="E21" s="332" t="n">
        <v>6</v>
      </c>
      <c r="F21" s="311" t="n">
        <v>19775000</v>
      </c>
      <c r="G21" s="50">
        <f>IFERROR(D21/F21,0)</f>
        <v/>
      </c>
    </row>
    <row r="22" ht="14.4" customHeight="1" s="405">
      <c r="A22" s="33" t="n">
        <v>19</v>
      </c>
      <c r="B22" s="35" t="n">
        <v>46222</v>
      </c>
      <c r="C22" s="300" t="n"/>
      <c r="D22" s="370">
        <f>'PT Hải CT'!V8</f>
        <v/>
      </c>
      <c r="E22" s="330" t="n">
        <v>4</v>
      </c>
      <c r="F22" s="313" t="n">
        <v>11465000</v>
      </c>
      <c r="G22" s="50">
        <f>IFERROR(D22/F22,0)</f>
        <v/>
      </c>
    </row>
    <row r="23" ht="14.4" customHeight="1" s="405">
      <c r="A23" s="52" t="n">
        <v>20</v>
      </c>
      <c r="B23" s="54" t="n">
        <v>46223</v>
      </c>
      <c r="C23" s="307" t="n"/>
      <c r="D23" s="371">
        <f>'PT Hải CT'!W8</f>
        <v/>
      </c>
      <c r="E23" s="332" t="n">
        <v>6</v>
      </c>
      <c r="F23" s="311" t="n">
        <v>18510000</v>
      </c>
      <c r="G23" s="50">
        <f>IFERROR(D23/F23,0)</f>
        <v/>
      </c>
    </row>
    <row r="24" ht="14.4" customHeight="1" s="405">
      <c r="A24" s="33" t="n">
        <v>21</v>
      </c>
      <c r="B24" s="35" t="n">
        <v>46224</v>
      </c>
      <c r="C24" s="300" t="n"/>
      <c r="D24" s="370">
        <f>'PT Hải CT'!X8</f>
        <v/>
      </c>
      <c r="E24" s="330" t="n">
        <v>3</v>
      </c>
      <c r="F24" s="313" t="n">
        <v>8455000</v>
      </c>
      <c r="G24" s="50">
        <f>IFERROR(D24/F24,0)</f>
        <v/>
      </c>
    </row>
    <row r="25" ht="14.4" customHeight="1" s="405">
      <c r="A25" s="52" t="n">
        <v>22</v>
      </c>
      <c r="B25" s="54" t="n">
        <v>46225</v>
      </c>
      <c r="C25" s="307" t="n"/>
      <c r="D25" s="371">
        <f>'PT Hải CT'!Y8</f>
        <v/>
      </c>
      <c r="E25" s="332" t="n">
        <v>4</v>
      </c>
      <c r="F25" s="311" t="n">
        <v>13420000</v>
      </c>
      <c r="G25" s="50">
        <f>IFERROR(D25/F25,0)</f>
        <v/>
      </c>
    </row>
    <row r="26" ht="14.4" customHeight="1" s="405">
      <c r="A26" s="33" t="n">
        <v>23</v>
      </c>
      <c r="B26" s="35" t="n">
        <v>46226</v>
      </c>
      <c r="C26" s="300" t="n"/>
      <c r="D26" s="370">
        <f>'PT Hải CT'!Z8</f>
        <v/>
      </c>
      <c r="E26" s="330" t="n">
        <v>3</v>
      </c>
      <c r="F26" s="313" t="n">
        <v>10825000</v>
      </c>
      <c r="G26" s="62">
        <f>IFERROR(D26/F26,0)</f>
        <v/>
      </c>
    </row>
    <row r="27" ht="14.4" customHeight="1" s="405">
      <c r="A27" s="52" t="n">
        <v>24</v>
      </c>
      <c r="B27" s="54" t="n">
        <v>46227</v>
      </c>
      <c r="C27" s="307" t="n"/>
      <c r="D27" s="371">
        <f>'PT Hải CT'!AA8</f>
        <v/>
      </c>
      <c r="E27" s="332" t="n">
        <v>4</v>
      </c>
      <c r="F27" s="311" t="n">
        <v>13150000</v>
      </c>
      <c r="G27" s="50">
        <f>IFERROR(D27/F27,0)</f>
        <v/>
      </c>
    </row>
    <row r="28" ht="14.4" customHeight="1" s="405">
      <c r="A28" s="33" t="n">
        <v>25</v>
      </c>
      <c r="B28" s="35" t="n">
        <v>46228</v>
      </c>
      <c r="C28" s="300" t="n"/>
      <c r="D28" s="370">
        <f>'PT Hải CT'!AB8</f>
        <v/>
      </c>
      <c r="E28" s="330" t="n">
        <v>6</v>
      </c>
      <c r="F28" s="313" t="n">
        <v>29890000</v>
      </c>
      <c r="G28" s="50">
        <f>IFERROR(D28/F28,0)</f>
        <v/>
      </c>
    </row>
    <row r="29" ht="14.4" customHeight="1" s="405">
      <c r="A29" s="52" t="n">
        <v>26</v>
      </c>
      <c r="B29" s="54" t="n">
        <v>46229</v>
      </c>
      <c r="C29" s="307" t="n"/>
      <c r="D29" s="371">
        <f>'PT Hải CT'!AC8</f>
        <v/>
      </c>
      <c r="E29" s="332" t="n">
        <v>7</v>
      </c>
      <c r="F29" s="311" t="n">
        <v>23695000</v>
      </c>
      <c r="G29" s="62">
        <f>IFERROR(D29/F29,0)</f>
        <v/>
      </c>
    </row>
    <row r="30" ht="14.4" customHeight="1" s="405">
      <c r="A30" s="33" t="n">
        <v>27</v>
      </c>
      <c r="B30" s="35" t="n">
        <v>46230</v>
      </c>
      <c r="C30" s="300" t="n"/>
      <c r="D30" s="370">
        <f>'PT Hải CT'!AD8</f>
        <v/>
      </c>
      <c r="E30" s="330" t="n">
        <v>3</v>
      </c>
      <c r="F30" s="313" t="n">
        <v>10520000</v>
      </c>
      <c r="G30" s="50">
        <f>IFERROR(D30/F30,0)</f>
        <v/>
      </c>
    </row>
    <row r="31" ht="14.4" customHeight="1" s="405">
      <c r="A31" s="52" t="n">
        <v>28</v>
      </c>
      <c r="B31" s="54" t="n">
        <v>46231</v>
      </c>
      <c r="C31" s="307" t="n"/>
      <c r="D31" s="371">
        <f>'PT Hải CT'!AE8</f>
        <v/>
      </c>
      <c r="E31" s="332" t="n">
        <v>3</v>
      </c>
      <c r="F31" s="311" t="n">
        <v>9405000</v>
      </c>
      <c r="G31" s="62">
        <f>IFERROR(D31/F31,0)</f>
        <v/>
      </c>
    </row>
    <row r="32" ht="14.4" customHeight="1" s="405">
      <c r="A32" s="33" t="n">
        <v>29</v>
      </c>
      <c r="B32" s="35" t="n">
        <v>46232</v>
      </c>
      <c r="C32" s="300" t="n"/>
      <c r="D32" s="370">
        <f>'PT Hải CT'!AF8</f>
        <v/>
      </c>
      <c r="E32" s="330" t="n">
        <v>4</v>
      </c>
      <c r="F32" s="313" t="n">
        <v>16825000</v>
      </c>
      <c r="G32" s="50">
        <f>IFERROR(D32/F32,0)</f>
        <v/>
      </c>
    </row>
    <row r="33" ht="14.4" customHeight="1" s="405">
      <c r="A33" s="52" t="n">
        <v>30</v>
      </c>
      <c r="B33" s="54" t="n">
        <v>46233</v>
      </c>
      <c r="C33" s="307" t="n"/>
      <c r="D33" s="371">
        <f>'PT Hải CT'!AG8</f>
        <v/>
      </c>
      <c r="E33" s="332" t="n">
        <v>3</v>
      </c>
      <c r="F33" s="311" t="n">
        <v>10370000</v>
      </c>
      <c r="G33" s="62">
        <f>IFERROR(D33/F33,0)</f>
        <v/>
      </c>
    </row>
    <row r="34" ht="14.4" customHeight="1" s="405">
      <c r="A34" s="33" t="n">
        <v>31</v>
      </c>
      <c r="B34" s="35" t="n">
        <v>46234</v>
      </c>
      <c r="C34" s="300" t="n"/>
      <c r="D34" s="370">
        <f>'PT Hải CT'!AH8</f>
        <v/>
      </c>
      <c r="E34" s="330" t="n">
        <v>2</v>
      </c>
      <c r="F34" s="313" t="n">
        <v>5450000</v>
      </c>
      <c r="G34" s="50">
        <f>IFERROR(D34/F34,0)</f>
        <v/>
      </c>
    </row>
    <row r="35" ht="14.4" customHeight="1" s="405">
      <c r="A35" s="325" t="n"/>
      <c r="B35" s="54" t="n"/>
      <c r="C35" s="116" t="n"/>
      <c r="D35" s="307" t="n"/>
      <c r="E35" s="325" t="n"/>
      <c r="F35" s="311" t="n">
        <v>35000000</v>
      </c>
      <c r="G35" s="265" t="n"/>
    </row>
    <row r="36" ht="13.2" customHeight="1" s="405">
      <c r="B36" s="117" t="n"/>
    </row>
    <row r="37" ht="13.2" customHeight="1" s="405">
      <c r="B37" s="117" t="n"/>
    </row>
    <row r="38" ht="13.2" customHeight="1" s="405">
      <c r="B38" s="117" t="n"/>
    </row>
    <row r="39" ht="13.2" customHeight="1" s="405">
      <c r="B39" s="117" t="n"/>
    </row>
    <row r="40" ht="13.2" customHeight="1" s="405">
      <c r="B40" s="117" t="n"/>
    </row>
    <row r="41" ht="13.2" customHeight="1" s="405">
      <c r="B41" s="117" t="n"/>
    </row>
    <row r="42" ht="13.2" customHeight="1" s="405">
      <c r="B42" s="117" t="n"/>
    </row>
    <row r="43" ht="13.2" customHeight="1" s="405">
      <c r="B43" s="117" t="n"/>
    </row>
    <row r="44" ht="13.2" customHeight="1" s="405">
      <c r="B44" s="117" t="n"/>
    </row>
    <row r="45" ht="13.2" customHeight="1" s="405">
      <c r="B45" s="117" t="n"/>
    </row>
    <row r="46" ht="13.2" customHeight="1" s="405">
      <c r="B46" s="117" t="n"/>
    </row>
    <row r="47" ht="13.2" customHeight="1" s="405">
      <c r="B47" s="117" t="n"/>
    </row>
    <row r="48" ht="13.2" customHeight="1" s="405">
      <c r="B48" s="117" t="n"/>
    </row>
    <row r="49" ht="13.2" customHeight="1" s="405">
      <c r="B49" s="117" t="n"/>
    </row>
    <row r="50" ht="13.2" customHeight="1" s="405">
      <c r="B50" s="117" t="n"/>
    </row>
    <row r="51" ht="13.2" customHeight="1" s="405">
      <c r="B51" s="117" t="n"/>
    </row>
    <row r="52" ht="13.2" customHeight="1" s="405">
      <c r="B52" s="117" t="n"/>
    </row>
    <row r="53" ht="13.2" customHeight="1" s="405">
      <c r="B53" s="117" t="n"/>
    </row>
    <row r="54" ht="13.2" customHeight="1" s="405">
      <c r="B54" s="117" t="n"/>
    </row>
    <row r="55" ht="13.2" customHeight="1" s="405">
      <c r="B55" s="117" t="n"/>
    </row>
    <row r="56" ht="13.2" customHeight="1" s="405">
      <c r="B56" s="117" t="n"/>
    </row>
    <row r="57" ht="13.2" customHeight="1" s="405">
      <c r="B57" s="117" t="n"/>
    </row>
    <row r="58" ht="13.2" customHeight="1" s="405">
      <c r="B58" s="117" t="n"/>
    </row>
    <row r="59" ht="13.2" customHeight="1" s="405">
      <c r="B59" s="117" t="n"/>
    </row>
    <row r="60" ht="13.2" customHeight="1" s="405">
      <c r="B60" s="117" t="n"/>
    </row>
    <row r="61" ht="13.2" customHeight="1" s="405">
      <c r="B61" s="117" t="n"/>
    </row>
    <row r="62" ht="13.2" customHeight="1" s="405">
      <c r="B62" s="117" t="n"/>
    </row>
    <row r="63" ht="13.2" customHeight="1" s="405">
      <c r="B63" s="117" t="n"/>
    </row>
    <row r="64" ht="13.2" customHeight="1" s="405">
      <c r="B64" s="117" t="n"/>
    </row>
    <row r="65" ht="13.2" customHeight="1" s="405">
      <c r="B65" s="117" t="n"/>
    </row>
    <row r="66" ht="13.2" customHeight="1" s="405">
      <c r="B66" s="117" t="n"/>
    </row>
    <row r="67" ht="13.2" customHeight="1" s="405">
      <c r="B67" s="117" t="n"/>
    </row>
    <row r="68" ht="13.2" customHeight="1" s="405">
      <c r="B68" s="117" t="n"/>
    </row>
    <row r="69" ht="13.2" customHeight="1" s="405">
      <c r="B69" s="117" t="n"/>
    </row>
    <row r="70" ht="13.2" customHeight="1" s="405">
      <c r="B70" s="117" t="n"/>
    </row>
    <row r="71" ht="13.2" customHeight="1" s="405">
      <c r="B71" s="117" t="n"/>
    </row>
    <row r="72" ht="13.2" customHeight="1" s="405">
      <c r="B72" s="117" t="n"/>
    </row>
    <row r="73" ht="13.2" customHeight="1" s="405">
      <c r="B73" s="117" t="n"/>
    </row>
    <row r="74" ht="13.2" customHeight="1" s="405">
      <c r="B74" s="117" t="n"/>
    </row>
    <row r="75" ht="13.2" customHeight="1" s="405">
      <c r="B75" s="117" t="n"/>
    </row>
    <row r="76" ht="13.2" customHeight="1" s="405">
      <c r="B76" s="117" t="n"/>
    </row>
    <row r="77" ht="13.2" customHeight="1" s="405">
      <c r="B77" s="117" t="n"/>
    </row>
    <row r="78" ht="13.2" customHeight="1" s="405">
      <c r="B78" s="117" t="n"/>
    </row>
    <row r="79" ht="13.2" customHeight="1" s="405">
      <c r="B79" s="117" t="n"/>
    </row>
    <row r="80" ht="13.2" customHeight="1" s="405">
      <c r="B80" s="117" t="n"/>
    </row>
    <row r="81" ht="13.2" customHeight="1" s="405">
      <c r="B81" s="117" t="n"/>
    </row>
    <row r="82" ht="13.2" customHeight="1" s="405">
      <c r="B82" s="117" t="n"/>
    </row>
    <row r="83" ht="13.2" customHeight="1" s="405">
      <c r="B83" s="117" t="n"/>
    </row>
    <row r="84" ht="13.2" customHeight="1" s="405">
      <c r="B84" s="117" t="n"/>
    </row>
    <row r="85" ht="13.2" customHeight="1" s="405">
      <c r="B85" s="117" t="n"/>
    </row>
    <row r="86" ht="13.2" customHeight="1" s="405">
      <c r="B86" s="117" t="n"/>
    </row>
    <row r="87" ht="13.2" customHeight="1" s="405">
      <c r="B87" s="117" t="n"/>
    </row>
    <row r="88" ht="13.2" customHeight="1" s="405">
      <c r="B88" s="117" t="n"/>
    </row>
    <row r="89" ht="13.2" customHeight="1" s="405">
      <c r="B89" s="117" t="n"/>
    </row>
    <row r="90" ht="13.2" customHeight="1" s="405">
      <c r="B90" s="117" t="n"/>
    </row>
    <row r="91" ht="13.2" customHeight="1" s="405">
      <c r="B91" s="117" t="n"/>
    </row>
    <row r="92" ht="13.2" customHeight="1" s="405">
      <c r="B92" s="117" t="n"/>
    </row>
    <row r="93" ht="13.2" customHeight="1" s="405">
      <c r="B93" s="117" t="n"/>
    </row>
    <row r="94" ht="13.2" customHeight="1" s="405">
      <c r="B94" s="117" t="n"/>
    </row>
    <row r="95" ht="13.2" customHeight="1" s="405">
      <c r="B95" s="117" t="n"/>
    </row>
    <row r="96" ht="13.2" customHeight="1" s="405">
      <c r="B96" s="117" t="n"/>
    </row>
    <row r="97" ht="13.2" customHeight="1" s="405">
      <c r="B97" s="117" t="n"/>
    </row>
    <row r="98" ht="13.2" customHeight="1" s="405">
      <c r="B98" s="117" t="n"/>
    </row>
    <row r="99" ht="13.2" customHeight="1" s="405">
      <c r="B99" s="117" t="n"/>
    </row>
    <row r="100" ht="13.2" customHeight="1" s="405">
      <c r="B100" s="117" t="n"/>
    </row>
    <row r="101" ht="13.2" customHeight="1" s="405">
      <c r="B101" s="117" t="n"/>
    </row>
    <row r="102" ht="13.2" customHeight="1" s="405">
      <c r="B102" s="117" t="n"/>
    </row>
    <row r="103" ht="13.2" customHeight="1" s="405">
      <c r="B103" s="117" t="n"/>
    </row>
    <row r="104" ht="13.2" customHeight="1" s="405">
      <c r="B104" s="117" t="n"/>
    </row>
    <row r="105" ht="13.2" customHeight="1" s="405">
      <c r="B105" s="117" t="n"/>
    </row>
    <row r="106" ht="13.2" customHeight="1" s="405">
      <c r="B106" s="117" t="n"/>
    </row>
    <row r="107" ht="13.2" customHeight="1" s="405">
      <c r="B107" s="117" t="n"/>
    </row>
    <row r="108" ht="13.2" customHeight="1" s="405">
      <c r="B108" s="117" t="n"/>
    </row>
    <row r="109" ht="13.2" customHeight="1" s="405">
      <c r="B109" s="117" t="n"/>
    </row>
    <row r="110" ht="13.2" customHeight="1" s="405">
      <c r="B110" s="117" t="n"/>
    </row>
    <row r="111" ht="13.2" customHeight="1" s="405">
      <c r="B111" s="117" t="n"/>
    </row>
    <row r="112" ht="13.2" customHeight="1" s="405">
      <c r="B112" s="117" t="n"/>
    </row>
    <row r="113" ht="13.2" customHeight="1" s="405">
      <c r="B113" s="117" t="n"/>
    </row>
    <row r="114" ht="13.2" customHeight="1" s="405">
      <c r="B114" s="117" t="n"/>
    </row>
    <row r="115" ht="13.2" customHeight="1" s="405">
      <c r="B115" s="117" t="n"/>
    </row>
    <row r="116" ht="13.2" customHeight="1" s="405">
      <c r="B116" s="117" t="n"/>
    </row>
    <row r="117" ht="13.2" customHeight="1" s="405">
      <c r="B117" s="117" t="n"/>
    </row>
    <row r="118" ht="13.2" customHeight="1" s="405">
      <c r="B118" s="117" t="n"/>
    </row>
    <row r="119" ht="13.2" customHeight="1" s="405">
      <c r="B119" s="117" t="n"/>
    </row>
    <row r="120" ht="13.2" customHeight="1" s="405">
      <c r="B120" s="117" t="n"/>
    </row>
    <row r="121" ht="13.2" customHeight="1" s="405">
      <c r="B121" s="117" t="n"/>
    </row>
    <row r="122" ht="13.2" customHeight="1" s="405">
      <c r="B122" s="117" t="n"/>
    </row>
    <row r="123" ht="13.2" customHeight="1" s="405">
      <c r="B123" s="117" t="n"/>
    </row>
    <row r="124" ht="13.2" customHeight="1" s="405">
      <c r="B124" s="117" t="n"/>
    </row>
    <row r="125" ht="13.2" customHeight="1" s="405">
      <c r="B125" s="117" t="n"/>
    </row>
    <row r="126" ht="13.2" customHeight="1" s="405">
      <c r="B126" s="117" t="n"/>
    </row>
    <row r="127" ht="13.2" customHeight="1" s="405">
      <c r="B127" s="117" t="n"/>
    </row>
    <row r="128" ht="13.2" customHeight="1" s="405">
      <c r="B128" s="117" t="n"/>
    </row>
    <row r="129" ht="13.2" customHeight="1" s="405">
      <c r="B129" s="117" t="n"/>
    </row>
    <row r="130" ht="13.2" customHeight="1" s="405">
      <c r="B130" s="117" t="n"/>
    </row>
    <row r="131" ht="13.2" customHeight="1" s="405">
      <c r="B131" s="117" t="n"/>
    </row>
    <row r="132" ht="13.2" customHeight="1" s="405">
      <c r="B132" s="117" t="n"/>
    </row>
    <row r="133" ht="13.2" customHeight="1" s="405">
      <c r="B133" s="117" t="n"/>
    </row>
    <row r="134" ht="13.2" customHeight="1" s="405">
      <c r="B134" s="117" t="n"/>
    </row>
    <row r="135" ht="13.2" customHeight="1" s="405">
      <c r="B135" s="117" t="n"/>
    </row>
    <row r="136" ht="13.2" customHeight="1" s="405">
      <c r="B136" s="117" t="n"/>
    </row>
    <row r="137" ht="13.2" customHeight="1" s="405">
      <c r="B137" s="117" t="n"/>
    </row>
    <row r="138" ht="13.2" customHeight="1" s="405">
      <c r="B138" s="117" t="n"/>
    </row>
    <row r="139" ht="13.2" customHeight="1" s="405">
      <c r="B139" s="117" t="n"/>
    </row>
    <row r="140" ht="13.2" customHeight="1" s="405">
      <c r="B140" s="117" t="n"/>
    </row>
    <row r="141" ht="13.2" customHeight="1" s="405">
      <c r="B141" s="117" t="n"/>
    </row>
    <row r="142" ht="13.2" customHeight="1" s="405">
      <c r="B142" s="117" t="n"/>
    </row>
    <row r="143" ht="13.2" customHeight="1" s="405">
      <c r="B143" s="117" t="n"/>
    </row>
    <row r="144" ht="13.2" customHeight="1" s="405">
      <c r="B144" s="117" t="n"/>
    </row>
    <row r="145" ht="13.2" customHeight="1" s="405">
      <c r="B145" s="117" t="n"/>
    </row>
    <row r="146" ht="13.2" customHeight="1" s="405">
      <c r="B146" s="117" t="n"/>
    </row>
    <row r="147" ht="13.2" customHeight="1" s="405">
      <c r="B147" s="117" t="n"/>
    </row>
    <row r="148" ht="13.2" customHeight="1" s="405">
      <c r="B148" s="117" t="n"/>
    </row>
    <row r="149" ht="13.2" customHeight="1" s="405">
      <c r="B149" s="117" t="n"/>
    </row>
    <row r="150" ht="13.2" customHeight="1" s="405">
      <c r="B150" s="117" t="n"/>
    </row>
    <row r="151" ht="13.2" customHeight="1" s="405">
      <c r="B151" s="117" t="n"/>
    </row>
    <row r="152" ht="13.2" customHeight="1" s="405">
      <c r="B152" s="117" t="n"/>
    </row>
    <row r="153" ht="13.2" customHeight="1" s="405">
      <c r="B153" s="117" t="n"/>
    </row>
    <row r="154" ht="13.2" customHeight="1" s="405">
      <c r="B154" s="117" t="n"/>
    </row>
    <row r="155" ht="13.2" customHeight="1" s="405">
      <c r="B155" s="117" t="n"/>
    </row>
    <row r="156" ht="13.2" customHeight="1" s="405">
      <c r="B156" s="117" t="n"/>
    </row>
    <row r="157" ht="13.2" customHeight="1" s="405">
      <c r="B157" s="117" t="n"/>
    </row>
    <row r="158" ht="13.2" customHeight="1" s="405">
      <c r="B158" s="117" t="n"/>
    </row>
    <row r="159" ht="13.2" customHeight="1" s="405">
      <c r="B159" s="117" t="n"/>
    </row>
    <row r="160" ht="13.2" customHeight="1" s="405">
      <c r="B160" s="117" t="n"/>
    </row>
    <row r="161" ht="13.2" customHeight="1" s="405">
      <c r="B161" s="117" t="n"/>
    </row>
    <row r="162" ht="13.2" customHeight="1" s="405">
      <c r="B162" s="117" t="n"/>
    </row>
    <row r="163" ht="13.2" customHeight="1" s="405">
      <c r="B163" s="117" t="n"/>
    </row>
    <row r="164" ht="13.2" customHeight="1" s="405">
      <c r="B164" s="117" t="n"/>
    </row>
    <row r="165" ht="13.2" customHeight="1" s="405">
      <c r="B165" s="117" t="n"/>
    </row>
    <row r="166" ht="13.2" customHeight="1" s="405">
      <c r="B166" s="117" t="n"/>
    </row>
    <row r="167" ht="13.2" customHeight="1" s="405">
      <c r="B167" s="117" t="n"/>
    </row>
    <row r="168" ht="13.2" customHeight="1" s="405">
      <c r="B168" s="117" t="n"/>
    </row>
    <row r="169" ht="13.2" customHeight="1" s="405">
      <c r="B169" s="117" t="n"/>
    </row>
    <row r="170" ht="13.2" customHeight="1" s="405">
      <c r="B170" s="117" t="n"/>
    </row>
    <row r="171" ht="13.2" customHeight="1" s="405">
      <c r="B171" s="117" t="n"/>
    </row>
    <row r="172" ht="13.2" customHeight="1" s="405">
      <c r="B172" s="117" t="n"/>
    </row>
    <row r="173" ht="13.2" customHeight="1" s="405">
      <c r="B173" s="117" t="n"/>
    </row>
    <row r="174" ht="13.2" customHeight="1" s="405">
      <c r="B174" s="117" t="n"/>
    </row>
    <row r="175" ht="13.2" customHeight="1" s="405">
      <c r="B175" s="117" t="n"/>
    </row>
    <row r="176" ht="13.2" customHeight="1" s="405">
      <c r="B176" s="117" t="n"/>
    </row>
    <row r="177" ht="13.2" customHeight="1" s="405">
      <c r="B177" s="117" t="n"/>
    </row>
    <row r="178" ht="13.2" customHeight="1" s="405">
      <c r="B178" s="117" t="n"/>
    </row>
    <row r="179" ht="13.2" customHeight="1" s="405">
      <c r="B179" s="117" t="n"/>
    </row>
    <row r="180" ht="13.2" customHeight="1" s="405">
      <c r="B180" s="117" t="n"/>
    </row>
    <row r="181" ht="13.2" customHeight="1" s="405">
      <c r="B181" s="117" t="n"/>
    </row>
    <row r="182" ht="13.2" customHeight="1" s="405">
      <c r="B182" s="117" t="n"/>
    </row>
    <row r="183" ht="13.2" customHeight="1" s="405">
      <c r="B183" s="117" t="n"/>
    </row>
    <row r="184" ht="13.2" customHeight="1" s="405">
      <c r="B184" s="117" t="n"/>
    </row>
    <row r="185" ht="13.2" customHeight="1" s="405">
      <c r="B185" s="117" t="n"/>
    </row>
    <row r="186" ht="13.2" customHeight="1" s="405">
      <c r="B186" s="117" t="n"/>
    </row>
    <row r="187" ht="13.2" customHeight="1" s="405">
      <c r="B187" s="117" t="n"/>
    </row>
    <row r="188" ht="13.2" customHeight="1" s="405">
      <c r="B188" s="117" t="n"/>
    </row>
    <row r="189" ht="13.2" customHeight="1" s="405">
      <c r="B189" s="117" t="n"/>
    </row>
    <row r="190" ht="13.2" customHeight="1" s="405">
      <c r="B190" s="117" t="n"/>
    </row>
    <row r="191" ht="13.2" customHeight="1" s="405">
      <c r="B191" s="117" t="n"/>
    </row>
    <row r="192" ht="13.2" customHeight="1" s="405">
      <c r="B192" s="117" t="n"/>
    </row>
    <row r="193" ht="13.2" customHeight="1" s="405">
      <c r="B193" s="117" t="n"/>
    </row>
    <row r="194" ht="13.2" customHeight="1" s="405">
      <c r="B194" s="117" t="n"/>
    </row>
    <row r="195" ht="13.2" customHeight="1" s="405">
      <c r="B195" s="117" t="n"/>
    </row>
    <row r="196" ht="13.2" customHeight="1" s="405">
      <c r="B196" s="117" t="n"/>
    </row>
    <row r="197" ht="13.2" customHeight="1" s="405">
      <c r="B197" s="117" t="n"/>
    </row>
    <row r="198" ht="13.2" customHeight="1" s="405">
      <c r="B198" s="117" t="n"/>
    </row>
    <row r="199" ht="13.2" customHeight="1" s="405">
      <c r="B199" s="117" t="n"/>
    </row>
    <row r="200" ht="13.2" customHeight="1" s="405">
      <c r="B200" s="117" t="n"/>
    </row>
    <row r="201" ht="13.2" customHeight="1" s="405">
      <c r="B201" s="117" t="n"/>
    </row>
    <row r="202" ht="13.2" customHeight="1" s="405">
      <c r="B202" s="117" t="n"/>
    </row>
    <row r="203" ht="13.2" customHeight="1" s="405">
      <c r="B203" s="117" t="n"/>
    </row>
    <row r="204" ht="13.2" customHeight="1" s="405">
      <c r="B204" s="117" t="n"/>
    </row>
    <row r="205" ht="13.2" customHeight="1" s="405">
      <c r="B205" s="117" t="n"/>
    </row>
    <row r="206" ht="13.2" customHeight="1" s="405">
      <c r="B206" s="117" t="n"/>
    </row>
    <row r="207" ht="13.2" customHeight="1" s="405">
      <c r="B207" s="117" t="n"/>
    </row>
    <row r="208" ht="13.2" customHeight="1" s="405">
      <c r="B208" s="117" t="n"/>
    </row>
    <row r="209" ht="13.2" customHeight="1" s="405">
      <c r="B209" s="117" t="n"/>
    </row>
    <row r="210" ht="13.2" customHeight="1" s="405">
      <c r="B210" s="117" t="n"/>
    </row>
    <row r="211" ht="13.2" customHeight="1" s="405">
      <c r="B211" s="117" t="n"/>
    </row>
    <row r="212" ht="13.2" customHeight="1" s="405">
      <c r="B212" s="117" t="n"/>
    </row>
    <row r="213" ht="13.2" customHeight="1" s="405">
      <c r="B213" s="117" t="n"/>
    </row>
    <row r="214" ht="13.2" customHeight="1" s="405">
      <c r="B214" s="117" t="n"/>
    </row>
    <row r="215" ht="13.2" customHeight="1" s="405">
      <c r="B215" s="117" t="n"/>
    </row>
    <row r="216" ht="13.2" customHeight="1" s="405">
      <c r="B216" s="117" t="n"/>
    </row>
    <row r="217" ht="13.2" customHeight="1" s="405">
      <c r="B217" s="117" t="n"/>
    </row>
    <row r="218" ht="13.2" customHeight="1" s="405">
      <c r="B218" s="117" t="n"/>
    </row>
    <row r="219" ht="13.2" customHeight="1" s="405">
      <c r="B219" s="117" t="n"/>
    </row>
    <row r="220" ht="13.2" customHeight="1" s="405">
      <c r="B220" s="117" t="n"/>
    </row>
    <row r="221" ht="13.2" customHeight="1" s="405">
      <c r="B221" s="117" t="n"/>
    </row>
    <row r="222" ht="13.2" customHeight="1" s="405">
      <c r="B222" s="117" t="n"/>
    </row>
    <row r="223" ht="13.2" customHeight="1" s="405">
      <c r="B223" s="117" t="n"/>
    </row>
    <row r="224" ht="13.2" customHeight="1" s="405">
      <c r="B224" s="117" t="n"/>
    </row>
    <row r="225" ht="13.2" customHeight="1" s="405">
      <c r="B225" s="117" t="n"/>
    </row>
    <row r="226" ht="13.2" customHeight="1" s="405">
      <c r="B226" s="117" t="n"/>
    </row>
    <row r="227" ht="13.2" customHeight="1" s="405">
      <c r="B227" s="117" t="n"/>
    </row>
    <row r="228" ht="13.2" customHeight="1" s="405">
      <c r="B228" s="117" t="n"/>
    </row>
    <row r="229" ht="13.2" customHeight="1" s="405">
      <c r="B229" s="117" t="n"/>
    </row>
    <row r="230" ht="13.2" customHeight="1" s="405">
      <c r="B230" s="117" t="n"/>
    </row>
    <row r="231" ht="13.2" customHeight="1" s="405">
      <c r="B231" s="117" t="n"/>
    </row>
    <row r="232" ht="13.2" customHeight="1" s="405">
      <c r="B232" s="117" t="n"/>
    </row>
    <row r="233" ht="13.2" customHeight="1" s="405">
      <c r="B233" s="117" t="n"/>
    </row>
    <row r="234" ht="13.2" customHeight="1" s="405">
      <c r="B234" s="117" t="n"/>
    </row>
    <row r="235" ht="13.2" customHeight="1" s="405">
      <c r="B235" s="117" t="n"/>
    </row>
    <row r="236" ht="13.2" customHeight="1" s="405">
      <c r="B236" s="117" t="n"/>
    </row>
    <row r="237" ht="13.2" customHeight="1" s="405">
      <c r="B237" s="117" t="n"/>
    </row>
    <row r="238" ht="13.2" customHeight="1" s="405">
      <c r="B238" s="117" t="n"/>
    </row>
    <row r="239" ht="13.2" customHeight="1" s="405">
      <c r="B239" s="117" t="n"/>
    </row>
    <row r="240" ht="13.2" customHeight="1" s="405">
      <c r="B240" s="117" t="n"/>
    </row>
    <row r="241" ht="13.2" customHeight="1" s="405">
      <c r="B241" s="117" t="n"/>
    </row>
    <row r="242" ht="13.2" customHeight="1" s="405">
      <c r="B242" s="117" t="n"/>
    </row>
    <row r="243" ht="13.2" customHeight="1" s="405">
      <c r="B243" s="117" t="n"/>
    </row>
    <row r="244" ht="13.2" customHeight="1" s="405">
      <c r="B244" s="117" t="n"/>
    </row>
    <row r="245" ht="13.2" customHeight="1" s="405">
      <c r="B245" s="117" t="n"/>
    </row>
    <row r="246" ht="13.2" customHeight="1" s="405">
      <c r="B246" s="117" t="n"/>
    </row>
    <row r="247" ht="13.2" customHeight="1" s="405">
      <c r="B247" s="117" t="n"/>
    </row>
    <row r="248" ht="13.2" customHeight="1" s="405">
      <c r="B248" s="117" t="n"/>
    </row>
    <row r="249" ht="13.2" customHeight="1" s="405">
      <c r="B249" s="117" t="n"/>
    </row>
    <row r="250" ht="13.2" customHeight="1" s="405">
      <c r="B250" s="117" t="n"/>
    </row>
    <row r="251" ht="13.2" customHeight="1" s="405">
      <c r="B251" s="117" t="n"/>
    </row>
    <row r="252" ht="13.2" customHeight="1" s="405">
      <c r="B252" s="117" t="n"/>
    </row>
    <row r="253" ht="13.2" customHeight="1" s="405">
      <c r="B253" s="117" t="n"/>
    </row>
    <row r="254" ht="13.2" customHeight="1" s="405">
      <c r="B254" s="117" t="n"/>
    </row>
    <row r="255" ht="13.2" customHeight="1" s="405">
      <c r="B255" s="117" t="n"/>
    </row>
    <row r="256" ht="13.2" customHeight="1" s="405">
      <c r="B256" s="117" t="n"/>
    </row>
    <row r="257" ht="13.2" customHeight="1" s="405">
      <c r="B257" s="117" t="n"/>
    </row>
    <row r="258" ht="13.2" customHeight="1" s="405">
      <c r="B258" s="117" t="n"/>
    </row>
    <row r="259" ht="13.2" customHeight="1" s="405">
      <c r="B259" s="117" t="n"/>
    </row>
    <row r="260" ht="13.2" customHeight="1" s="405">
      <c r="B260" s="117" t="n"/>
    </row>
    <row r="261" ht="13.2" customHeight="1" s="405">
      <c r="B261" s="117" t="n"/>
    </row>
    <row r="262" ht="13.2" customHeight="1" s="405">
      <c r="B262" s="117" t="n"/>
    </row>
    <row r="263" ht="13.2" customHeight="1" s="405">
      <c r="B263" s="117" t="n"/>
    </row>
    <row r="264" ht="13.2" customHeight="1" s="405">
      <c r="B264" s="117" t="n"/>
    </row>
    <row r="265" ht="13.2" customHeight="1" s="405">
      <c r="B265" s="117" t="n"/>
    </row>
    <row r="266" ht="13.2" customHeight="1" s="405">
      <c r="B266" s="117" t="n"/>
    </row>
    <row r="267" ht="13.2" customHeight="1" s="405">
      <c r="B267" s="117" t="n"/>
    </row>
    <row r="268" ht="13.2" customHeight="1" s="405">
      <c r="B268" s="117" t="n"/>
    </row>
    <row r="269" ht="13.2" customHeight="1" s="405">
      <c r="B269" s="117" t="n"/>
    </row>
    <row r="270" ht="13.2" customHeight="1" s="405">
      <c r="B270" s="117" t="n"/>
    </row>
    <row r="271" ht="13.2" customHeight="1" s="405">
      <c r="B271" s="117" t="n"/>
    </row>
    <row r="272" ht="13.2" customHeight="1" s="405">
      <c r="B272" s="117" t="n"/>
    </row>
    <row r="273" ht="13.2" customHeight="1" s="405">
      <c r="B273" s="117" t="n"/>
    </row>
    <row r="274" ht="13.2" customHeight="1" s="405">
      <c r="B274" s="117" t="n"/>
    </row>
    <row r="275" ht="13.2" customHeight="1" s="405">
      <c r="B275" s="117" t="n"/>
    </row>
    <row r="276" ht="13.2" customHeight="1" s="405">
      <c r="B276" s="117" t="n"/>
    </row>
    <row r="277" ht="13.2" customHeight="1" s="405">
      <c r="B277" s="117" t="n"/>
    </row>
    <row r="278" ht="13.2" customHeight="1" s="405">
      <c r="B278" s="117" t="n"/>
    </row>
    <row r="279" ht="13.2" customHeight="1" s="405">
      <c r="B279" s="117" t="n"/>
    </row>
    <row r="280" ht="13.2" customHeight="1" s="405">
      <c r="B280" s="117" t="n"/>
    </row>
    <row r="281" ht="13.2" customHeight="1" s="405">
      <c r="B281" s="117" t="n"/>
    </row>
    <row r="282" ht="13.2" customHeight="1" s="405">
      <c r="B282" s="117" t="n"/>
    </row>
    <row r="283" ht="13.2" customHeight="1" s="405">
      <c r="B283" s="117" t="n"/>
    </row>
    <row r="284" ht="13.2" customHeight="1" s="405">
      <c r="B284" s="117" t="n"/>
    </row>
    <row r="285" ht="13.2" customHeight="1" s="405">
      <c r="B285" s="117" t="n"/>
    </row>
    <row r="286" ht="13.2" customHeight="1" s="405">
      <c r="B286" s="117" t="n"/>
    </row>
    <row r="287" ht="13.2" customHeight="1" s="405">
      <c r="B287" s="117" t="n"/>
    </row>
    <row r="288" ht="13.2" customHeight="1" s="405">
      <c r="B288" s="117" t="n"/>
    </row>
    <row r="289" ht="13.2" customHeight="1" s="405">
      <c r="B289" s="117" t="n"/>
    </row>
    <row r="290" ht="13.2" customHeight="1" s="405">
      <c r="B290" s="117" t="n"/>
    </row>
    <row r="291" ht="13.2" customHeight="1" s="405">
      <c r="B291" s="117" t="n"/>
    </row>
    <row r="292" ht="13.2" customHeight="1" s="405">
      <c r="B292" s="117" t="n"/>
    </row>
    <row r="293" ht="13.2" customHeight="1" s="405">
      <c r="B293" s="117" t="n"/>
    </row>
    <row r="294" ht="13.2" customHeight="1" s="405">
      <c r="B294" s="117" t="n"/>
    </row>
    <row r="295" ht="13.2" customHeight="1" s="405">
      <c r="B295" s="117" t="n"/>
    </row>
    <row r="296" ht="13.2" customHeight="1" s="405">
      <c r="B296" s="117" t="n"/>
    </row>
    <row r="297" ht="13.2" customHeight="1" s="405">
      <c r="B297" s="117" t="n"/>
    </row>
    <row r="298" ht="13.2" customHeight="1" s="405">
      <c r="B298" s="117" t="n"/>
    </row>
    <row r="299" ht="13.2" customHeight="1" s="405">
      <c r="B299" s="117" t="n"/>
    </row>
    <row r="300" ht="13.2" customHeight="1" s="405">
      <c r="B300" s="117" t="n"/>
    </row>
    <row r="301" ht="13.2" customHeight="1" s="405">
      <c r="B301" s="117" t="n"/>
    </row>
    <row r="302" ht="13.2" customHeight="1" s="405">
      <c r="B302" s="117" t="n"/>
    </row>
    <row r="303" ht="13.2" customHeight="1" s="405">
      <c r="B303" s="117" t="n"/>
    </row>
    <row r="304" ht="13.2" customHeight="1" s="405">
      <c r="B304" s="117" t="n"/>
    </row>
    <row r="305" ht="13.2" customHeight="1" s="405">
      <c r="B305" s="117" t="n"/>
    </row>
    <row r="306" ht="13.2" customHeight="1" s="405">
      <c r="B306" s="117" t="n"/>
    </row>
    <row r="307" ht="13.2" customHeight="1" s="405">
      <c r="B307" s="117" t="n"/>
    </row>
    <row r="308" ht="13.2" customHeight="1" s="405">
      <c r="B308" s="117" t="n"/>
    </row>
    <row r="309" ht="13.2" customHeight="1" s="405">
      <c r="B309" s="117" t="n"/>
    </row>
    <row r="310" ht="13.2" customHeight="1" s="405">
      <c r="B310" s="117" t="n"/>
    </row>
    <row r="311" ht="13.2" customHeight="1" s="405">
      <c r="B311" s="117" t="n"/>
    </row>
    <row r="312" ht="13.2" customHeight="1" s="405">
      <c r="B312" s="117" t="n"/>
    </row>
    <row r="313" ht="13.2" customHeight="1" s="405">
      <c r="B313" s="117" t="n"/>
    </row>
    <row r="314" ht="13.2" customHeight="1" s="405">
      <c r="B314" s="117" t="n"/>
    </row>
    <row r="315" ht="13.2" customHeight="1" s="405">
      <c r="B315" s="117" t="n"/>
    </row>
    <row r="316" ht="13.2" customHeight="1" s="405">
      <c r="B316" s="117" t="n"/>
    </row>
    <row r="317" ht="13.2" customHeight="1" s="405">
      <c r="B317" s="117" t="n"/>
    </row>
    <row r="318" ht="13.2" customHeight="1" s="405">
      <c r="B318" s="117" t="n"/>
    </row>
    <row r="319" ht="13.2" customHeight="1" s="405">
      <c r="B319" s="117" t="n"/>
    </row>
    <row r="320" ht="13.2" customHeight="1" s="405">
      <c r="B320" s="117" t="n"/>
    </row>
    <row r="321" ht="13.2" customHeight="1" s="405">
      <c r="B321" s="117" t="n"/>
    </row>
    <row r="322" ht="13.2" customHeight="1" s="405">
      <c r="B322" s="117" t="n"/>
    </row>
    <row r="323" ht="13.2" customHeight="1" s="405">
      <c r="B323" s="117" t="n"/>
    </row>
    <row r="324" ht="13.2" customHeight="1" s="405">
      <c r="B324" s="117" t="n"/>
    </row>
    <row r="325" ht="13.2" customHeight="1" s="405">
      <c r="B325" s="117" t="n"/>
    </row>
    <row r="326" ht="13.2" customHeight="1" s="405">
      <c r="B326" s="117" t="n"/>
    </row>
    <row r="327" ht="13.2" customHeight="1" s="405">
      <c r="B327" s="117" t="n"/>
    </row>
    <row r="328" ht="13.2" customHeight="1" s="405">
      <c r="B328" s="117" t="n"/>
    </row>
    <row r="329" ht="13.2" customHeight="1" s="405">
      <c r="B329" s="117" t="n"/>
    </row>
    <row r="330" ht="13.2" customHeight="1" s="405">
      <c r="B330" s="117" t="n"/>
    </row>
    <row r="331" ht="13.2" customHeight="1" s="405">
      <c r="B331" s="117" t="n"/>
    </row>
    <row r="332" ht="13.2" customHeight="1" s="405">
      <c r="B332" s="117" t="n"/>
    </row>
    <row r="333" ht="13.2" customHeight="1" s="405">
      <c r="B333" s="117" t="n"/>
    </row>
    <row r="334" ht="13.2" customHeight="1" s="405">
      <c r="B334" s="117" t="n"/>
    </row>
    <row r="335" ht="13.2" customHeight="1" s="405">
      <c r="B335" s="117" t="n"/>
    </row>
    <row r="336" ht="13.2" customHeight="1" s="405">
      <c r="B336" s="117" t="n"/>
    </row>
    <row r="337" ht="13.2" customHeight="1" s="405">
      <c r="B337" s="117" t="n"/>
    </row>
    <row r="338" ht="13.2" customHeight="1" s="405">
      <c r="B338" s="117" t="n"/>
    </row>
    <row r="339" ht="13.2" customHeight="1" s="405">
      <c r="B339" s="117" t="n"/>
    </row>
    <row r="340" ht="13.2" customHeight="1" s="405">
      <c r="B340" s="117" t="n"/>
    </row>
    <row r="341" ht="13.2" customHeight="1" s="405">
      <c r="B341" s="117" t="n"/>
    </row>
    <row r="342" ht="13.2" customHeight="1" s="405">
      <c r="B342" s="117" t="n"/>
    </row>
    <row r="343" ht="13.2" customHeight="1" s="405">
      <c r="B343" s="117" t="n"/>
    </row>
    <row r="344" ht="13.2" customHeight="1" s="405">
      <c r="B344" s="117" t="n"/>
    </row>
    <row r="345" ht="13.2" customHeight="1" s="405">
      <c r="B345" s="117" t="n"/>
    </row>
    <row r="346" ht="13.2" customHeight="1" s="405">
      <c r="B346" s="117" t="n"/>
    </row>
    <row r="347" ht="13.2" customHeight="1" s="405">
      <c r="B347" s="117" t="n"/>
    </row>
    <row r="348" ht="13.2" customHeight="1" s="405">
      <c r="B348" s="117" t="n"/>
    </row>
    <row r="349" ht="13.2" customHeight="1" s="405">
      <c r="B349" s="117" t="n"/>
    </row>
    <row r="350" ht="13.2" customHeight="1" s="405">
      <c r="B350" s="117" t="n"/>
    </row>
    <row r="351" ht="13.2" customHeight="1" s="405">
      <c r="B351" s="117" t="n"/>
    </row>
    <row r="352" ht="13.2" customHeight="1" s="405">
      <c r="B352" s="117" t="n"/>
    </row>
    <row r="353" ht="13.2" customHeight="1" s="405">
      <c r="B353" s="117" t="n"/>
    </row>
    <row r="354" ht="13.2" customHeight="1" s="405">
      <c r="B354" s="117" t="n"/>
    </row>
    <row r="355" ht="13.2" customHeight="1" s="405">
      <c r="B355" s="117" t="n"/>
    </row>
    <row r="356" ht="13.2" customHeight="1" s="405">
      <c r="B356" s="117" t="n"/>
    </row>
    <row r="357" ht="13.2" customHeight="1" s="405">
      <c r="B357" s="117" t="n"/>
    </row>
    <row r="358" ht="13.2" customHeight="1" s="405">
      <c r="B358" s="117" t="n"/>
    </row>
    <row r="359" ht="13.2" customHeight="1" s="405">
      <c r="B359" s="117" t="n"/>
    </row>
    <row r="360" ht="13.2" customHeight="1" s="405">
      <c r="B360" s="117" t="n"/>
    </row>
    <row r="361" ht="13.2" customHeight="1" s="405">
      <c r="B361" s="117" t="n"/>
    </row>
    <row r="362" ht="13.2" customHeight="1" s="405">
      <c r="B362" s="117" t="n"/>
    </row>
    <row r="363" ht="13.2" customHeight="1" s="405">
      <c r="B363" s="117" t="n"/>
    </row>
    <row r="364" ht="13.2" customHeight="1" s="405">
      <c r="B364" s="117" t="n"/>
    </row>
    <row r="365" ht="13.2" customHeight="1" s="405">
      <c r="B365" s="117" t="n"/>
    </row>
    <row r="366" ht="13.2" customHeight="1" s="405">
      <c r="B366" s="117" t="n"/>
    </row>
    <row r="367" ht="13.2" customHeight="1" s="405">
      <c r="B367" s="117" t="n"/>
    </row>
    <row r="368" ht="13.2" customHeight="1" s="405">
      <c r="B368" s="117" t="n"/>
    </row>
    <row r="369" ht="13.2" customHeight="1" s="405">
      <c r="B369" s="117" t="n"/>
    </row>
    <row r="370" ht="13.2" customHeight="1" s="405">
      <c r="B370" s="117" t="n"/>
    </row>
    <row r="371" ht="13.2" customHeight="1" s="405">
      <c r="B371" s="117" t="n"/>
    </row>
    <row r="372" ht="13.2" customHeight="1" s="405">
      <c r="B372" s="117" t="n"/>
    </row>
    <row r="373" ht="13.2" customHeight="1" s="405">
      <c r="B373" s="117" t="n"/>
    </row>
    <row r="374" ht="13.2" customHeight="1" s="405">
      <c r="B374" s="117" t="n"/>
    </row>
    <row r="375" ht="13.2" customHeight="1" s="405">
      <c r="B375" s="117" t="n"/>
    </row>
    <row r="376" ht="13.2" customHeight="1" s="405">
      <c r="B376" s="117" t="n"/>
    </row>
    <row r="377" ht="13.2" customHeight="1" s="405">
      <c r="B377" s="117" t="n"/>
    </row>
    <row r="378" ht="13.2" customHeight="1" s="405">
      <c r="B378" s="117" t="n"/>
    </row>
    <row r="379" ht="13.2" customHeight="1" s="405">
      <c r="B379" s="117" t="n"/>
    </row>
    <row r="380" ht="13.2" customHeight="1" s="405">
      <c r="B380" s="117" t="n"/>
    </row>
    <row r="381" ht="13.2" customHeight="1" s="405">
      <c r="B381" s="117" t="n"/>
    </row>
    <row r="382" ht="13.2" customHeight="1" s="405">
      <c r="B382" s="117" t="n"/>
    </row>
    <row r="383" ht="13.2" customHeight="1" s="405">
      <c r="B383" s="117" t="n"/>
    </row>
    <row r="384" ht="13.2" customHeight="1" s="405">
      <c r="B384" s="117" t="n"/>
    </row>
    <row r="385" ht="13.2" customHeight="1" s="405">
      <c r="B385" s="117" t="n"/>
    </row>
    <row r="386" ht="13.2" customHeight="1" s="405">
      <c r="B386" s="117" t="n"/>
    </row>
    <row r="387" ht="13.2" customHeight="1" s="405">
      <c r="B387" s="117" t="n"/>
    </row>
    <row r="388" ht="13.2" customHeight="1" s="405">
      <c r="B388" s="117" t="n"/>
    </row>
    <row r="389" ht="13.2" customHeight="1" s="405">
      <c r="B389" s="117" t="n"/>
    </row>
    <row r="390" ht="13.2" customHeight="1" s="405">
      <c r="B390" s="117" t="n"/>
    </row>
    <row r="391" ht="13.2" customHeight="1" s="405">
      <c r="B391" s="117" t="n"/>
    </row>
    <row r="392" ht="13.2" customHeight="1" s="405">
      <c r="B392" s="117" t="n"/>
    </row>
    <row r="393" ht="13.2" customHeight="1" s="405">
      <c r="B393" s="117" t="n"/>
    </row>
    <row r="394" ht="13.2" customHeight="1" s="405">
      <c r="B394" s="117" t="n"/>
    </row>
    <row r="395" ht="13.2" customHeight="1" s="405">
      <c r="B395" s="117" t="n"/>
    </row>
    <row r="396" ht="13.2" customHeight="1" s="405">
      <c r="B396" s="117" t="n"/>
    </row>
    <row r="397" ht="13.2" customHeight="1" s="405">
      <c r="B397" s="117" t="n"/>
    </row>
    <row r="398" ht="13.2" customHeight="1" s="405">
      <c r="B398" s="117" t="n"/>
    </row>
    <row r="399" ht="13.2" customHeight="1" s="405">
      <c r="B399" s="117" t="n"/>
    </row>
    <row r="400" ht="13.2" customHeight="1" s="405">
      <c r="B400" s="117" t="n"/>
    </row>
    <row r="401" ht="13.2" customHeight="1" s="405">
      <c r="B401" s="117" t="n"/>
    </row>
    <row r="402" ht="13.2" customHeight="1" s="405">
      <c r="B402" s="117" t="n"/>
    </row>
    <row r="403" ht="13.2" customHeight="1" s="405">
      <c r="B403" s="117" t="n"/>
    </row>
    <row r="404" ht="13.2" customHeight="1" s="405">
      <c r="B404" s="117" t="n"/>
    </row>
    <row r="405" ht="13.2" customHeight="1" s="405">
      <c r="B405" s="117" t="n"/>
    </row>
    <row r="406" ht="13.2" customHeight="1" s="405">
      <c r="B406" s="117" t="n"/>
    </row>
    <row r="407" ht="13.2" customHeight="1" s="405">
      <c r="B407" s="117" t="n"/>
    </row>
    <row r="408" ht="13.2" customHeight="1" s="405">
      <c r="B408" s="117" t="n"/>
    </row>
    <row r="409" ht="13.2" customHeight="1" s="405">
      <c r="B409" s="117" t="n"/>
    </row>
    <row r="410" ht="13.2" customHeight="1" s="405">
      <c r="B410" s="117" t="n"/>
    </row>
    <row r="411" ht="13.2" customHeight="1" s="405">
      <c r="B411" s="117" t="n"/>
    </row>
    <row r="412" ht="13.2" customHeight="1" s="405">
      <c r="B412" s="117" t="n"/>
    </row>
    <row r="413" ht="13.2" customHeight="1" s="405">
      <c r="B413" s="117" t="n"/>
    </row>
    <row r="414" ht="13.2" customHeight="1" s="405">
      <c r="B414" s="117" t="n"/>
    </row>
    <row r="415" ht="13.2" customHeight="1" s="405">
      <c r="B415" s="117" t="n"/>
    </row>
    <row r="416" ht="13.2" customHeight="1" s="405">
      <c r="B416" s="117" t="n"/>
    </row>
    <row r="417" ht="13.2" customHeight="1" s="405">
      <c r="B417" s="117" t="n"/>
    </row>
    <row r="418" ht="13.2" customHeight="1" s="405">
      <c r="B418" s="117" t="n"/>
    </row>
    <row r="419" ht="13.2" customHeight="1" s="405">
      <c r="B419" s="117" t="n"/>
    </row>
    <row r="420" ht="13.2" customHeight="1" s="405">
      <c r="B420" s="117" t="n"/>
    </row>
    <row r="421" ht="13.2" customHeight="1" s="405">
      <c r="B421" s="117" t="n"/>
    </row>
    <row r="422" ht="13.2" customHeight="1" s="405">
      <c r="B422" s="117" t="n"/>
    </row>
    <row r="423" ht="13.2" customHeight="1" s="405">
      <c r="B423" s="117" t="n"/>
    </row>
    <row r="424" ht="13.2" customHeight="1" s="405">
      <c r="B424" s="117" t="n"/>
    </row>
    <row r="425" ht="13.2" customHeight="1" s="405">
      <c r="B425" s="117" t="n"/>
    </row>
    <row r="426" ht="13.2" customHeight="1" s="405">
      <c r="B426" s="117" t="n"/>
    </row>
    <row r="427" ht="13.2" customHeight="1" s="405">
      <c r="B427" s="117" t="n"/>
    </row>
    <row r="428" ht="13.2" customHeight="1" s="405">
      <c r="B428" s="117" t="n"/>
    </row>
    <row r="429" ht="13.2" customHeight="1" s="405">
      <c r="B429" s="117" t="n"/>
    </row>
    <row r="430" ht="13.2" customHeight="1" s="405">
      <c r="B430" s="117" t="n"/>
    </row>
    <row r="431" ht="13.2" customHeight="1" s="405">
      <c r="B431" s="117" t="n"/>
    </row>
    <row r="432" ht="13.2" customHeight="1" s="405">
      <c r="B432" s="117" t="n"/>
    </row>
    <row r="433" ht="13.2" customHeight="1" s="405">
      <c r="B433" s="117" t="n"/>
    </row>
    <row r="434" ht="13.2" customHeight="1" s="405">
      <c r="B434" s="117" t="n"/>
    </row>
    <row r="435" ht="13.2" customHeight="1" s="405">
      <c r="B435" s="117" t="n"/>
    </row>
    <row r="436" ht="13.2" customHeight="1" s="405">
      <c r="B436" s="117" t="n"/>
    </row>
    <row r="437" ht="13.2" customHeight="1" s="405">
      <c r="B437" s="117" t="n"/>
    </row>
    <row r="438" ht="13.2" customHeight="1" s="405">
      <c r="B438" s="117" t="n"/>
    </row>
    <row r="439" ht="13.2" customHeight="1" s="405">
      <c r="B439" s="117" t="n"/>
    </row>
    <row r="440" ht="13.2" customHeight="1" s="405">
      <c r="B440" s="117" t="n"/>
    </row>
    <row r="441" ht="13.2" customHeight="1" s="405">
      <c r="B441" s="117" t="n"/>
    </row>
    <row r="442" ht="13.2" customHeight="1" s="405">
      <c r="B442" s="117" t="n"/>
    </row>
    <row r="443" ht="13.2" customHeight="1" s="405">
      <c r="B443" s="117" t="n"/>
    </row>
    <row r="444" ht="13.2" customHeight="1" s="405">
      <c r="B444" s="117" t="n"/>
    </row>
    <row r="445" ht="13.2" customHeight="1" s="405">
      <c r="B445" s="117" t="n"/>
    </row>
    <row r="446" ht="13.2" customHeight="1" s="405">
      <c r="B446" s="117" t="n"/>
    </row>
    <row r="447" ht="13.2" customHeight="1" s="405">
      <c r="B447" s="117" t="n"/>
    </row>
    <row r="448" ht="13.2" customHeight="1" s="405">
      <c r="B448" s="117" t="n"/>
    </row>
    <row r="449" ht="13.2" customHeight="1" s="405">
      <c r="B449" s="117" t="n"/>
    </row>
    <row r="450" ht="13.2" customHeight="1" s="405">
      <c r="B450" s="117" t="n"/>
    </row>
    <row r="451" ht="13.2" customHeight="1" s="405">
      <c r="B451" s="117" t="n"/>
    </row>
    <row r="452" ht="13.2" customHeight="1" s="405">
      <c r="B452" s="117" t="n"/>
    </row>
    <row r="453" ht="13.2" customHeight="1" s="405">
      <c r="B453" s="117" t="n"/>
    </row>
    <row r="454" ht="13.2" customHeight="1" s="405">
      <c r="B454" s="117" t="n"/>
    </row>
    <row r="455" ht="13.2" customHeight="1" s="405">
      <c r="B455" s="117" t="n"/>
    </row>
    <row r="456" ht="13.2" customHeight="1" s="405">
      <c r="B456" s="117" t="n"/>
    </row>
    <row r="457" ht="13.2" customHeight="1" s="405">
      <c r="B457" s="117" t="n"/>
    </row>
    <row r="458" ht="13.2" customHeight="1" s="405">
      <c r="B458" s="117" t="n"/>
    </row>
    <row r="459" ht="13.2" customHeight="1" s="405">
      <c r="B459" s="117" t="n"/>
    </row>
    <row r="460" ht="13.2" customHeight="1" s="405">
      <c r="B460" s="117" t="n"/>
    </row>
    <row r="461" ht="13.2" customHeight="1" s="405">
      <c r="B461" s="117" t="n"/>
    </row>
    <row r="462" ht="13.2" customHeight="1" s="405">
      <c r="B462" s="117" t="n"/>
    </row>
    <row r="463" ht="13.2" customHeight="1" s="405">
      <c r="B463" s="117" t="n"/>
    </row>
    <row r="464" ht="13.2" customHeight="1" s="405">
      <c r="B464" s="117" t="n"/>
    </row>
    <row r="465" ht="13.2" customHeight="1" s="405">
      <c r="B465" s="117" t="n"/>
    </row>
    <row r="466" ht="13.2" customHeight="1" s="405">
      <c r="B466" s="117" t="n"/>
    </row>
    <row r="467" ht="13.2" customHeight="1" s="405">
      <c r="B467" s="117" t="n"/>
    </row>
    <row r="468" ht="13.2" customHeight="1" s="405">
      <c r="B468" s="117" t="n"/>
    </row>
    <row r="469" ht="13.2" customHeight="1" s="405">
      <c r="B469" s="117" t="n"/>
    </row>
    <row r="470" ht="13.2" customHeight="1" s="405">
      <c r="B470" s="117" t="n"/>
    </row>
    <row r="471" ht="13.2" customHeight="1" s="405">
      <c r="B471" s="117" t="n"/>
    </row>
    <row r="472" ht="13.2" customHeight="1" s="405">
      <c r="B472" s="117" t="n"/>
    </row>
    <row r="473" ht="13.2" customHeight="1" s="405">
      <c r="B473" s="117" t="n"/>
    </row>
    <row r="474" ht="13.2" customHeight="1" s="405">
      <c r="B474" s="117" t="n"/>
    </row>
    <row r="475" ht="13.2" customHeight="1" s="405">
      <c r="B475" s="117" t="n"/>
    </row>
    <row r="476" ht="13.2" customHeight="1" s="405">
      <c r="B476" s="117" t="n"/>
    </row>
    <row r="477" ht="13.2" customHeight="1" s="405">
      <c r="B477" s="117" t="n"/>
    </row>
    <row r="478" ht="13.2" customHeight="1" s="405">
      <c r="B478" s="117" t="n"/>
    </row>
    <row r="479" ht="13.2" customHeight="1" s="405">
      <c r="B479" s="117" t="n"/>
    </row>
    <row r="480" ht="13.2" customHeight="1" s="405">
      <c r="B480" s="117" t="n"/>
    </row>
    <row r="481" ht="13.2" customHeight="1" s="405">
      <c r="B481" s="117" t="n"/>
    </row>
    <row r="482" ht="13.2" customHeight="1" s="405">
      <c r="B482" s="117" t="n"/>
    </row>
    <row r="483" ht="13.2" customHeight="1" s="405">
      <c r="B483" s="117" t="n"/>
    </row>
    <row r="484" ht="13.2" customHeight="1" s="405">
      <c r="B484" s="117" t="n"/>
    </row>
    <row r="485" ht="13.2" customHeight="1" s="405">
      <c r="B485" s="117" t="n"/>
    </row>
    <row r="486" ht="13.2" customHeight="1" s="405">
      <c r="B486" s="117" t="n"/>
    </row>
    <row r="487" ht="13.2" customHeight="1" s="405">
      <c r="B487" s="117" t="n"/>
    </row>
    <row r="488" ht="13.2" customHeight="1" s="405">
      <c r="B488" s="117" t="n"/>
    </row>
    <row r="489" ht="13.2" customHeight="1" s="405">
      <c r="B489" s="117" t="n"/>
    </row>
    <row r="490" ht="13.2" customHeight="1" s="405">
      <c r="B490" s="117" t="n"/>
    </row>
    <row r="491" ht="13.2" customHeight="1" s="405">
      <c r="B491" s="117" t="n"/>
    </row>
    <row r="492" ht="13.2" customHeight="1" s="405">
      <c r="B492" s="117" t="n"/>
    </row>
    <row r="493" ht="13.2" customHeight="1" s="405">
      <c r="B493" s="117" t="n"/>
    </row>
    <row r="494" ht="13.2" customHeight="1" s="405">
      <c r="B494" s="117" t="n"/>
    </row>
    <row r="495" ht="13.2" customHeight="1" s="405">
      <c r="B495" s="117" t="n"/>
    </row>
    <row r="496" ht="13.2" customHeight="1" s="405">
      <c r="B496" s="117" t="n"/>
    </row>
    <row r="497" ht="13.2" customHeight="1" s="405">
      <c r="B497" s="117" t="n"/>
    </row>
    <row r="498" ht="13.2" customHeight="1" s="405">
      <c r="B498" s="117" t="n"/>
    </row>
    <row r="499" ht="13.2" customHeight="1" s="405">
      <c r="B499" s="117" t="n"/>
    </row>
    <row r="500" ht="13.2" customHeight="1" s="405">
      <c r="B500" s="117" t="n"/>
    </row>
    <row r="501" ht="13.2" customHeight="1" s="405">
      <c r="B501" s="117" t="n"/>
    </row>
    <row r="502" ht="13.2" customHeight="1" s="405">
      <c r="B502" s="117" t="n"/>
    </row>
    <row r="503" ht="13.2" customHeight="1" s="405">
      <c r="B503" s="117" t="n"/>
    </row>
    <row r="504" ht="13.2" customHeight="1" s="405">
      <c r="B504" s="117" t="n"/>
    </row>
    <row r="505" ht="13.2" customHeight="1" s="405">
      <c r="B505" s="117" t="n"/>
    </row>
    <row r="506" ht="13.2" customHeight="1" s="405">
      <c r="B506" s="117" t="n"/>
    </row>
    <row r="507" ht="13.2" customHeight="1" s="405">
      <c r="B507" s="117" t="n"/>
    </row>
    <row r="508" ht="13.2" customHeight="1" s="405">
      <c r="B508" s="117" t="n"/>
    </row>
    <row r="509" ht="13.2" customHeight="1" s="405">
      <c r="B509" s="117" t="n"/>
    </row>
    <row r="510" ht="13.2" customHeight="1" s="405">
      <c r="B510" s="117" t="n"/>
    </row>
    <row r="511" ht="13.2" customHeight="1" s="405">
      <c r="B511" s="117" t="n"/>
    </row>
    <row r="512" ht="13.2" customHeight="1" s="405">
      <c r="B512" s="117" t="n"/>
    </row>
    <row r="513" ht="13.2" customHeight="1" s="405">
      <c r="B513" s="117" t="n"/>
    </row>
    <row r="514" ht="13.2" customHeight="1" s="405">
      <c r="B514" s="117" t="n"/>
    </row>
    <row r="515" ht="13.2" customHeight="1" s="405">
      <c r="B515" s="117" t="n"/>
    </row>
    <row r="516" ht="13.2" customHeight="1" s="405">
      <c r="B516" s="117" t="n"/>
    </row>
    <row r="517" ht="13.2" customHeight="1" s="405">
      <c r="B517" s="117" t="n"/>
    </row>
    <row r="518" ht="13.2" customHeight="1" s="405">
      <c r="B518" s="117" t="n"/>
    </row>
    <row r="519" ht="13.2" customHeight="1" s="405">
      <c r="B519" s="117" t="n"/>
    </row>
    <row r="520" ht="13.2" customHeight="1" s="405">
      <c r="B520" s="117" t="n"/>
    </row>
    <row r="521" ht="13.2" customHeight="1" s="405">
      <c r="B521" s="117" t="n"/>
    </row>
    <row r="522" ht="13.2" customHeight="1" s="405">
      <c r="B522" s="117" t="n"/>
    </row>
    <row r="523" ht="13.2" customHeight="1" s="405">
      <c r="B523" s="117" t="n"/>
    </row>
    <row r="524" ht="13.2" customHeight="1" s="405">
      <c r="B524" s="117" t="n"/>
    </row>
    <row r="525" ht="13.2" customHeight="1" s="405">
      <c r="B525" s="117" t="n"/>
    </row>
    <row r="526" ht="13.2" customHeight="1" s="405">
      <c r="B526" s="117" t="n"/>
    </row>
    <row r="527" ht="13.2" customHeight="1" s="405">
      <c r="B527" s="117" t="n"/>
    </row>
    <row r="528" ht="13.2" customHeight="1" s="405">
      <c r="B528" s="117" t="n"/>
    </row>
    <row r="529" ht="13.2" customHeight="1" s="405">
      <c r="B529" s="117" t="n"/>
    </row>
    <row r="530" ht="13.2" customHeight="1" s="405">
      <c r="B530" s="117" t="n"/>
    </row>
    <row r="531" ht="13.2" customHeight="1" s="405">
      <c r="B531" s="117" t="n"/>
    </row>
    <row r="532" ht="13.2" customHeight="1" s="405">
      <c r="B532" s="117" t="n"/>
    </row>
    <row r="533" ht="13.2" customHeight="1" s="405">
      <c r="B533" s="117" t="n"/>
    </row>
    <row r="534" ht="13.2" customHeight="1" s="405">
      <c r="B534" s="117" t="n"/>
    </row>
    <row r="535" ht="13.2" customHeight="1" s="405">
      <c r="B535" s="117" t="n"/>
    </row>
    <row r="536" ht="13.2" customHeight="1" s="405">
      <c r="B536" s="117" t="n"/>
    </row>
    <row r="537" ht="13.2" customHeight="1" s="405">
      <c r="B537" s="117" t="n"/>
    </row>
    <row r="538" ht="13.2" customHeight="1" s="405">
      <c r="B538" s="117" t="n"/>
    </row>
    <row r="539" ht="13.2" customHeight="1" s="405">
      <c r="B539" s="117" t="n"/>
    </row>
    <row r="540" ht="13.2" customHeight="1" s="405">
      <c r="B540" s="117" t="n"/>
    </row>
    <row r="541" ht="13.2" customHeight="1" s="405">
      <c r="B541" s="117" t="n"/>
    </row>
    <row r="542" ht="13.2" customHeight="1" s="405">
      <c r="B542" s="117" t="n"/>
    </row>
    <row r="543" ht="13.2" customHeight="1" s="405">
      <c r="B543" s="117" t="n"/>
    </row>
    <row r="544" ht="13.2" customHeight="1" s="405">
      <c r="B544" s="117" t="n"/>
    </row>
    <row r="545" ht="13.2" customHeight="1" s="405">
      <c r="B545" s="117" t="n"/>
    </row>
    <row r="546" ht="13.2" customHeight="1" s="405">
      <c r="B546" s="117" t="n"/>
    </row>
    <row r="547" ht="13.2" customHeight="1" s="405">
      <c r="B547" s="117" t="n"/>
    </row>
    <row r="548" ht="13.2" customHeight="1" s="405">
      <c r="B548" s="117" t="n"/>
    </row>
    <row r="549" ht="13.2" customHeight="1" s="405">
      <c r="B549" s="117" t="n"/>
    </row>
    <row r="550" ht="13.2" customHeight="1" s="405">
      <c r="B550" s="117" t="n"/>
    </row>
    <row r="551" ht="13.2" customHeight="1" s="405">
      <c r="B551" s="117" t="n"/>
    </row>
    <row r="552" ht="13.2" customHeight="1" s="405">
      <c r="B552" s="117" t="n"/>
    </row>
    <row r="553" ht="13.2" customHeight="1" s="405">
      <c r="B553" s="117" t="n"/>
    </row>
    <row r="554" ht="13.2" customHeight="1" s="405">
      <c r="B554" s="117" t="n"/>
    </row>
    <row r="555" ht="13.2" customHeight="1" s="405">
      <c r="B555" s="117" t="n"/>
    </row>
    <row r="556" ht="13.2" customHeight="1" s="405">
      <c r="B556" s="117" t="n"/>
    </row>
    <row r="557" ht="13.2" customHeight="1" s="405">
      <c r="B557" s="117" t="n"/>
    </row>
    <row r="558" ht="13.2" customHeight="1" s="405">
      <c r="B558" s="117" t="n"/>
    </row>
    <row r="559" ht="13.2" customHeight="1" s="405">
      <c r="B559" s="117" t="n"/>
    </row>
    <row r="560" ht="13.2" customHeight="1" s="405">
      <c r="B560" s="117" t="n"/>
    </row>
    <row r="561" ht="13.2" customHeight="1" s="405">
      <c r="B561" s="117" t="n"/>
    </row>
    <row r="562" ht="13.2" customHeight="1" s="405">
      <c r="B562" s="117" t="n"/>
    </row>
    <row r="563" ht="13.2" customHeight="1" s="405">
      <c r="B563" s="117" t="n"/>
    </row>
    <row r="564" ht="13.2" customHeight="1" s="405">
      <c r="B564" s="117" t="n"/>
    </row>
    <row r="565" ht="13.2" customHeight="1" s="405">
      <c r="B565" s="117" t="n"/>
    </row>
    <row r="566" ht="13.2" customHeight="1" s="405">
      <c r="B566" s="117" t="n"/>
    </row>
    <row r="567" ht="13.2" customHeight="1" s="405">
      <c r="B567" s="117" t="n"/>
    </row>
    <row r="568" ht="13.2" customHeight="1" s="405">
      <c r="B568" s="117" t="n"/>
    </row>
    <row r="569" ht="13.2" customHeight="1" s="405">
      <c r="B569" s="117" t="n"/>
    </row>
    <row r="570" ht="13.2" customHeight="1" s="405">
      <c r="B570" s="117" t="n"/>
    </row>
    <row r="571" ht="13.2" customHeight="1" s="405">
      <c r="B571" s="117" t="n"/>
    </row>
    <row r="572" ht="13.2" customHeight="1" s="405">
      <c r="B572" s="117" t="n"/>
    </row>
    <row r="573" ht="13.2" customHeight="1" s="405">
      <c r="B573" s="117" t="n"/>
    </row>
    <row r="574" ht="13.2" customHeight="1" s="405">
      <c r="B574" s="117" t="n"/>
    </row>
    <row r="575" ht="13.2" customHeight="1" s="405">
      <c r="B575" s="117" t="n"/>
    </row>
    <row r="576" ht="13.2" customHeight="1" s="405">
      <c r="B576" s="117" t="n"/>
    </row>
    <row r="577" ht="13.2" customHeight="1" s="405">
      <c r="B577" s="117" t="n"/>
    </row>
    <row r="578" ht="13.2" customHeight="1" s="405">
      <c r="B578" s="117" t="n"/>
    </row>
    <row r="579" ht="13.2" customHeight="1" s="405">
      <c r="B579" s="117" t="n"/>
    </row>
    <row r="580" ht="13.2" customHeight="1" s="405">
      <c r="B580" s="117" t="n"/>
    </row>
    <row r="581" ht="13.2" customHeight="1" s="405">
      <c r="B581" s="117" t="n"/>
    </row>
    <row r="582" ht="13.2" customHeight="1" s="405">
      <c r="B582" s="117" t="n"/>
    </row>
    <row r="583" ht="13.2" customHeight="1" s="405">
      <c r="B583" s="117" t="n"/>
    </row>
    <row r="584" ht="13.2" customHeight="1" s="405">
      <c r="B584" s="117" t="n"/>
    </row>
    <row r="585" ht="13.2" customHeight="1" s="405">
      <c r="B585" s="117" t="n"/>
    </row>
    <row r="586" ht="13.2" customHeight="1" s="405">
      <c r="B586" s="117" t="n"/>
    </row>
    <row r="587" ht="13.2" customHeight="1" s="405">
      <c r="B587" s="117" t="n"/>
    </row>
    <row r="588" ht="13.2" customHeight="1" s="405">
      <c r="B588" s="117" t="n"/>
    </row>
    <row r="589" ht="13.2" customHeight="1" s="405">
      <c r="B589" s="117" t="n"/>
    </row>
    <row r="590" ht="13.2" customHeight="1" s="405">
      <c r="B590" s="117" t="n"/>
    </row>
    <row r="591" ht="13.2" customHeight="1" s="405">
      <c r="B591" s="117" t="n"/>
    </row>
    <row r="592" ht="13.2" customHeight="1" s="405">
      <c r="B592" s="117" t="n"/>
    </row>
    <row r="593" ht="13.2" customHeight="1" s="405">
      <c r="B593" s="117" t="n"/>
    </row>
    <row r="594" ht="13.2" customHeight="1" s="405">
      <c r="B594" s="117" t="n"/>
    </row>
    <row r="595" ht="13.2" customHeight="1" s="405">
      <c r="B595" s="117" t="n"/>
    </row>
    <row r="596" ht="13.2" customHeight="1" s="405">
      <c r="B596" s="117" t="n"/>
    </row>
    <row r="597" ht="13.2" customHeight="1" s="405">
      <c r="B597" s="117" t="n"/>
    </row>
    <row r="598" ht="13.2" customHeight="1" s="405">
      <c r="B598" s="117" t="n"/>
    </row>
    <row r="599" ht="13.2" customHeight="1" s="405">
      <c r="B599" s="117" t="n"/>
    </row>
    <row r="600" ht="13.2" customHeight="1" s="405">
      <c r="B600" s="117" t="n"/>
    </row>
    <row r="601" ht="13.2" customHeight="1" s="405">
      <c r="B601" s="117" t="n"/>
    </row>
    <row r="602" ht="13.2" customHeight="1" s="405">
      <c r="B602" s="117" t="n"/>
    </row>
    <row r="603" ht="13.2" customHeight="1" s="405">
      <c r="B603" s="117" t="n"/>
    </row>
    <row r="604" ht="13.2" customHeight="1" s="405">
      <c r="B604" s="117" t="n"/>
    </row>
    <row r="605" ht="13.2" customHeight="1" s="405">
      <c r="B605" s="117" t="n"/>
    </row>
    <row r="606" ht="13.2" customHeight="1" s="405">
      <c r="B606" s="117" t="n"/>
    </row>
    <row r="607" ht="13.2" customHeight="1" s="405">
      <c r="B607" s="117" t="n"/>
    </row>
    <row r="608" ht="13.2" customHeight="1" s="405">
      <c r="B608" s="117" t="n"/>
    </row>
    <row r="609" ht="13.2" customHeight="1" s="405">
      <c r="B609" s="117" t="n"/>
    </row>
    <row r="610" ht="13.2" customHeight="1" s="405">
      <c r="B610" s="117" t="n"/>
    </row>
    <row r="611" ht="13.2" customHeight="1" s="405">
      <c r="B611" s="117" t="n"/>
    </row>
    <row r="612" ht="13.2" customHeight="1" s="405">
      <c r="B612" s="117" t="n"/>
    </row>
    <row r="613" ht="13.2" customHeight="1" s="405">
      <c r="B613" s="117" t="n"/>
    </row>
    <row r="614" ht="13.2" customHeight="1" s="405">
      <c r="B614" s="117" t="n"/>
    </row>
    <row r="615" ht="13.2" customHeight="1" s="405">
      <c r="B615" s="117" t="n"/>
    </row>
    <row r="616" ht="13.2" customHeight="1" s="405">
      <c r="B616" s="117" t="n"/>
    </row>
    <row r="617" ht="13.2" customHeight="1" s="405">
      <c r="B617" s="117" t="n"/>
    </row>
    <row r="618" ht="13.2" customHeight="1" s="405">
      <c r="B618" s="117" t="n"/>
    </row>
    <row r="619" ht="13.2" customHeight="1" s="405">
      <c r="B619" s="117" t="n"/>
    </row>
    <row r="620" ht="13.2" customHeight="1" s="405">
      <c r="B620" s="117" t="n"/>
    </row>
    <row r="621" ht="13.2" customHeight="1" s="405">
      <c r="B621" s="117" t="n"/>
    </row>
    <row r="622" ht="13.2" customHeight="1" s="405">
      <c r="B622" s="117" t="n"/>
    </row>
    <row r="623" ht="13.2" customHeight="1" s="405">
      <c r="B623" s="117" t="n"/>
    </row>
    <row r="624" ht="13.2" customHeight="1" s="405">
      <c r="B624" s="117" t="n"/>
    </row>
    <row r="625" ht="13.2" customHeight="1" s="405">
      <c r="B625" s="117" t="n"/>
    </row>
    <row r="626" ht="13.2" customHeight="1" s="405">
      <c r="B626" s="117" t="n"/>
    </row>
    <row r="627" ht="13.2" customHeight="1" s="405">
      <c r="B627" s="117" t="n"/>
    </row>
    <row r="628" ht="13.2" customHeight="1" s="405">
      <c r="B628" s="117" t="n"/>
    </row>
    <row r="629" ht="13.2" customHeight="1" s="405">
      <c r="B629" s="117" t="n"/>
    </row>
    <row r="630" ht="13.2" customHeight="1" s="405">
      <c r="B630" s="117" t="n"/>
    </row>
    <row r="631" ht="13.2" customHeight="1" s="405">
      <c r="B631" s="117" t="n"/>
    </row>
    <row r="632" ht="13.2" customHeight="1" s="405">
      <c r="B632" s="117" t="n"/>
    </row>
    <row r="633" ht="13.2" customHeight="1" s="405">
      <c r="B633" s="117" t="n"/>
    </row>
    <row r="634" ht="13.2" customHeight="1" s="405">
      <c r="B634" s="117" t="n"/>
    </row>
    <row r="635" ht="13.2" customHeight="1" s="405">
      <c r="B635" s="117" t="n"/>
    </row>
    <row r="636" ht="13.2" customHeight="1" s="405">
      <c r="B636" s="117" t="n"/>
    </row>
    <row r="637" ht="13.2" customHeight="1" s="405">
      <c r="B637" s="117" t="n"/>
    </row>
    <row r="638" ht="13.2" customHeight="1" s="405">
      <c r="B638" s="117" t="n"/>
    </row>
    <row r="639" ht="13.2" customHeight="1" s="405">
      <c r="B639" s="117" t="n"/>
    </row>
    <row r="640" ht="13.2" customHeight="1" s="405">
      <c r="B640" s="117" t="n"/>
    </row>
    <row r="641" ht="13.2" customHeight="1" s="405">
      <c r="B641" s="117" t="n"/>
    </row>
    <row r="642" ht="13.2" customHeight="1" s="405">
      <c r="B642" s="117" t="n"/>
    </row>
    <row r="643" ht="13.2" customHeight="1" s="405">
      <c r="B643" s="117" t="n"/>
    </row>
    <row r="644" ht="13.2" customHeight="1" s="405">
      <c r="B644" s="117" t="n"/>
    </row>
    <row r="645" ht="13.2" customHeight="1" s="405">
      <c r="B645" s="117" t="n"/>
    </row>
    <row r="646" ht="13.2" customHeight="1" s="405">
      <c r="B646" s="117" t="n"/>
    </row>
    <row r="647" ht="13.2" customHeight="1" s="405">
      <c r="B647" s="117" t="n"/>
    </row>
    <row r="648" ht="13.2" customHeight="1" s="405">
      <c r="B648" s="117" t="n"/>
    </row>
    <row r="649" ht="13.2" customHeight="1" s="405">
      <c r="B649" s="117" t="n"/>
    </row>
    <row r="650" ht="13.2" customHeight="1" s="405">
      <c r="B650" s="117" t="n"/>
    </row>
    <row r="651" ht="13.2" customHeight="1" s="405">
      <c r="B651" s="117" t="n"/>
    </row>
    <row r="652" ht="13.2" customHeight="1" s="405">
      <c r="B652" s="117" t="n"/>
    </row>
    <row r="653" ht="13.2" customHeight="1" s="405">
      <c r="B653" s="117" t="n"/>
    </row>
    <row r="654" ht="13.2" customHeight="1" s="405">
      <c r="B654" s="117" t="n"/>
    </row>
    <row r="655" ht="13.2" customHeight="1" s="405">
      <c r="B655" s="117" t="n"/>
    </row>
    <row r="656" ht="13.2" customHeight="1" s="405">
      <c r="B656" s="117" t="n"/>
    </row>
    <row r="657" ht="13.2" customHeight="1" s="405">
      <c r="B657" s="117" t="n"/>
    </row>
    <row r="658" ht="13.2" customHeight="1" s="405">
      <c r="B658" s="117" t="n"/>
    </row>
    <row r="659" ht="13.2" customHeight="1" s="405">
      <c r="B659" s="117" t="n"/>
    </row>
    <row r="660" ht="13.2" customHeight="1" s="405">
      <c r="B660" s="117" t="n"/>
    </row>
    <row r="661" ht="13.2" customHeight="1" s="405">
      <c r="B661" s="117" t="n"/>
    </row>
    <row r="662" ht="13.2" customHeight="1" s="405">
      <c r="B662" s="117" t="n"/>
    </row>
    <row r="663" ht="13.2" customHeight="1" s="405">
      <c r="B663" s="117" t="n"/>
    </row>
    <row r="664" ht="13.2" customHeight="1" s="405">
      <c r="B664" s="117" t="n"/>
    </row>
    <row r="665" ht="13.2" customHeight="1" s="405">
      <c r="B665" s="117" t="n"/>
    </row>
    <row r="666" ht="13.2" customHeight="1" s="405">
      <c r="B666" s="117" t="n"/>
    </row>
    <row r="667" ht="13.2" customHeight="1" s="405">
      <c r="B667" s="117" t="n"/>
    </row>
    <row r="668" ht="13.2" customHeight="1" s="405">
      <c r="B668" s="117" t="n"/>
    </row>
    <row r="669" ht="13.2" customHeight="1" s="405">
      <c r="B669" s="117" t="n"/>
    </row>
    <row r="670" ht="13.2" customHeight="1" s="405">
      <c r="B670" s="117" t="n"/>
    </row>
    <row r="671" ht="13.2" customHeight="1" s="405">
      <c r="B671" s="117" t="n"/>
    </row>
    <row r="672" ht="13.2" customHeight="1" s="405">
      <c r="B672" s="117" t="n"/>
    </row>
    <row r="673" ht="13.2" customHeight="1" s="405">
      <c r="B673" s="117" t="n"/>
    </row>
    <row r="674" ht="13.2" customHeight="1" s="405">
      <c r="B674" s="117" t="n"/>
    </row>
    <row r="675" ht="13.2" customHeight="1" s="405">
      <c r="B675" s="117" t="n"/>
    </row>
    <row r="676" ht="13.2" customHeight="1" s="405">
      <c r="B676" s="117" t="n"/>
    </row>
    <row r="677" ht="13.2" customHeight="1" s="405">
      <c r="B677" s="117" t="n"/>
    </row>
    <row r="678" ht="13.2" customHeight="1" s="405">
      <c r="B678" s="117" t="n"/>
    </row>
    <row r="679" ht="13.2" customHeight="1" s="405">
      <c r="B679" s="117" t="n"/>
    </row>
    <row r="680" ht="13.2" customHeight="1" s="405">
      <c r="B680" s="117" t="n"/>
    </row>
    <row r="681" ht="13.2" customHeight="1" s="405">
      <c r="B681" s="117" t="n"/>
    </row>
    <row r="682" ht="13.2" customHeight="1" s="405">
      <c r="B682" s="117" t="n"/>
    </row>
    <row r="683" ht="13.2" customHeight="1" s="405">
      <c r="B683" s="117" t="n"/>
    </row>
    <row r="684" ht="13.2" customHeight="1" s="405">
      <c r="B684" s="117" t="n"/>
    </row>
    <row r="685" ht="13.2" customHeight="1" s="405">
      <c r="B685" s="117" t="n"/>
    </row>
    <row r="686" ht="13.2" customHeight="1" s="405">
      <c r="B686" s="117" t="n"/>
    </row>
    <row r="687" ht="13.2" customHeight="1" s="405">
      <c r="B687" s="117" t="n"/>
    </row>
    <row r="688" ht="13.2" customHeight="1" s="405">
      <c r="B688" s="117" t="n"/>
    </row>
    <row r="689" ht="13.2" customHeight="1" s="405">
      <c r="B689" s="117" t="n"/>
    </row>
    <row r="690" ht="13.2" customHeight="1" s="405">
      <c r="B690" s="117" t="n"/>
    </row>
    <row r="691" ht="13.2" customHeight="1" s="405">
      <c r="B691" s="117" t="n"/>
    </row>
    <row r="692" ht="13.2" customHeight="1" s="405">
      <c r="B692" s="117" t="n"/>
    </row>
    <row r="693" ht="13.2" customHeight="1" s="405">
      <c r="B693" s="117" t="n"/>
    </row>
    <row r="694" ht="13.2" customHeight="1" s="405">
      <c r="B694" s="117" t="n"/>
    </row>
    <row r="695" ht="13.2" customHeight="1" s="405">
      <c r="B695" s="117" t="n"/>
    </row>
    <row r="696" ht="13.2" customHeight="1" s="405">
      <c r="B696" s="117" t="n"/>
    </row>
    <row r="697" ht="13.2" customHeight="1" s="405">
      <c r="B697" s="117" t="n"/>
    </row>
    <row r="698" ht="13.2" customHeight="1" s="405">
      <c r="B698" s="117" t="n"/>
    </row>
    <row r="699" ht="13.2" customHeight="1" s="405">
      <c r="B699" s="117" t="n"/>
    </row>
    <row r="700" ht="13.2" customHeight="1" s="405">
      <c r="B700" s="117" t="n"/>
    </row>
    <row r="701" ht="13.2" customHeight="1" s="405">
      <c r="B701" s="117" t="n"/>
    </row>
    <row r="702" ht="13.2" customHeight="1" s="405">
      <c r="B702" s="117" t="n"/>
    </row>
    <row r="703" ht="13.2" customHeight="1" s="405">
      <c r="B703" s="117" t="n"/>
    </row>
    <row r="704" ht="13.2" customHeight="1" s="405">
      <c r="B704" s="117" t="n"/>
    </row>
    <row r="705" ht="13.2" customHeight="1" s="405">
      <c r="B705" s="117" t="n"/>
    </row>
    <row r="706" ht="13.2" customHeight="1" s="405">
      <c r="B706" s="117" t="n"/>
    </row>
    <row r="707" ht="13.2" customHeight="1" s="405">
      <c r="B707" s="117" t="n"/>
    </row>
    <row r="708" ht="13.2" customHeight="1" s="405">
      <c r="B708" s="117" t="n"/>
    </row>
    <row r="709" ht="13.2" customHeight="1" s="405">
      <c r="B709" s="117" t="n"/>
    </row>
    <row r="710" ht="13.2" customHeight="1" s="405">
      <c r="B710" s="117" t="n"/>
    </row>
    <row r="711" ht="13.2" customHeight="1" s="405">
      <c r="B711" s="117" t="n"/>
    </row>
    <row r="712" ht="13.2" customHeight="1" s="405">
      <c r="B712" s="117" t="n"/>
    </row>
    <row r="713" ht="13.2" customHeight="1" s="405">
      <c r="B713" s="117" t="n"/>
    </row>
    <row r="714" ht="13.2" customHeight="1" s="405">
      <c r="B714" s="117" t="n"/>
    </row>
    <row r="715" ht="13.2" customHeight="1" s="405">
      <c r="B715" s="117" t="n"/>
    </row>
    <row r="716" ht="13.2" customHeight="1" s="405">
      <c r="B716" s="117" t="n"/>
    </row>
    <row r="717" ht="13.2" customHeight="1" s="405">
      <c r="B717" s="117" t="n"/>
    </row>
    <row r="718" ht="13.2" customHeight="1" s="405">
      <c r="B718" s="117" t="n"/>
    </row>
    <row r="719" ht="13.2" customHeight="1" s="405">
      <c r="B719" s="117" t="n"/>
    </row>
    <row r="720" ht="13.2" customHeight="1" s="405">
      <c r="B720" s="117" t="n"/>
    </row>
    <row r="721" ht="13.2" customHeight="1" s="405">
      <c r="B721" s="117" t="n"/>
    </row>
    <row r="722" ht="13.2" customHeight="1" s="405">
      <c r="B722" s="117" t="n"/>
    </row>
    <row r="723" ht="13.2" customHeight="1" s="405">
      <c r="B723" s="117" t="n"/>
    </row>
    <row r="724" ht="13.2" customHeight="1" s="405">
      <c r="B724" s="117" t="n"/>
    </row>
    <row r="725" ht="13.2" customHeight="1" s="405">
      <c r="B725" s="117" t="n"/>
    </row>
    <row r="726" ht="13.2" customHeight="1" s="405">
      <c r="B726" s="117" t="n"/>
    </row>
    <row r="727" ht="13.2" customHeight="1" s="405">
      <c r="B727" s="117" t="n"/>
    </row>
    <row r="728" ht="13.2" customHeight="1" s="405">
      <c r="B728" s="117" t="n"/>
    </row>
    <row r="729" ht="13.2" customHeight="1" s="405">
      <c r="B729" s="117" t="n"/>
    </row>
    <row r="730" ht="13.2" customHeight="1" s="405">
      <c r="B730" s="117" t="n"/>
    </row>
    <row r="731" ht="13.2" customHeight="1" s="405">
      <c r="B731" s="117" t="n"/>
    </row>
    <row r="732" ht="13.2" customHeight="1" s="405">
      <c r="B732" s="117" t="n"/>
    </row>
    <row r="733" ht="13.2" customHeight="1" s="405">
      <c r="B733" s="117" t="n"/>
    </row>
    <row r="734" ht="13.2" customHeight="1" s="405">
      <c r="B734" s="117" t="n"/>
    </row>
    <row r="735" ht="13.2" customHeight="1" s="405">
      <c r="B735" s="117" t="n"/>
    </row>
    <row r="736" ht="13.2" customHeight="1" s="405">
      <c r="B736" s="117" t="n"/>
    </row>
    <row r="737" ht="13.2" customHeight="1" s="405">
      <c r="B737" s="117" t="n"/>
    </row>
    <row r="738" ht="13.2" customHeight="1" s="405">
      <c r="B738" s="117" t="n"/>
    </row>
    <row r="739" ht="13.2" customHeight="1" s="405">
      <c r="B739" s="117" t="n"/>
    </row>
    <row r="740" ht="13.2" customHeight="1" s="405">
      <c r="B740" s="117" t="n"/>
    </row>
    <row r="741" ht="13.2" customHeight="1" s="405">
      <c r="B741" s="117" t="n"/>
    </row>
    <row r="742" ht="13.2" customHeight="1" s="405">
      <c r="B742" s="117" t="n"/>
    </row>
    <row r="743" ht="13.2" customHeight="1" s="405">
      <c r="B743" s="117" t="n"/>
    </row>
    <row r="744" ht="13.2" customHeight="1" s="405">
      <c r="B744" s="117" t="n"/>
    </row>
    <row r="745" ht="13.2" customHeight="1" s="405">
      <c r="B745" s="117" t="n"/>
    </row>
    <row r="746" ht="13.2" customHeight="1" s="405">
      <c r="B746" s="117" t="n"/>
    </row>
    <row r="747" ht="13.2" customHeight="1" s="405">
      <c r="B747" s="117" t="n"/>
    </row>
    <row r="748" ht="13.2" customHeight="1" s="405">
      <c r="B748" s="117" t="n"/>
    </row>
    <row r="749" ht="13.2" customHeight="1" s="405">
      <c r="B749" s="117" t="n"/>
    </row>
    <row r="750" ht="13.2" customHeight="1" s="405">
      <c r="B750" s="117" t="n"/>
    </row>
    <row r="751" ht="13.2" customHeight="1" s="405">
      <c r="B751" s="117" t="n"/>
    </row>
    <row r="752" ht="13.2" customHeight="1" s="405">
      <c r="B752" s="117" t="n"/>
    </row>
    <row r="753" ht="13.2" customHeight="1" s="405">
      <c r="B753" s="117" t="n"/>
    </row>
    <row r="754" ht="13.2" customHeight="1" s="405">
      <c r="B754" s="117" t="n"/>
    </row>
    <row r="755" ht="13.2" customHeight="1" s="405">
      <c r="B755" s="117" t="n"/>
    </row>
    <row r="756" ht="13.2" customHeight="1" s="405">
      <c r="B756" s="117" t="n"/>
    </row>
    <row r="757" ht="13.2" customHeight="1" s="405">
      <c r="B757" s="117" t="n"/>
    </row>
    <row r="758" ht="13.2" customHeight="1" s="405">
      <c r="B758" s="117" t="n"/>
    </row>
    <row r="759" ht="13.2" customHeight="1" s="405">
      <c r="B759" s="117" t="n"/>
    </row>
    <row r="760" ht="13.2" customHeight="1" s="405">
      <c r="B760" s="117" t="n"/>
    </row>
    <row r="761" ht="13.2" customHeight="1" s="405">
      <c r="B761" s="117" t="n"/>
    </row>
    <row r="762" ht="13.2" customHeight="1" s="405">
      <c r="B762" s="117" t="n"/>
    </row>
    <row r="763" ht="13.2" customHeight="1" s="405">
      <c r="B763" s="117" t="n"/>
    </row>
    <row r="764" ht="13.2" customHeight="1" s="405">
      <c r="B764" s="117" t="n"/>
    </row>
    <row r="765" ht="13.2" customHeight="1" s="405">
      <c r="B765" s="117" t="n"/>
    </row>
    <row r="766" ht="13.2" customHeight="1" s="405">
      <c r="B766" s="117" t="n"/>
    </row>
    <row r="767" ht="13.2" customHeight="1" s="405">
      <c r="B767" s="117" t="n"/>
    </row>
    <row r="768" ht="13.2" customHeight="1" s="405">
      <c r="B768" s="117" t="n"/>
    </row>
    <row r="769" ht="13.2" customHeight="1" s="405">
      <c r="B769" s="117" t="n"/>
    </row>
    <row r="770" ht="13.2" customHeight="1" s="405">
      <c r="B770" s="117" t="n"/>
    </row>
    <row r="771" ht="13.2" customHeight="1" s="405">
      <c r="B771" s="117" t="n"/>
    </row>
    <row r="772" ht="13.2" customHeight="1" s="405">
      <c r="B772" s="117" t="n"/>
    </row>
    <row r="773" ht="13.2" customHeight="1" s="405">
      <c r="B773" s="117" t="n"/>
    </row>
    <row r="774" ht="13.2" customHeight="1" s="405">
      <c r="B774" s="117" t="n"/>
    </row>
    <row r="775" ht="13.2" customHeight="1" s="405">
      <c r="B775" s="117" t="n"/>
    </row>
    <row r="776" ht="13.2" customHeight="1" s="405">
      <c r="B776" s="117" t="n"/>
    </row>
    <row r="777" ht="13.2" customHeight="1" s="405">
      <c r="B777" s="117" t="n"/>
    </row>
    <row r="778" ht="13.2" customHeight="1" s="405">
      <c r="B778" s="117" t="n"/>
    </row>
    <row r="779" ht="13.2" customHeight="1" s="405">
      <c r="B779" s="117" t="n"/>
    </row>
    <row r="780" ht="13.2" customHeight="1" s="405">
      <c r="B780" s="117" t="n"/>
    </row>
    <row r="781" ht="13.2" customHeight="1" s="405">
      <c r="B781" s="117" t="n"/>
    </row>
    <row r="782" ht="13.2" customHeight="1" s="405">
      <c r="B782" s="117" t="n"/>
    </row>
    <row r="783" ht="13.2" customHeight="1" s="405">
      <c r="B783" s="117" t="n"/>
    </row>
    <row r="784" ht="13.2" customHeight="1" s="405">
      <c r="B784" s="117" t="n"/>
    </row>
    <row r="785" ht="13.2" customHeight="1" s="405">
      <c r="B785" s="117" t="n"/>
    </row>
    <row r="786" ht="13.2" customHeight="1" s="405">
      <c r="B786" s="117" t="n"/>
    </row>
    <row r="787" ht="13.2" customHeight="1" s="405">
      <c r="B787" s="117" t="n"/>
    </row>
    <row r="788" ht="13.2" customHeight="1" s="405">
      <c r="B788" s="117" t="n"/>
    </row>
    <row r="789" ht="13.2" customHeight="1" s="405">
      <c r="B789" s="117" t="n"/>
    </row>
    <row r="790" ht="13.2" customHeight="1" s="405">
      <c r="B790" s="117" t="n"/>
    </row>
    <row r="791" ht="13.2" customHeight="1" s="405">
      <c r="B791" s="117" t="n"/>
    </row>
    <row r="792" ht="13.2" customHeight="1" s="405">
      <c r="B792" s="117" t="n"/>
    </row>
    <row r="793" ht="13.2" customHeight="1" s="405">
      <c r="B793" s="117" t="n"/>
    </row>
    <row r="794" ht="13.2" customHeight="1" s="405">
      <c r="B794" s="117" t="n"/>
    </row>
    <row r="795" ht="13.2" customHeight="1" s="405">
      <c r="B795" s="117" t="n"/>
    </row>
    <row r="796" ht="13.2" customHeight="1" s="405">
      <c r="B796" s="117" t="n"/>
    </row>
    <row r="797" ht="13.2" customHeight="1" s="405">
      <c r="B797" s="117" t="n"/>
    </row>
    <row r="798" ht="13.2" customHeight="1" s="405">
      <c r="B798" s="117" t="n"/>
    </row>
    <row r="799" ht="13.2" customHeight="1" s="405">
      <c r="B799" s="117" t="n"/>
    </row>
    <row r="800" ht="13.2" customHeight="1" s="405">
      <c r="B800" s="117" t="n"/>
    </row>
    <row r="801" ht="13.2" customHeight="1" s="405">
      <c r="B801" s="117" t="n"/>
    </row>
    <row r="802" ht="13.2" customHeight="1" s="405">
      <c r="B802" s="117" t="n"/>
    </row>
    <row r="803" ht="13.2" customHeight="1" s="405">
      <c r="B803" s="117" t="n"/>
    </row>
    <row r="804" ht="13.2" customHeight="1" s="405">
      <c r="B804" s="117" t="n"/>
    </row>
    <row r="805" ht="13.2" customHeight="1" s="405">
      <c r="B805" s="117" t="n"/>
    </row>
    <row r="806" ht="13.2" customHeight="1" s="405">
      <c r="B806" s="117" t="n"/>
    </row>
    <row r="807" ht="13.2" customHeight="1" s="405">
      <c r="B807" s="117" t="n"/>
    </row>
    <row r="808" ht="13.2" customHeight="1" s="405">
      <c r="B808" s="117" t="n"/>
    </row>
    <row r="809" ht="13.2" customHeight="1" s="405">
      <c r="B809" s="117" t="n"/>
    </row>
    <row r="810" ht="13.2" customHeight="1" s="405">
      <c r="B810" s="117" t="n"/>
    </row>
    <row r="811" ht="13.2" customHeight="1" s="405">
      <c r="B811" s="117" t="n"/>
    </row>
    <row r="812" ht="13.2" customHeight="1" s="405">
      <c r="B812" s="117" t="n"/>
    </row>
    <row r="813" ht="13.2" customHeight="1" s="405">
      <c r="B813" s="117" t="n"/>
    </row>
    <row r="814" ht="13.2" customHeight="1" s="405">
      <c r="B814" s="117" t="n"/>
    </row>
    <row r="815" ht="13.2" customHeight="1" s="405">
      <c r="B815" s="117" t="n"/>
    </row>
    <row r="816" ht="13.2" customHeight="1" s="405">
      <c r="B816" s="117" t="n"/>
    </row>
    <row r="817" ht="13.2" customHeight="1" s="405">
      <c r="B817" s="117" t="n"/>
    </row>
    <row r="818" ht="13.2" customHeight="1" s="405">
      <c r="B818" s="117" t="n"/>
    </row>
    <row r="819" ht="13.2" customHeight="1" s="405">
      <c r="B819" s="117" t="n"/>
    </row>
    <row r="820" ht="13.2" customHeight="1" s="405">
      <c r="B820" s="117" t="n"/>
    </row>
    <row r="821" ht="13.2" customHeight="1" s="405">
      <c r="B821" s="117" t="n"/>
    </row>
    <row r="822" ht="13.2" customHeight="1" s="405">
      <c r="B822" s="117" t="n"/>
    </row>
    <row r="823" ht="13.2" customHeight="1" s="405">
      <c r="B823" s="117" t="n"/>
    </row>
    <row r="824" ht="13.2" customHeight="1" s="405">
      <c r="B824" s="117" t="n"/>
    </row>
    <row r="825" ht="13.2" customHeight="1" s="405">
      <c r="B825" s="117" t="n"/>
    </row>
    <row r="826" ht="13.2" customHeight="1" s="405">
      <c r="B826" s="117" t="n"/>
    </row>
    <row r="827" ht="13.2" customHeight="1" s="405">
      <c r="B827" s="117" t="n"/>
    </row>
    <row r="828" ht="13.2" customHeight="1" s="405">
      <c r="B828" s="117" t="n"/>
    </row>
    <row r="829" ht="13.2" customHeight="1" s="405">
      <c r="B829" s="117" t="n"/>
    </row>
    <row r="830" ht="13.2" customHeight="1" s="405">
      <c r="B830" s="117" t="n"/>
    </row>
    <row r="831" ht="13.2" customHeight="1" s="405">
      <c r="B831" s="117" t="n"/>
    </row>
    <row r="832" ht="13.2" customHeight="1" s="405">
      <c r="B832" s="117" t="n"/>
    </row>
    <row r="833" ht="13.2" customHeight="1" s="405">
      <c r="B833" s="117" t="n"/>
    </row>
    <row r="834" ht="13.2" customHeight="1" s="405">
      <c r="B834" s="117" t="n"/>
    </row>
    <row r="835" ht="13.2" customHeight="1" s="405">
      <c r="B835" s="117" t="n"/>
    </row>
    <row r="836" ht="13.2" customHeight="1" s="405">
      <c r="B836" s="117" t="n"/>
    </row>
    <row r="837" ht="13.2" customHeight="1" s="405">
      <c r="B837" s="117" t="n"/>
    </row>
    <row r="838" ht="13.2" customHeight="1" s="405">
      <c r="B838" s="117" t="n"/>
    </row>
    <row r="839" ht="13.2" customHeight="1" s="405">
      <c r="B839" s="117" t="n"/>
    </row>
    <row r="840" ht="13.2" customHeight="1" s="405">
      <c r="B840" s="117" t="n"/>
    </row>
    <row r="841" ht="13.2" customHeight="1" s="405">
      <c r="B841" s="117" t="n"/>
    </row>
    <row r="842" ht="13.2" customHeight="1" s="405">
      <c r="B842" s="117" t="n"/>
    </row>
    <row r="843" ht="13.2" customHeight="1" s="405">
      <c r="B843" s="117" t="n"/>
    </row>
    <row r="844" ht="13.2" customHeight="1" s="405">
      <c r="B844" s="117" t="n"/>
    </row>
    <row r="845" ht="13.2" customHeight="1" s="405">
      <c r="B845" s="117" t="n"/>
    </row>
    <row r="846" ht="13.2" customHeight="1" s="405">
      <c r="B846" s="117" t="n"/>
    </row>
    <row r="847" ht="13.2" customHeight="1" s="405">
      <c r="B847" s="117" t="n"/>
    </row>
    <row r="848" ht="13.2" customHeight="1" s="405">
      <c r="B848" s="117" t="n"/>
    </row>
    <row r="849" ht="13.2" customHeight="1" s="405">
      <c r="B849" s="117" t="n"/>
    </row>
    <row r="850" ht="13.2" customHeight="1" s="405">
      <c r="B850" s="117" t="n"/>
    </row>
    <row r="851" ht="13.2" customHeight="1" s="405">
      <c r="B851" s="117" t="n"/>
    </row>
    <row r="852" ht="13.2" customHeight="1" s="405">
      <c r="B852" s="117" t="n"/>
    </row>
    <row r="853" ht="13.2" customHeight="1" s="405">
      <c r="B853" s="117" t="n"/>
    </row>
    <row r="854" ht="13.2" customHeight="1" s="405">
      <c r="B854" s="117" t="n"/>
    </row>
    <row r="855" ht="13.2" customHeight="1" s="405">
      <c r="B855" s="117" t="n"/>
    </row>
    <row r="856" ht="13.2" customHeight="1" s="405">
      <c r="B856" s="117" t="n"/>
    </row>
    <row r="857" ht="13.2" customHeight="1" s="405">
      <c r="B857" s="117" t="n"/>
    </row>
    <row r="858" ht="13.2" customHeight="1" s="405">
      <c r="B858" s="117" t="n"/>
    </row>
    <row r="859" ht="13.2" customHeight="1" s="405">
      <c r="B859" s="117" t="n"/>
    </row>
    <row r="860" ht="13.2" customHeight="1" s="405">
      <c r="B860" s="117" t="n"/>
    </row>
    <row r="861" ht="13.2" customHeight="1" s="405">
      <c r="B861" s="117" t="n"/>
    </row>
    <row r="862" ht="13.2" customHeight="1" s="405">
      <c r="B862" s="117" t="n"/>
    </row>
    <row r="863" ht="13.2" customHeight="1" s="405">
      <c r="B863" s="117" t="n"/>
    </row>
    <row r="864" ht="13.2" customHeight="1" s="405">
      <c r="B864" s="117" t="n"/>
    </row>
    <row r="865" ht="13.2" customHeight="1" s="405">
      <c r="B865" s="117" t="n"/>
    </row>
    <row r="866" ht="13.2" customHeight="1" s="405">
      <c r="B866" s="117" t="n"/>
    </row>
    <row r="867" ht="13.2" customHeight="1" s="405">
      <c r="B867" s="117" t="n"/>
    </row>
    <row r="868" ht="13.2" customHeight="1" s="405">
      <c r="B868" s="117" t="n"/>
    </row>
    <row r="869" ht="13.2" customHeight="1" s="405">
      <c r="B869" s="117" t="n"/>
    </row>
    <row r="870" ht="13.2" customHeight="1" s="405">
      <c r="B870" s="117" t="n"/>
    </row>
    <row r="871" ht="13.2" customHeight="1" s="405">
      <c r="B871" s="117" t="n"/>
    </row>
    <row r="872" ht="13.2" customHeight="1" s="405">
      <c r="B872" s="117" t="n"/>
    </row>
    <row r="873" ht="13.2" customHeight="1" s="405">
      <c r="B873" s="117" t="n"/>
    </row>
    <row r="874" ht="13.2" customHeight="1" s="405">
      <c r="B874" s="117" t="n"/>
    </row>
    <row r="875" ht="13.2" customHeight="1" s="405">
      <c r="B875" s="117" t="n"/>
    </row>
    <row r="876" ht="13.2" customHeight="1" s="405">
      <c r="B876" s="117" t="n"/>
    </row>
    <row r="877" ht="13.2" customHeight="1" s="405">
      <c r="B877" s="117" t="n"/>
    </row>
    <row r="878" ht="13.2" customHeight="1" s="405">
      <c r="B878" s="117" t="n"/>
    </row>
    <row r="879" ht="13.2" customHeight="1" s="405">
      <c r="B879" s="117" t="n"/>
    </row>
    <row r="880" ht="13.2" customHeight="1" s="405">
      <c r="B880" s="117" t="n"/>
    </row>
    <row r="881" ht="13.2" customHeight="1" s="405">
      <c r="B881" s="117" t="n"/>
    </row>
    <row r="882" ht="13.2" customHeight="1" s="405">
      <c r="B882" s="117" t="n"/>
    </row>
    <row r="883" ht="13.2" customHeight="1" s="405">
      <c r="B883" s="117" t="n"/>
    </row>
    <row r="884" ht="13.2" customHeight="1" s="405">
      <c r="B884" s="117" t="n"/>
    </row>
    <row r="885" ht="13.2" customHeight="1" s="405">
      <c r="B885" s="117" t="n"/>
    </row>
    <row r="886" ht="13.2" customHeight="1" s="405">
      <c r="B886" s="117" t="n"/>
    </row>
    <row r="887" ht="13.2" customHeight="1" s="405">
      <c r="B887" s="117" t="n"/>
    </row>
    <row r="888" ht="13.2" customHeight="1" s="405">
      <c r="B888" s="117" t="n"/>
    </row>
    <row r="889" ht="13.2" customHeight="1" s="405">
      <c r="B889" s="117" t="n"/>
    </row>
    <row r="890" ht="13.2" customHeight="1" s="405">
      <c r="B890" s="117" t="n"/>
    </row>
    <row r="891" ht="13.2" customHeight="1" s="405">
      <c r="B891" s="117" t="n"/>
    </row>
    <row r="892" ht="13.2" customHeight="1" s="405">
      <c r="B892" s="117" t="n"/>
    </row>
    <row r="893" ht="13.2" customHeight="1" s="405">
      <c r="B893" s="117" t="n"/>
    </row>
    <row r="894" ht="13.2" customHeight="1" s="405">
      <c r="B894" s="117" t="n"/>
    </row>
    <row r="895" ht="13.2" customHeight="1" s="405">
      <c r="B895" s="117" t="n"/>
    </row>
    <row r="896" ht="13.2" customHeight="1" s="405">
      <c r="B896" s="117" t="n"/>
    </row>
    <row r="897" ht="13.2" customHeight="1" s="405">
      <c r="B897" s="117" t="n"/>
    </row>
    <row r="898" ht="13.2" customHeight="1" s="405">
      <c r="B898" s="117" t="n"/>
    </row>
    <row r="899" ht="13.2" customHeight="1" s="405">
      <c r="B899" s="117" t="n"/>
    </row>
    <row r="900" ht="13.2" customHeight="1" s="405">
      <c r="B900" s="117" t="n"/>
    </row>
    <row r="901" ht="13.2" customHeight="1" s="405">
      <c r="B901" s="117" t="n"/>
    </row>
    <row r="902" ht="13.2" customHeight="1" s="405">
      <c r="B902" s="117" t="n"/>
    </row>
    <row r="903" ht="13.2" customHeight="1" s="405">
      <c r="B903" s="117" t="n"/>
    </row>
    <row r="904" ht="13.2" customHeight="1" s="405">
      <c r="B904" s="117" t="n"/>
    </row>
    <row r="905" ht="13.2" customHeight="1" s="405">
      <c r="B905" s="117" t="n"/>
    </row>
    <row r="906" ht="13.2" customHeight="1" s="405">
      <c r="B906" s="117" t="n"/>
    </row>
    <row r="907" ht="13.2" customHeight="1" s="405">
      <c r="B907" s="117" t="n"/>
    </row>
    <row r="908" ht="13.2" customHeight="1" s="405">
      <c r="B908" s="117" t="n"/>
    </row>
    <row r="909" ht="13.2" customHeight="1" s="405">
      <c r="B909" s="117" t="n"/>
    </row>
    <row r="910" ht="13.2" customHeight="1" s="405">
      <c r="B910" s="117" t="n"/>
    </row>
    <row r="911" ht="13.2" customHeight="1" s="405">
      <c r="B911" s="117" t="n"/>
    </row>
    <row r="912" ht="13.2" customHeight="1" s="405">
      <c r="B912" s="117" t="n"/>
    </row>
    <row r="913" ht="13.2" customHeight="1" s="405">
      <c r="B913" s="117" t="n"/>
    </row>
    <row r="914" ht="13.2" customHeight="1" s="405">
      <c r="B914" s="117" t="n"/>
    </row>
    <row r="915" ht="13.2" customHeight="1" s="405">
      <c r="B915" s="117" t="n"/>
    </row>
    <row r="916" ht="13.2" customHeight="1" s="405">
      <c r="B916" s="117" t="n"/>
    </row>
    <row r="917" ht="13.2" customHeight="1" s="405">
      <c r="B917" s="117" t="n"/>
    </row>
    <row r="918" ht="13.2" customHeight="1" s="405">
      <c r="B918" s="117" t="n"/>
    </row>
    <row r="919" ht="13.2" customHeight="1" s="405">
      <c r="B919" s="117" t="n"/>
    </row>
    <row r="920" ht="13.2" customHeight="1" s="405">
      <c r="B920" s="117" t="n"/>
    </row>
    <row r="921" ht="13.2" customHeight="1" s="405">
      <c r="B921" s="117" t="n"/>
    </row>
    <row r="922" ht="13.2" customHeight="1" s="405">
      <c r="B922" s="117" t="n"/>
    </row>
    <row r="923" ht="13.2" customHeight="1" s="405">
      <c r="B923" s="117" t="n"/>
    </row>
    <row r="924" ht="13.2" customHeight="1" s="405">
      <c r="B924" s="117" t="n"/>
    </row>
    <row r="925" ht="13.2" customHeight="1" s="405">
      <c r="B925" s="117" t="n"/>
    </row>
    <row r="926" ht="13.2" customHeight="1" s="405">
      <c r="B926" s="117" t="n"/>
    </row>
    <row r="927" ht="13.2" customHeight="1" s="405">
      <c r="B927" s="117" t="n"/>
    </row>
    <row r="928" ht="13.2" customHeight="1" s="405">
      <c r="B928" s="117" t="n"/>
    </row>
    <row r="929" ht="13.2" customHeight="1" s="405">
      <c r="B929" s="117" t="n"/>
    </row>
    <row r="930" ht="13.2" customHeight="1" s="405">
      <c r="B930" s="117" t="n"/>
    </row>
    <row r="931" ht="13.2" customHeight="1" s="405">
      <c r="B931" s="117" t="n"/>
    </row>
    <row r="932" ht="13.2" customHeight="1" s="405">
      <c r="B932" s="117" t="n"/>
    </row>
    <row r="933" ht="13.2" customHeight="1" s="405">
      <c r="B933" s="117" t="n"/>
    </row>
    <row r="934" ht="13.2" customHeight="1" s="405">
      <c r="B934" s="117" t="n"/>
    </row>
    <row r="935" ht="13.2" customHeight="1" s="405">
      <c r="B935" s="117" t="n"/>
    </row>
    <row r="936" ht="13.2" customHeight="1" s="405">
      <c r="B936" s="117" t="n"/>
    </row>
    <row r="937" ht="13.2" customHeight="1" s="405">
      <c r="B937" s="117" t="n"/>
    </row>
    <row r="938" ht="13.2" customHeight="1" s="405">
      <c r="B938" s="117" t="n"/>
    </row>
    <row r="939" ht="13.2" customHeight="1" s="405">
      <c r="B939" s="117" t="n"/>
    </row>
    <row r="940" ht="13.2" customHeight="1" s="405">
      <c r="B940" s="117" t="n"/>
    </row>
    <row r="941" ht="13.2" customHeight="1" s="405">
      <c r="B941" s="117" t="n"/>
    </row>
    <row r="942" ht="13.2" customHeight="1" s="405">
      <c r="B942" s="117" t="n"/>
    </row>
    <row r="943" ht="13.2" customHeight="1" s="405">
      <c r="B943" s="117" t="n"/>
    </row>
    <row r="944" ht="13.2" customHeight="1" s="405">
      <c r="B944" s="117" t="n"/>
    </row>
    <row r="945" ht="13.2" customHeight="1" s="405">
      <c r="B945" s="117" t="n"/>
    </row>
    <row r="946" ht="13.2" customHeight="1" s="405">
      <c r="B946" s="117" t="n"/>
    </row>
    <row r="947" ht="13.2" customHeight="1" s="405">
      <c r="B947" s="117" t="n"/>
    </row>
    <row r="948" ht="13.2" customHeight="1" s="405">
      <c r="B948" s="117" t="n"/>
    </row>
    <row r="949" ht="13.2" customHeight="1" s="405">
      <c r="B949" s="117" t="n"/>
    </row>
    <row r="950" ht="13.2" customHeight="1" s="405">
      <c r="B950" s="117" t="n"/>
    </row>
    <row r="951" ht="13.2" customHeight="1" s="405">
      <c r="B951" s="117" t="n"/>
    </row>
    <row r="952" ht="13.2" customHeight="1" s="405">
      <c r="B952" s="117" t="n"/>
    </row>
    <row r="953" ht="13.2" customHeight="1" s="405">
      <c r="B953" s="117" t="n"/>
    </row>
    <row r="954" ht="13.2" customHeight="1" s="405">
      <c r="B954" s="117" t="n"/>
    </row>
    <row r="955" ht="13.2" customHeight="1" s="405">
      <c r="B955" s="117" t="n"/>
    </row>
    <row r="956" ht="13.2" customHeight="1" s="405">
      <c r="B956" s="117" t="n"/>
    </row>
    <row r="957" ht="13.2" customHeight="1" s="405">
      <c r="B957" s="117" t="n"/>
    </row>
    <row r="958" ht="13.2" customHeight="1" s="405">
      <c r="B958" s="117" t="n"/>
    </row>
    <row r="959" ht="13.2" customHeight="1" s="405">
      <c r="B959" s="117" t="n"/>
    </row>
    <row r="960" ht="13.2" customHeight="1" s="405">
      <c r="B960" s="117" t="n"/>
    </row>
    <row r="961" ht="13.2" customHeight="1" s="405">
      <c r="B961" s="117" t="n"/>
    </row>
    <row r="962" ht="13.2" customHeight="1" s="405">
      <c r="B962" s="117" t="n"/>
    </row>
    <row r="963" ht="13.2" customHeight="1" s="405">
      <c r="B963" s="117" t="n"/>
    </row>
    <row r="964" ht="13.2" customHeight="1" s="405">
      <c r="B964" s="117" t="n"/>
    </row>
    <row r="965" ht="13.2" customHeight="1" s="405">
      <c r="B965" s="117" t="n"/>
    </row>
    <row r="966" ht="13.2" customHeight="1" s="405">
      <c r="B966" s="117" t="n"/>
    </row>
    <row r="967" ht="13.2" customHeight="1" s="405">
      <c r="B967" s="117" t="n"/>
    </row>
    <row r="968" ht="13.2" customHeight="1" s="405">
      <c r="B968" s="117" t="n"/>
    </row>
    <row r="969" ht="13.2" customHeight="1" s="405">
      <c r="B969" s="117" t="n"/>
    </row>
    <row r="970" ht="13.2" customHeight="1" s="405">
      <c r="B970" s="117" t="n"/>
    </row>
    <row r="971" ht="13.2" customHeight="1" s="405">
      <c r="B971" s="117" t="n"/>
    </row>
    <row r="972" ht="13.2" customHeight="1" s="405">
      <c r="B972" s="117" t="n"/>
    </row>
    <row r="973" ht="13.2" customHeight="1" s="405">
      <c r="B973" s="117" t="n"/>
    </row>
    <row r="974" ht="13.2" customHeight="1" s="405">
      <c r="B974" s="117" t="n"/>
    </row>
    <row r="975" ht="13.2" customHeight="1" s="405">
      <c r="B975" s="117" t="n"/>
    </row>
    <row r="976" ht="13.2" customHeight="1" s="405">
      <c r="B976" s="117" t="n"/>
    </row>
    <row r="977" ht="13.2" customHeight="1" s="405">
      <c r="B977" s="117" t="n"/>
    </row>
    <row r="978" ht="13.2" customHeight="1" s="405">
      <c r="B978" s="117" t="n"/>
    </row>
    <row r="979" ht="13.2" customHeight="1" s="405">
      <c r="B979" s="117" t="n"/>
    </row>
    <row r="980" ht="13.2" customHeight="1" s="405">
      <c r="B980" s="117" t="n"/>
    </row>
    <row r="981" ht="13.2" customHeight="1" s="405">
      <c r="B981" s="117" t="n"/>
    </row>
    <row r="982" ht="13.2" customHeight="1" s="405">
      <c r="B982" s="117" t="n"/>
    </row>
    <row r="983" ht="13.2" customHeight="1" s="405">
      <c r="B983" s="117" t="n"/>
    </row>
    <row r="984" ht="13.2" customHeight="1" s="405">
      <c r="B984" s="117" t="n"/>
    </row>
    <row r="985" ht="13.2" customHeight="1" s="405">
      <c r="B985" s="117" t="n"/>
    </row>
    <row r="986" ht="13.2" customHeight="1" s="405">
      <c r="B986" s="117" t="n"/>
    </row>
    <row r="987" ht="13.2" customHeight="1" s="405">
      <c r="B987" s="117" t="n"/>
    </row>
    <row r="988" ht="13.2" customHeight="1" s="405">
      <c r="B988" s="117" t="n"/>
    </row>
    <row r="989" ht="13.2" customHeight="1" s="405">
      <c r="B989" s="117" t="n"/>
    </row>
    <row r="990" ht="13.2" customHeight="1" s="405">
      <c r="B990" s="117" t="n"/>
    </row>
    <row r="991" ht="13.2" customHeight="1" s="405">
      <c r="B991" s="117" t="n"/>
    </row>
    <row r="992" ht="13.2" customHeight="1" s="405">
      <c r="B992" s="117" t="n"/>
    </row>
    <row r="993" ht="13.2" customHeight="1" s="405">
      <c r="B993" s="117" t="n"/>
    </row>
    <row r="994" ht="13.2" customHeight="1" s="405">
      <c r="B994" s="117" t="n"/>
    </row>
    <row r="995" ht="13.2" customHeight="1" s="405">
      <c r="B995" s="117" t="n"/>
    </row>
    <row r="996" ht="13.2" customHeight="1" s="405">
      <c r="B996" s="117" t="n"/>
    </row>
    <row r="997" ht="13.2" customHeight="1" s="405">
      <c r="B997" s="117" t="n"/>
    </row>
    <row r="998" ht="13.2" customHeight="1" s="405">
      <c r="B998" s="117" t="n"/>
    </row>
    <row r="999" ht="13.2" customHeight="1" s="405">
      <c r="B999" s="117" t="n"/>
    </row>
  </sheetData>
  <mergeCells count="3">
    <mergeCell ref="A1:D1"/>
    <mergeCell ref="A2:A3"/>
    <mergeCell ref="B2:B3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0" summaryRight="0"/>
    <pageSetUpPr/>
  </sheetPr>
  <dimension ref="A1:AI54"/>
  <sheetViews>
    <sheetView workbookViewId="0">
      <pane xSplit="3" topLeftCell="D1" activePane="topRight" state="frozen"/>
      <selection pane="topRight" activeCell="E2" sqref="E2"/>
    </sheetView>
  </sheetViews>
  <sheetFormatPr baseColWidth="8" defaultColWidth="12.6640625" defaultRowHeight="15.75" customHeight="1"/>
  <cols>
    <col width="5.33203125" customWidth="1" style="405" min="1" max="1"/>
    <col width="20.109375" customWidth="1" style="405" min="2" max="2"/>
    <col width="34" customWidth="1" style="405" min="10" max="10"/>
  </cols>
  <sheetData>
    <row r="1" ht="15.75" customHeight="1" s="405">
      <c r="A1" s="345" t="n"/>
      <c r="B1" s="345" t="n"/>
      <c r="C1" s="345" t="n"/>
      <c r="D1" s="8" t="n"/>
      <c r="E1" s="345" t="n"/>
      <c r="F1" s="345" t="n"/>
      <c r="G1" s="345" t="n"/>
      <c r="H1" s="345" t="n"/>
      <c r="I1" s="345" t="n"/>
      <c r="J1" s="345" t="n"/>
      <c r="K1" s="345" t="n"/>
      <c r="L1" s="345" t="n"/>
      <c r="M1" s="345" t="n"/>
      <c r="N1" s="345" t="n"/>
      <c r="O1" s="345" t="n"/>
      <c r="P1" s="9" t="n"/>
      <c r="Q1" s="9" t="n"/>
      <c r="R1" s="9" t="n"/>
      <c r="S1" s="9" t="n"/>
      <c r="T1" s="9" t="n"/>
      <c r="U1" s="9" t="n"/>
      <c r="V1" s="9" t="n"/>
      <c r="W1" s="9" t="n"/>
      <c r="X1" s="9" t="n"/>
      <c r="Y1" s="9" t="n"/>
      <c r="Z1" s="9" t="n"/>
      <c r="AA1" s="9" t="n"/>
      <c r="AB1" s="9" t="n"/>
      <c r="AC1" s="9" t="n"/>
      <c r="AD1" s="9" t="n"/>
      <c r="AE1" s="9" t="n"/>
      <c r="AF1" s="9" t="n"/>
      <c r="AG1" s="9" t="n"/>
      <c r="AH1" s="9" t="n"/>
      <c r="AI1" s="9" t="n"/>
    </row>
    <row r="2" ht="15.75" customHeight="1" s="405">
      <c r="A2" s="434" t="inlineStr">
        <is>
          <t>STT</t>
        </is>
      </c>
      <c r="B2" s="22" t="inlineStr">
        <is>
          <t>Số tài khoản</t>
        </is>
      </c>
      <c r="C2" s="212" t="inlineStr">
        <is>
          <t>Số Thẻ</t>
        </is>
      </c>
      <c r="D2" s="19" t="inlineStr">
        <is>
          <t>Số tiền chi tiêu hàng ngày theo đầu thẻ</t>
        </is>
      </c>
      <c r="E2" s="23" t="n"/>
      <c r="F2" s="23" t="n"/>
      <c r="G2" s="23" t="n"/>
      <c r="H2" s="23" t="n"/>
      <c r="I2" s="23" t="n"/>
      <c r="J2" s="23" t="n"/>
      <c r="K2" s="23" t="n"/>
      <c r="L2" s="23" t="n"/>
      <c r="M2" s="23" t="n"/>
      <c r="N2" s="23" t="n"/>
      <c r="O2" s="23" t="n"/>
      <c r="P2" s="23" t="n"/>
      <c r="Q2" s="23" t="n"/>
      <c r="R2" s="23" t="n"/>
      <c r="S2" s="23" t="n"/>
      <c r="T2" s="23" t="n"/>
      <c r="U2" s="23" t="n"/>
      <c r="V2" s="23" t="n"/>
      <c r="W2" s="23" t="n"/>
      <c r="X2" s="23" t="n"/>
      <c r="Y2" s="23" t="n"/>
      <c r="Z2" s="23" t="n"/>
      <c r="AA2" s="23" t="n"/>
      <c r="AB2" s="23" t="n"/>
      <c r="AC2" s="23" t="n"/>
      <c r="AD2" s="23" t="n"/>
      <c r="AE2" s="23" t="n"/>
      <c r="AF2" s="23" t="n"/>
      <c r="AG2" s="23" t="n"/>
      <c r="AH2" s="37" t="n"/>
      <c r="AI2" s="9" t="n"/>
    </row>
    <row r="3" ht="15.75" customHeight="1" s="405">
      <c r="A3" s="433" t="n"/>
      <c r="B3" s="433" t="n"/>
      <c r="C3" s="433" t="n"/>
      <c r="D3" s="41" t="n">
        <v>46204</v>
      </c>
      <c r="E3" s="41" t="n">
        <v>46205</v>
      </c>
      <c r="F3" s="41" t="n">
        <v>46206</v>
      </c>
      <c r="G3" s="41" t="n">
        <v>46207</v>
      </c>
      <c r="H3" s="41" t="n">
        <v>46208</v>
      </c>
      <c r="I3" s="41" t="n">
        <v>46209</v>
      </c>
      <c r="J3" s="41" t="n">
        <v>46210</v>
      </c>
      <c r="K3" s="41" t="n">
        <v>46211</v>
      </c>
      <c r="L3" s="41" t="n">
        <v>46212</v>
      </c>
      <c r="M3" s="41" t="n">
        <v>46213</v>
      </c>
      <c r="N3" s="41" t="n">
        <v>46214</v>
      </c>
      <c r="O3" s="41" t="n">
        <v>46215</v>
      </c>
      <c r="P3" s="41" t="n">
        <v>46216</v>
      </c>
      <c r="Q3" s="41" t="n">
        <v>46217</v>
      </c>
      <c r="R3" s="41" t="n">
        <v>46218</v>
      </c>
      <c r="S3" s="41" t="n">
        <v>46219</v>
      </c>
      <c r="T3" s="41" t="n">
        <v>46220</v>
      </c>
      <c r="U3" s="41" t="n">
        <v>46221</v>
      </c>
      <c r="V3" s="41" t="n">
        <v>46222</v>
      </c>
      <c r="W3" s="41" t="n">
        <v>46223</v>
      </c>
      <c r="X3" s="41" t="n">
        <v>46224</v>
      </c>
      <c r="Y3" s="41" t="n">
        <v>46225</v>
      </c>
      <c r="Z3" s="41" t="n">
        <v>46226</v>
      </c>
      <c r="AA3" s="41" t="n">
        <v>46227</v>
      </c>
      <c r="AB3" s="41" t="n">
        <v>46228</v>
      </c>
      <c r="AC3" s="41" t="n">
        <v>46229</v>
      </c>
      <c r="AD3" s="41" t="n">
        <v>46230</v>
      </c>
      <c r="AE3" s="41" t="n">
        <v>46231</v>
      </c>
      <c r="AF3" s="41" t="n">
        <v>46232</v>
      </c>
      <c r="AG3" s="41" t="n">
        <v>46233</v>
      </c>
      <c r="AH3" s="41" t="n">
        <v>46234</v>
      </c>
      <c r="AI3" s="9" t="n"/>
    </row>
    <row r="4" ht="15.75" customHeight="1" s="405">
      <c r="A4" s="347" t="n">
        <v>1</v>
      </c>
      <c r="B4" s="353" t="inlineStr">
        <is>
          <t>073</t>
        </is>
      </c>
      <c r="C4" s="354" t="n">
        <v>8879</v>
      </c>
      <c r="D4" s="255" t="n">
        <v>14240235</v>
      </c>
      <c r="E4" s="255" t="n">
        <v>4351815</v>
      </c>
      <c r="F4" s="255" t="n">
        <v>10670416</v>
      </c>
      <c r="G4" s="257" t="n">
        <v>7048764</v>
      </c>
      <c r="H4" s="258" t="n">
        <v>10670416</v>
      </c>
      <c r="I4" s="258" t="n">
        <v>7524770</v>
      </c>
      <c r="J4" s="258" t="n">
        <v>9236479</v>
      </c>
      <c r="K4" s="258" t="n">
        <v>9236479</v>
      </c>
      <c r="L4" s="255" t="n">
        <v>13439077</v>
      </c>
      <c r="M4" s="255" t="n">
        <v>4202598</v>
      </c>
      <c r="N4" s="255" t="n">
        <v>5551165</v>
      </c>
      <c r="O4" s="255" t="n">
        <v>11770471</v>
      </c>
      <c r="P4" s="255" t="n">
        <v>10631222</v>
      </c>
      <c r="Q4" s="255" t="n">
        <v>5597162</v>
      </c>
      <c r="R4" s="255" t="n"/>
      <c r="S4" s="255" t="n">
        <v>12867452</v>
      </c>
      <c r="T4" s="255" t="n">
        <v>9242284</v>
      </c>
      <c r="U4" s="255" t="n">
        <v>10904252</v>
      </c>
      <c r="V4" s="255" t="n">
        <v>10904252</v>
      </c>
      <c r="W4" s="255" t="n">
        <v>11911438</v>
      </c>
      <c r="X4" s="255" t="n">
        <v>13823059</v>
      </c>
      <c r="Y4" s="255" t="n">
        <v>21131627</v>
      </c>
      <c r="Z4" s="255" t="n">
        <v>7308568</v>
      </c>
      <c r="AA4" s="255" t="n">
        <v>16062786</v>
      </c>
      <c r="AB4" s="263" t="n">
        <v>11340914</v>
      </c>
      <c r="AC4" s="263" t="n">
        <v>17011371</v>
      </c>
      <c r="AD4" s="263" t="n">
        <v>11340914</v>
      </c>
      <c r="AE4" s="263" t="n">
        <v>5670457</v>
      </c>
      <c r="AF4" s="263" t="n">
        <v>13897056</v>
      </c>
      <c r="AG4" s="263" t="n"/>
      <c r="AH4" s="262" t="n"/>
      <c r="AI4" s="76" t="n"/>
    </row>
    <row r="5" ht="15.75" customHeight="1" s="405">
      <c r="A5" s="347" t="n">
        <v>2</v>
      </c>
      <c r="B5" s="325" t="n"/>
      <c r="C5" s="325" t="n"/>
      <c r="D5" s="257" t="n"/>
      <c r="E5" s="257" t="n"/>
      <c r="F5" s="257" t="n"/>
      <c r="G5" s="257" t="n"/>
      <c r="H5" s="257" t="n"/>
      <c r="I5" s="257" t="n"/>
      <c r="J5" s="257" t="n"/>
      <c r="K5" s="257" t="n"/>
      <c r="L5" s="257" t="n"/>
      <c r="M5" s="257" t="n"/>
      <c r="N5" s="257" t="n"/>
      <c r="O5" s="325" t="n"/>
      <c r="P5" s="257" t="n"/>
      <c r="Q5" s="257" t="n"/>
      <c r="R5" s="257" t="n"/>
      <c r="S5" s="257" t="n"/>
      <c r="T5" s="257" t="n"/>
      <c r="U5" s="257" t="n"/>
      <c r="V5" s="257" t="n"/>
      <c r="W5" s="257" t="n"/>
      <c r="X5" s="257" t="n"/>
      <c r="Y5" s="257" t="n"/>
      <c r="Z5" s="262" t="n"/>
      <c r="AA5" s="262" t="n"/>
      <c r="AB5" s="263" t="n"/>
      <c r="AC5" s="263" t="n"/>
      <c r="AD5" s="262" t="n"/>
      <c r="AE5" s="263" t="n"/>
      <c r="AF5" s="262" t="n"/>
      <c r="AG5" s="263" t="n"/>
      <c r="AH5" s="262" t="n"/>
      <c r="AI5" s="76" t="n"/>
    </row>
    <row r="6" ht="15.75" customHeight="1" s="405">
      <c r="A6" s="347" t="n">
        <v>3</v>
      </c>
      <c r="B6" s="325" t="n"/>
      <c r="C6" s="325" t="n"/>
      <c r="D6" s="257" t="n"/>
      <c r="E6" s="257" t="n"/>
      <c r="F6" s="257" t="n"/>
      <c r="G6" s="257" t="n"/>
      <c r="H6" s="257" t="n"/>
      <c r="I6" s="257" t="n"/>
      <c r="J6" s="257" t="n"/>
      <c r="K6" s="257" t="n"/>
      <c r="L6" s="257" t="n"/>
      <c r="M6" s="257" t="n"/>
      <c r="N6" s="257" t="n"/>
      <c r="O6" s="257" t="n"/>
      <c r="P6" s="257" t="n"/>
      <c r="Q6" s="257" t="n"/>
      <c r="R6" s="257" t="n"/>
      <c r="S6" s="257" t="n"/>
      <c r="T6" s="257" t="n"/>
      <c r="U6" s="257" t="n"/>
      <c r="V6" s="257" t="n"/>
      <c r="W6" s="257" t="n"/>
      <c r="X6" s="257" t="n"/>
      <c r="Y6" s="76" t="n"/>
      <c r="Z6" s="265" t="n"/>
      <c r="AA6" s="262" t="n"/>
      <c r="AB6" s="265" t="n"/>
      <c r="AC6" s="267" t="n"/>
      <c r="AD6" s="267" t="n"/>
      <c r="AE6" s="262" t="n"/>
      <c r="AF6" s="265" t="n"/>
      <c r="AG6" s="76" t="n"/>
      <c r="AH6" s="265" t="n"/>
      <c r="AI6" s="76" t="n"/>
    </row>
    <row r="7" ht="15.75" customHeight="1" s="405">
      <c r="A7" s="347" t="n">
        <v>4</v>
      </c>
      <c r="B7" s="325" t="n"/>
      <c r="C7" s="325" t="n"/>
      <c r="D7" s="257" t="n"/>
      <c r="E7" s="257" t="n"/>
      <c r="F7" s="257" t="n"/>
      <c r="G7" s="257" t="n"/>
      <c r="H7" s="257" t="n"/>
      <c r="I7" s="257" t="n"/>
      <c r="J7" s="257" t="n"/>
      <c r="K7" s="257" t="n"/>
      <c r="L7" s="257" t="n"/>
      <c r="M7" s="257" t="n"/>
      <c r="N7" s="257" t="n"/>
      <c r="O7" s="267" t="n"/>
      <c r="P7" s="257" t="n"/>
      <c r="Q7" s="257" t="n"/>
      <c r="R7" s="257" t="n"/>
      <c r="S7" s="257" t="n"/>
      <c r="T7" s="257" t="n"/>
      <c r="U7" s="257" t="n"/>
      <c r="V7" s="257" t="n"/>
      <c r="W7" s="257" t="n"/>
      <c r="X7" s="257" t="n"/>
      <c r="Y7" s="265" t="n"/>
      <c r="Z7" s="265" t="n"/>
      <c r="AA7" s="265" t="n"/>
      <c r="AB7" s="262" t="n"/>
      <c r="AC7" s="265" t="n"/>
      <c r="AD7" s="267" t="n"/>
      <c r="AE7" s="263" t="n"/>
      <c r="AF7" s="265" t="n"/>
      <c r="AG7" s="268" t="n"/>
      <c r="AH7" s="265" t="n"/>
      <c r="AI7" s="76" t="n"/>
    </row>
    <row r="8" ht="15.75" customHeight="1" s="405">
      <c r="A8" s="82" t="inlineStr">
        <is>
          <t>Tổng</t>
        </is>
      </c>
      <c r="B8" s="83" t="n"/>
      <c r="C8" s="83">
        <f>+D8+E8+F8+G8+H8+I8+J8+K8+L8+M8+N8+O8++P8+Q8+R8+S8+T8+U8+V8+W8+X8+Y8+Z8+AA8+AB8+AC8+AD8+AE8+AF8+AG8+AH8</f>
        <v/>
      </c>
      <c r="D8" s="83">
        <f>SUM(D4:D7) /1.1</f>
        <v/>
      </c>
      <c r="E8" s="83">
        <f>SUM(E4:E7) /1.1</f>
        <v/>
      </c>
      <c r="F8" s="83">
        <f>SUM(F4:F7) /1.1</f>
        <v/>
      </c>
      <c r="G8" s="83">
        <f>SUM(G4:G7) /1.1</f>
        <v/>
      </c>
      <c r="H8" s="83">
        <f>SUM(H4:H7) /1.1</f>
        <v/>
      </c>
      <c r="I8" s="83">
        <f>SUM(I4:I7) /1.1</f>
        <v/>
      </c>
      <c r="J8" s="83">
        <f>SUM(J4:J7) /1.1</f>
        <v/>
      </c>
      <c r="K8" s="83">
        <f>SUM(K4:K7) /1.1</f>
        <v/>
      </c>
      <c r="L8" s="83">
        <f>SUM(L4:L7) /1.1</f>
        <v/>
      </c>
      <c r="M8" s="83">
        <f>SUM(M4:M7) /1.1</f>
        <v/>
      </c>
      <c r="N8" s="83">
        <f>SUM(N4:N7) /1.1</f>
        <v/>
      </c>
      <c r="O8" s="83">
        <f>SUM(O4:O7) /1.1</f>
        <v/>
      </c>
      <c r="P8" s="83">
        <f>SUM(P4:P7) /1.1</f>
        <v/>
      </c>
      <c r="Q8" s="83">
        <f>SUM(Q4:Q7) /1.1</f>
        <v/>
      </c>
      <c r="R8" s="83">
        <f>SUM(R4:R7) /1.1</f>
        <v/>
      </c>
      <c r="S8" s="83">
        <f>SUM(S4:S7) /1.1</f>
        <v/>
      </c>
      <c r="T8" s="83">
        <f>SUM(T4:T7) /1.1</f>
        <v/>
      </c>
      <c r="U8" s="83">
        <f>SUM(U4:U7) /1.1</f>
        <v/>
      </c>
      <c r="V8" s="83">
        <f>SUM(V4:V7) /1.1</f>
        <v/>
      </c>
      <c r="W8" s="83">
        <f>SUM(W4:W7) /1.1</f>
        <v/>
      </c>
      <c r="X8" s="83">
        <f>SUM(X4:X7) /1.1</f>
        <v/>
      </c>
      <c r="Y8" s="83">
        <f>SUM(Y4:Y7) /1.1</f>
        <v/>
      </c>
      <c r="Z8" s="83">
        <f>SUM(Z4:Z7) /1.1</f>
        <v/>
      </c>
      <c r="AA8" s="83">
        <f>SUM(AA4:AA7) /1.1</f>
        <v/>
      </c>
      <c r="AB8" s="83">
        <f>SUM(AB4:AB7) /1.1</f>
        <v/>
      </c>
      <c r="AC8" s="83">
        <f>SUM(AC4:AC7) /1.1</f>
        <v/>
      </c>
      <c r="AD8" s="83">
        <f>SUM(AD4:AD7) /1.1</f>
        <v/>
      </c>
      <c r="AE8" s="83">
        <f>SUM(AE4:AE7) /1.1</f>
        <v/>
      </c>
      <c r="AF8" s="83">
        <f>SUM(AF4:AF7) /1.1</f>
        <v/>
      </c>
      <c r="AG8" s="83">
        <f>SUM(AG4:AG7) /1.1</f>
        <v/>
      </c>
      <c r="AH8" s="83">
        <f>SUM(AH4:AH7) /1.1</f>
        <v/>
      </c>
      <c r="AI8" s="76" t="n"/>
    </row>
    <row r="9" ht="15.75" customHeight="1" s="405">
      <c r="A9" s="345" t="inlineStr">
        <is>
          <t>Kế toán check Hóa đơn</t>
        </is>
      </c>
      <c r="B9" s="345" t="n"/>
      <c r="C9" s="345" t="n"/>
      <c r="D9" s="8" t="n"/>
      <c r="E9" s="345" t="n"/>
      <c r="F9" s="345" t="n"/>
      <c r="G9" s="345" t="n"/>
      <c r="H9" s="345" t="n"/>
      <c r="I9" s="345" t="n"/>
      <c r="J9" s="345" t="n"/>
      <c r="K9" s="345" t="n"/>
      <c r="L9" s="345" t="n"/>
      <c r="M9" s="345" t="n"/>
      <c r="N9" s="345" t="n"/>
      <c r="O9" s="345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</row>
    <row r="10" ht="15.75" customHeight="1" s="405">
      <c r="A10" s="110" t="inlineStr">
        <is>
          <t>Chênh lệch</t>
        </is>
      </c>
      <c r="B10" s="345" t="n"/>
      <c r="C10" s="345" t="n"/>
      <c r="D10" s="113">
        <f>D8-D9</f>
        <v/>
      </c>
      <c r="E10" s="113">
        <f>E8-E9</f>
        <v/>
      </c>
      <c r="F10" s="113">
        <f>F8-F9</f>
        <v/>
      </c>
      <c r="G10" s="113">
        <f>G8-G9</f>
        <v/>
      </c>
      <c r="H10" s="113">
        <f>H8-H9</f>
        <v/>
      </c>
      <c r="I10" s="113">
        <f>I8-I9</f>
        <v/>
      </c>
      <c r="J10" s="113">
        <f>J8-J9</f>
        <v/>
      </c>
      <c r="K10" s="113">
        <f>K8-K9</f>
        <v/>
      </c>
      <c r="L10" s="113">
        <f>L8-L9</f>
        <v/>
      </c>
      <c r="M10" s="113">
        <f>M8-M9</f>
        <v/>
      </c>
      <c r="N10" s="113">
        <f>N8-N9</f>
        <v/>
      </c>
      <c r="O10" s="113">
        <f>O8-O9</f>
        <v/>
      </c>
      <c r="P10" s="113">
        <f>P8-P9</f>
        <v/>
      </c>
      <c r="Q10" s="113">
        <f>Q8-Q9</f>
        <v/>
      </c>
      <c r="R10" s="113">
        <f>R8-R9</f>
        <v/>
      </c>
      <c r="S10" s="113">
        <f>S8-S9</f>
        <v/>
      </c>
      <c r="T10" s="113">
        <f>T8-T9</f>
        <v/>
      </c>
      <c r="U10" s="113">
        <f>U8-U9</f>
        <v/>
      </c>
      <c r="V10" s="113">
        <f>V8-V9</f>
        <v/>
      </c>
      <c r="W10" s="113">
        <f>W8-W9</f>
        <v/>
      </c>
      <c r="X10" s="113">
        <f>X8-X9</f>
        <v/>
      </c>
      <c r="Y10" s="113">
        <f>Y8-Y9</f>
        <v/>
      </c>
      <c r="Z10" s="113">
        <f>Z8-Z9</f>
        <v/>
      </c>
      <c r="AA10" s="113">
        <f>AA8-AA9</f>
        <v/>
      </c>
      <c r="AB10" s="113">
        <f>AB8-AB9</f>
        <v/>
      </c>
      <c r="AC10" s="113">
        <f>AC8-AC9</f>
        <v/>
      </c>
      <c r="AD10" s="113">
        <f>AD8-AD9</f>
        <v/>
      </c>
      <c r="AE10" s="113">
        <f>AE8-AE9</f>
        <v/>
      </c>
      <c r="AF10" s="113">
        <f>AF8-AF9</f>
        <v/>
      </c>
      <c r="AG10" s="113">
        <f>AG8-AG9</f>
        <v/>
      </c>
      <c r="AH10" s="113">
        <f>AH8-AH9</f>
        <v/>
      </c>
      <c r="AI10" s="9" t="n"/>
    </row>
    <row r="11"/>
    <row r="12"/>
    <row r="13">
      <c r="B13" s="118" t="inlineStr">
        <is>
          <t>Facebook Billing</t>
        </is>
      </c>
      <c r="D13" s="118" t="n"/>
    </row>
    <row r="14" ht="15.75" customHeight="1" s="405">
      <c r="B14" s="119" t="inlineStr">
        <is>
          <t>Ngày thanh toán</t>
        </is>
      </c>
      <c r="C14" s="119" t="inlineStr">
        <is>
          <t>Phương thức TT</t>
        </is>
      </c>
      <c r="D14" s="119" t="inlineStr">
        <is>
          <t>Số tham chiếu thẻ</t>
        </is>
      </c>
      <c r="E14" s="120" t="inlineStr">
        <is>
          <t>Số tiền</t>
        </is>
      </c>
      <c r="G14" s="419" t="inlineStr">
        <is>
          <t xml:space="preserve">Link thư mục ảnh hóa đơn </t>
        </is>
      </c>
      <c r="I14" s="326" t="inlineStr">
        <is>
          <t>https://drive.google.com/drive/folders/1xP_Nyj6cgr9GhQ-nyyWJhYS7xMKwUqxk?usp=sharing</t>
        </is>
      </c>
      <c r="J14" t="inlineStr">
        <is>
          <t>Ten tab nguon</t>
        </is>
      </c>
    </row>
    <row r="15">
      <c r="B15" s="327" t="n">
        <v>46204</v>
      </c>
      <c r="C15" s="328" t="inlineStr">
        <is>
          <t>Visa ···· 8879</t>
        </is>
      </c>
      <c r="D15" s="94" t="inlineStr">
        <is>
          <t>SMXYPVDHX2</t>
        </is>
      </c>
      <c r="E15" s="94" t="inlineStr">
        <is>
          <t>7,411,668</t>
        </is>
      </c>
      <c r="F15" s="327" t="inlineStr">
        <is>
          <t>1 Tháng 7, 2026</t>
        </is>
      </c>
      <c r="G15" s="197" t="n">
        <v>7411668</v>
      </c>
      <c r="H15" s="328" t="inlineStr">
        <is>
          <t>Visa ···· 8879</t>
        </is>
      </c>
      <c r="I15" s="197" t="inlineStr">
        <is>
          <t>SMXYPVDHX2</t>
        </is>
      </c>
      <c r="J15" s="197" t="inlineStr">
        <is>
          <t>Trang tính17</t>
        </is>
      </c>
    </row>
    <row r="16" ht="13.2" customHeight="1" s="405">
      <c r="B16" s="327" t="n">
        <v>46204</v>
      </c>
      <c r="C16" s="328" t="inlineStr">
        <is>
          <t>Visa ···· 8879</t>
        </is>
      </c>
      <c r="D16" s="94" t="inlineStr">
        <is>
          <t>TTF6SVVGX2</t>
        </is>
      </c>
      <c r="E16" s="94" t="inlineStr">
        <is>
          <t>6,798,045</t>
        </is>
      </c>
      <c r="F16" s="327" t="inlineStr">
        <is>
          <t>1 Tháng 7, 2026</t>
        </is>
      </c>
      <c r="G16" s="197" t="n">
        <v>6798045</v>
      </c>
      <c r="H16" s="328" t="inlineStr">
        <is>
          <t>Visa ···· 8879</t>
        </is>
      </c>
      <c r="I16" s="197" t="inlineStr">
        <is>
          <t>TTF6SVVGX2</t>
        </is>
      </c>
      <c r="J16" s="197" t="inlineStr">
        <is>
          <t>Trang tính17</t>
        </is>
      </c>
    </row>
    <row r="17" ht="13.2" customHeight="1" s="405">
      <c r="B17" s="327" t="n">
        <v>46204</v>
      </c>
      <c r="C17" s="328" t="inlineStr">
        <is>
          <t>Visa ···· 8879</t>
        </is>
      </c>
      <c r="D17" s="94" t="inlineStr">
        <is>
          <t>L8LF6VVHX2</t>
        </is>
      </c>
      <c r="E17" s="367" t="n">
        <v>30.522</v>
      </c>
      <c r="F17" s="327" t="inlineStr">
        <is>
          <t>1 Tháng 7, 2026</t>
        </is>
      </c>
      <c r="G17" s="198" t="n">
        <v>30522</v>
      </c>
      <c r="H17" s="328" t="inlineStr">
        <is>
          <t>Visa ···· 8879</t>
        </is>
      </c>
      <c r="I17" s="197" t="inlineStr">
        <is>
          <t>L8LF6VVHX2</t>
        </is>
      </c>
      <c r="J17" s="197" t="inlineStr">
        <is>
          <t>Trang tính9</t>
        </is>
      </c>
    </row>
    <row r="18" ht="13.2" customHeight="1" s="405">
      <c r="B18" s="327" t="n">
        <v>46205</v>
      </c>
      <c r="C18" s="328" t="inlineStr">
        <is>
          <t>Visa ···· 8879</t>
        </is>
      </c>
      <c r="D18" s="94" t="inlineStr">
        <is>
          <t>N8EH9VVHX2</t>
        </is>
      </c>
      <c r="E18" s="367" t="inlineStr">
        <is>
          <t>4,351,815</t>
        </is>
      </c>
      <c r="F18" s="327" t="inlineStr">
        <is>
          <t>2 Tháng 7, 2026</t>
        </is>
      </c>
      <c r="G18" s="198" t="n">
        <v>4351815</v>
      </c>
      <c r="H18" s="328" t="inlineStr">
        <is>
          <t>Visa ···· 8879</t>
        </is>
      </c>
      <c r="I18" s="197" t="inlineStr">
        <is>
          <t>N8EH9VVHX2</t>
        </is>
      </c>
      <c r="J18" s="197" t="inlineStr">
        <is>
          <t>Trang tính4</t>
        </is>
      </c>
    </row>
    <row r="19" ht="13.2" customHeight="1" s="405">
      <c r="B19" s="327" t="n">
        <v>46206</v>
      </c>
      <c r="C19" s="328" t="inlineStr">
        <is>
          <t>Visa ···· 8879</t>
        </is>
      </c>
      <c r="D19" s="94" t="inlineStr">
        <is>
          <t>A3UKDVVHX2</t>
        </is>
      </c>
      <c r="E19" s="94" t="inlineStr">
        <is>
          <t>10,670,416</t>
        </is>
      </c>
      <c r="F19" s="327" t="inlineStr">
        <is>
          <t>3 Tháng 7, 2026</t>
        </is>
      </c>
      <c r="G19" s="197" t="n">
        <v>10670416</v>
      </c>
      <c r="H19" s="328" t="inlineStr">
        <is>
          <t>Visa ···· 8879</t>
        </is>
      </c>
      <c r="I19" s="197" t="inlineStr">
        <is>
          <t>A3UKDVVHX2</t>
        </is>
      </c>
      <c r="J19" s="197" t="inlineStr">
        <is>
          <t>Trang tính17</t>
        </is>
      </c>
    </row>
    <row r="20" ht="13.2" customHeight="1" s="405">
      <c r="B20" s="327" t="n">
        <v>46207</v>
      </c>
      <c r="C20" s="328" t="inlineStr">
        <is>
          <t>Visa ···· 8879</t>
        </is>
      </c>
      <c r="D20" s="94" t="inlineStr">
        <is>
          <t>JSAF7XHHX2</t>
        </is>
      </c>
      <c r="E20" s="94" t="inlineStr">
        <is>
          <t>4,084,907</t>
        </is>
      </c>
      <c r="F20" s="327" t="inlineStr">
        <is>
          <t>4 Tháng 7, 2026</t>
        </is>
      </c>
      <c r="G20" s="197" t="n">
        <v>4084907</v>
      </c>
      <c r="H20" s="328" t="inlineStr">
        <is>
          <t>Visa ···· 8879</t>
        </is>
      </c>
      <c r="I20" s="197" t="inlineStr">
        <is>
          <t>JSAF7XHHX2</t>
        </is>
      </c>
      <c r="J20" s="197" t="inlineStr">
        <is>
          <t>Trang tính17</t>
        </is>
      </c>
    </row>
    <row r="21" ht="13.2" customHeight="1" s="405">
      <c r="B21" s="327" t="n">
        <v>46207</v>
      </c>
      <c r="C21" s="328" t="inlineStr">
        <is>
          <t>Visa ···· 8879</t>
        </is>
      </c>
      <c r="D21" s="94" t="inlineStr">
        <is>
          <t>K6BSZVDHX2</t>
        </is>
      </c>
      <c r="E21" s="94" t="inlineStr">
        <is>
          <t>2,963,857</t>
        </is>
      </c>
      <c r="F21" s="327" t="inlineStr">
        <is>
          <t>4 Tháng 7, 2026</t>
        </is>
      </c>
      <c r="G21" s="197" t="n">
        <v>2963857</v>
      </c>
      <c r="H21" s="328" t="inlineStr">
        <is>
          <t>Visa ···· 8879</t>
        </is>
      </c>
      <c r="I21" s="197" t="inlineStr">
        <is>
          <t>K6BSZVDHX2</t>
        </is>
      </c>
      <c r="J21" s="197" t="inlineStr">
        <is>
          <t>Trang tính4</t>
        </is>
      </c>
    </row>
    <row r="22" ht="13.2" customHeight="1" s="405">
      <c r="B22" s="327" t="n">
        <v>46208</v>
      </c>
      <c r="C22" s="328" t="inlineStr">
        <is>
          <t>Visa ···· 8879</t>
        </is>
      </c>
      <c r="D22" s="94" t="inlineStr">
        <is>
          <t>L55KAVMHX2</t>
        </is>
      </c>
      <c r="E22" s="94" t="inlineStr">
        <is>
          <t>10,670,416</t>
        </is>
      </c>
      <c r="F22" s="327" t="inlineStr">
        <is>
          <t>5 Tháng 7, 2026</t>
        </is>
      </c>
      <c r="G22" s="197" t="n">
        <v>10670416</v>
      </c>
      <c r="H22" s="328" t="inlineStr">
        <is>
          <t>Visa ···· 8879</t>
        </is>
      </c>
      <c r="I22" s="197" t="inlineStr">
        <is>
          <t>L55KAVMHX2</t>
        </is>
      </c>
      <c r="J22" s="197" t="inlineStr">
        <is>
          <t>Trang tính17</t>
        </is>
      </c>
    </row>
    <row r="23" ht="13.2" customHeight="1" s="405">
      <c r="B23" s="327" t="n">
        <v>46209</v>
      </c>
      <c r="C23" s="328" t="inlineStr">
        <is>
          <t>Visa ···· 8879</t>
        </is>
      </c>
      <c r="D23" s="94" t="inlineStr">
        <is>
          <t>BASK8WDHX2</t>
        </is>
      </c>
      <c r="E23" s="94" t="inlineStr">
        <is>
          <t>7,524,770</t>
        </is>
      </c>
      <c r="F23" s="327" t="inlineStr">
        <is>
          <t>6 Tháng 7, 2026</t>
        </is>
      </c>
      <c r="G23" s="197" t="n">
        <v>7524770</v>
      </c>
      <c r="H23" s="328" t="inlineStr">
        <is>
          <t>Visa ···· 8879</t>
        </is>
      </c>
      <c r="I23" s="197" t="inlineStr">
        <is>
          <t>BASK8WDHX2</t>
        </is>
      </c>
      <c r="J23" s="197" t="inlineStr">
        <is>
          <t>Trang tính17</t>
        </is>
      </c>
    </row>
    <row r="24" ht="13.2" customHeight="1" s="405">
      <c r="B24" s="327" t="n">
        <v>46210</v>
      </c>
      <c r="C24" s="328" t="inlineStr">
        <is>
          <t>Visa ···· 8879</t>
        </is>
      </c>
      <c r="D24" s="94" t="inlineStr">
        <is>
          <t>982SSVVHX2</t>
        </is>
      </c>
      <c r="E24" s="94" t="inlineStr">
        <is>
          <t>9,236,479</t>
        </is>
      </c>
      <c r="F24" s="327" t="inlineStr">
        <is>
          <t>7 Tháng 7, 2026</t>
        </is>
      </c>
      <c r="G24" s="197" t="n">
        <v>9236479</v>
      </c>
      <c r="H24" s="328" t="inlineStr">
        <is>
          <t>Visa ···· 8879</t>
        </is>
      </c>
      <c r="I24" s="197" t="inlineStr">
        <is>
          <t>982SSVVHX2</t>
        </is>
      </c>
      <c r="J24" s="197" t="inlineStr">
        <is>
          <t>Trang tính17</t>
        </is>
      </c>
    </row>
    <row r="25" ht="13.2" customHeight="1" s="405">
      <c r="B25" s="327" t="n">
        <v>46211</v>
      </c>
      <c r="C25" s="328" t="inlineStr">
        <is>
          <t>Visa ···· 8879</t>
        </is>
      </c>
      <c r="D25" s="94" t="inlineStr">
        <is>
          <t>67CRAZRHX2</t>
        </is>
      </c>
      <c r="E25" s="94" t="inlineStr">
        <is>
          <t>9,236,479</t>
        </is>
      </c>
      <c r="F25" s="327" t="inlineStr">
        <is>
          <t>8 Tháng 7, 2026</t>
        </is>
      </c>
      <c r="G25" s="197" t="n">
        <v>9236479</v>
      </c>
      <c r="H25" s="328" t="inlineStr">
        <is>
          <t>Visa ···· 8879</t>
        </is>
      </c>
      <c r="I25" s="197" t="inlineStr">
        <is>
          <t>67CRAZRHX2</t>
        </is>
      </c>
      <c r="J25" s="197" t="inlineStr">
        <is>
          <t>Trang tính17</t>
        </is>
      </c>
    </row>
    <row r="26" ht="13.2" customHeight="1" s="405">
      <c r="B26" s="327" t="n">
        <v>46211</v>
      </c>
      <c r="C26" s="328" t="inlineStr">
        <is>
          <t>Visa ···· 8879</t>
        </is>
      </c>
      <c r="D26" s="94" t="inlineStr">
        <is>
          <t>4DUTKWDHX2</t>
        </is>
      </c>
      <c r="E26" s="94" t="inlineStr">
        <is>
          <t>9,236,479</t>
        </is>
      </c>
      <c r="F26" s="327" t="inlineStr">
        <is>
          <t>9 Tháng 7, 2026</t>
        </is>
      </c>
      <c r="G26" s="197" t="n">
        <v>9236479</v>
      </c>
      <c r="H26" s="328" t="inlineStr">
        <is>
          <t>Visa ···· 8879</t>
        </is>
      </c>
      <c r="I26" s="197" t="inlineStr">
        <is>
          <t>4DUTKWDHX2</t>
        </is>
      </c>
      <c r="J26" s="197" t="inlineStr">
        <is>
          <t>Trang tính17</t>
        </is>
      </c>
    </row>
    <row r="27" ht="13.2" customHeight="1" s="405">
      <c r="B27" s="327" t="n">
        <v>46212</v>
      </c>
      <c r="C27" s="328" t="inlineStr">
        <is>
          <t>Visa ···· 8879</t>
        </is>
      </c>
      <c r="D27" s="94" t="inlineStr">
        <is>
          <t>GXMMSXHHX2</t>
        </is>
      </c>
      <c r="E27" s="94" t="inlineStr">
        <is>
          <t>4,202,598</t>
        </is>
      </c>
      <c r="F27" s="327" t="inlineStr">
        <is>
          <t>9 Tháng 7, 2026</t>
        </is>
      </c>
      <c r="G27" s="197" t="n">
        <v>4202598</v>
      </c>
      <c r="H27" s="328" t="inlineStr">
        <is>
          <t>Visa ···· 8879</t>
        </is>
      </c>
      <c r="I27" s="197" t="inlineStr">
        <is>
          <t>GXMMSXHHX2</t>
        </is>
      </c>
      <c r="J27" s="197" t="inlineStr">
        <is>
          <t>Trang tính17</t>
        </is>
      </c>
    </row>
    <row r="28" ht="13.2" customHeight="1" s="405">
      <c r="B28" s="327" t="n">
        <v>46213</v>
      </c>
      <c r="C28" s="328" t="inlineStr">
        <is>
          <t>Visa ···· 8879</t>
        </is>
      </c>
      <c r="D28" s="94" t="inlineStr">
        <is>
          <t>A6YRTVMHX2</t>
        </is>
      </c>
      <c r="E28" s="94" t="inlineStr">
        <is>
          <t>4,202,598</t>
        </is>
      </c>
      <c r="F28" s="327" t="inlineStr">
        <is>
          <t>10 Tháng 7, 2026</t>
        </is>
      </c>
      <c r="G28" s="197" t="n">
        <v>4202598</v>
      </c>
      <c r="H28" s="328" t="inlineStr">
        <is>
          <t>Visa ···· 8879</t>
        </is>
      </c>
      <c r="I28" s="197" t="inlineStr">
        <is>
          <t>A6YRTVMHX2</t>
        </is>
      </c>
      <c r="J28" s="197" t="inlineStr">
        <is>
          <t>Trang tính17</t>
        </is>
      </c>
    </row>
    <row r="29" ht="13.2" customHeight="1" s="405">
      <c r="B29" s="327" t="n">
        <v>46214</v>
      </c>
      <c r="C29" s="328" t="inlineStr">
        <is>
          <t>Visa ···· 8879</t>
        </is>
      </c>
      <c r="D29" s="94" t="inlineStr">
        <is>
          <t>ZJGGXXHHX2</t>
        </is>
      </c>
      <c r="E29" s="94" t="inlineStr">
        <is>
          <t>5,551,165</t>
        </is>
      </c>
      <c r="F29" s="327" t="inlineStr">
        <is>
          <t>11 Tháng 7, 2026</t>
        </is>
      </c>
      <c r="G29" s="197" t="n">
        <v>5551165</v>
      </c>
      <c r="H29" s="328" t="inlineStr">
        <is>
          <t>Visa ···· 8879</t>
        </is>
      </c>
      <c r="I29" s="197" t="inlineStr">
        <is>
          <t>ZJGGXXHHX2</t>
        </is>
      </c>
      <c r="J29" s="197" t="inlineStr">
        <is>
          <t>Trang tính17</t>
        </is>
      </c>
    </row>
    <row r="30" ht="13.2" customHeight="1" s="405">
      <c r="B30" s="327" t="n">
        <v>46215</v>
      </c>
      <c r="C30" s="328" t="inlineStr">
        <is>
          <t>Visa ···· 8879</t>
        </is>
      </c>
      <c r="D30" s="94" t="inlineStr">
        <is>
          <t>5RJMAXZGX2</t>
        </is>
      </c>
      <c r="E30" s="94" t="inlineStr">
        <is>
          <t>11,770,471</t>
        </is>
      </c>
      <c r="F30" s="327" t="inlineStr">
        <is>
          <t>12 Tháng 7, 2026</t>
        </is>
      </c>
      <c r="G30" s="197" t="n">
        <v>11770471</v>
      </c>
      <c r="H30" s="328" t="inlineStr">
        <is>
          <t>Visa ···· 8879</t>
        </is>
      </c>
      <c r="I30" s="197" t="inlineStr">
        <is>
          <t>5RJMAXZGX2</t>
        </is>
      </c>
      <c r="J30" s="197" t="inlineStr">
        <is>
          <t>Trang tính17</t>
        </is>
      </c>
    </row>
    <row r="31" ht="13.2" customHeight="1" s="405">
      <c r="B31" s="327" t="n">
        <v>46216</v>
      </c>
      <c r="C31" s="328" t="inlineStr">
        <is>
          <t>Visa ···· 8879</t>
        </is>
      </c>
      <c r="D31" s="94" t="inlineStr">
        <is>
          <t>4LV3EWVHX2</t>
        </is>
      </c>
      <c r="E31" s="94" t="inlineStr">
        <is>
          <t>5,034,060</t>
        </is>
      </c>
      <c r="F31" s="327" t="inlineStr">
        <is>
          <t>13 Tháng 7, 2026</t>
        </is>
      </c>
      <c r="G31" s="197" t="n">
        <v>5034060</v>
      </c>
      <c r="H31" s="328" t="inlineStr">
        <is>
          <t>Visa ···· 8879</t>
        </is>
      </c>
      <c r="I31" s="197" t="inlineStr">
        <is>
          <t>4LV3EWVHX2</t>
        </is>
      </c>
      <c r="J31" s="197" t="inlineStr">
        <is>
          <t>Trang tính17</t>
        </is>
      </c>
    </row>
    <row r="32" ht="13.2" customHeight="1" s="405">
      <c r="B32" s="327" t="n">
        <v>46216</v>
      </c>
      <c r="C32" s="328" t="inlineStr">
        <is>
          <t>Visa ···· 8879</t>
        </is>
      </c>
      <c r="D32" s="94" t="inlineStr">
        <is>
          <t>9YTY5WMHX2</t>
        </is>
      </c>
      <c r="E32" s="94" t="inlineStr">
        <is>
          <t>5,597,162</t>
        </is>
      </c>
      <c r="F32" s="327" t="inlineStr">
        <is>
          <t>13 Tháng 7, 2026</t>
        </is>
      </c>
      <c r="G32" s="197" t="n">
        <v>5597162</v>
      </c>
      <c r="H32" s="328" t="inlineStr">
        <is>
          <t>Visa ···· 8879</t>
        </is>
      </c>
      <c r="I32" s="197" t="inlineStr">
        <is>
          <t>9YTY5WMHX2</t>
        </is>
      </c>
      <c r="J32" s="197" t="inlineStr">
        <is>
          <t>Trang tính17</t>
        </is>
      </c>
    </row>
    <row r="33" ht="13.2" customHeight="1" s="405">
      <c r="B33" s="327" t="n">
        <v>46217</v>
      </c>
      <c r="C33" s="328" t="inlineStr">
        <is>
          <t>Visa ···· 8879</t>
        </is>
      </c>
      <c r="D33" s="94" t="inlineStr">
        <is>
          <t>DS584XDHX2</t>
        </is>
      </c>
      <c r="E33" s="94" t="inlineStr">
        <is>
          <t>5,597,162</t>
        </is>
      </c>
      <c r="F33" s="327" t="inlineStr">
        <is>
          <t>14 Tháng 7, 2026</t>
        </is>
      </c>
      <c r="G33" s="197" t="n">
        <v>5597162</v>
      </c>
      <c r="H33" s="328" t="inlineStr">
        <is>
          <t>Visa ···· 8879</t>
        </is>
      </c>
      <c r="I33" s="197" t="inlineStr">
        <is>
          <t>DS584XDHX2</t>
        </is>
      </c>
      <c r="J33" s="197" t="inlineStr">
        <is>
          <t>Trang tính17</t>
        </is>
      </c>
    </row>
    <row r="34" ht="13.2" customHeight="1" s="405">
      <c r="B34" s="327" t="n">
        <v>46219</v>
      </c>
      <c r="C34" s="328" t="inlineStr">
        <is>
          <t>Visa ···· 8879</t>
        </is>
      </c>
      <c r="D34" s="94" t="inlineStr">
        <is>
          <t>LZ5N4X5HX2</t>
        </is>
      </c>
      <c r="E34" s="94" t="inlineStr">
        <is>
          <t>12,867,452</t>
        </is>
      </c>
      <c r="F34" s="327" t="inlineStr">
        <is>
          <t>16 Tháng 7, 2026</t>
        </is>
      </c>
      <c r="G34" s="197" t="n">
        <v>12867452</v>
      </c>
      <c r="H34" s="328" t="inlineStr">
        <is>
          <t>Visa ···· 8879</t>
        </is>
      </c>
      <c r="I34" s="197" t="inlineStr">
        <is>
          <t>LZ5N4X5HX2</t>
        </is>
      </c>
      <c r="J34" s="197" t="inlineStr">
        <is>
          <t>Trang tính17</t>
        </is>
      </c>
    </row>
    <row r="35" ht="13.2" customHeight="1" s="405">
      <c r="B35" s="327" t="n">
        <v>46220</v>
      </c>
      <c r="C35" s="328" t="inlineStr">
        <is>
          <t>Visa ···· 8879</t>
        </is>
      </c>
      <c r="D35" s="94" t="inlineStr">
        <is>
          <t>BJC6MYHHX2</t>
        </is>
      </c>
      <c r="E35" s="94" t="inlineStr">
        <is>
          <t>9,242,284</t>
        </is>
      </c>
      <c r="F35" s="327" t="inlineStr">
        <is>
          <t>17 Tháng 7, 2026</t>
        </is>
      </c>
      <c r="G35" s="197" t="n">
        <v>9242284</v>
      </c>
      <c r="H35" s="328" t="inlineStr">
        <is>
          <t>Visa ···· 8879</t>
        </is>
      </c>
      <c r="I35" s="197" t="inlineStr">
        <is>
          <t>BJC6MYHHX2</t>
        </is>
      </c>
      <c r="J35" s="197" t="inlineStr">
        <is>
          <t>Trang tính17</t>
        </is>
      </c>
    </row>
    <row r="36" ht="13.2" customHeight="1" s="405">
      <c r="B36" s="327" t="n">
        <v>46222</v>
      </c>
      <c r="C36" s="328" t="inlineStr">
        <is>
          <t>Visa ···· 8879</t>
        </is>
      </c>
      <c r="D36" s="368" t="inlineStr">
        <is>
          <t>8E3WYXZGX2</t>
        </is>
      </c>
      <c r="E36" s="368" t="inlineStr">
        <is>
          <t>10,904,252</t>
        </is>
      </c>
      <c r="F36" s="327" t="inlineStr">
        <is>
          <t>19 Tháng 7, 2026</t>
        </is>
      </c>
      <c r="G36" s="471" t="n">
        <v>10904252</v>
      </c>
      <c r="H36" s="328" t="inlineStr">
        <is>
          <t>Visa ···· 8879</t>
        </is>
      </c>
      <c r="I36" s="471" t="inlineStr">
        <is>
          <t>8E3WYXZGX2</t>
        </is>
      </c>
      <c r="J36" s="471" t="inlineStr">
        <is>
          <t>Trang tính17</t>
        </is>
      </c>
    </row>
    <row r="37" ht="13.2" customHeight="1" s="405">
      <c r="B37" s="327" t="n">
        <v>46223</v>
      </c>
      <c r="C37" s="328" t="inlineStr">
        <is>
          <t>Visa ···· 8879</t>
        </is>
      </c>
      <c r="D37" s="368" t="inlineStr">
        <is>
          <t>GUFYPXVGX2</t>
        </is>
      </c>
      <c r="E37" s="368" t="inlineStr">
        <is>
          <t>11,911,438</t>
        </is>
      </c>
      <c r="F37" s="327" t="inlineStr">
        <is>
          <t>20 Tháng 7, 2026</t>
        </is>
      </c>
      <c r="G37" s="471" t="n">
        <v>11911438</v>
      </c>
      <c r="H37" s="328" t="inlineStr">
        <is>
          <t>Visa ···· 8879</t>
        </is>
      </c>
      <c r="I37" s="471" t="inlineStr">
        <is>
          <t>GUFYPXVGX2</t>
        </is>
      </c>
      <c r="J37" s="471" t="inlineStr">
        <is>
          <t>Trang tính17</t>
        </is>
      </c>
    </row>
    <row r="38" ht="13.2" customHeight="1" s="405">
      <c r="B38" s="327" t="n">
        <v>46224</v>
      </c>
      <c r="C38" s="328" t="inlineStr">
        <is>
          <t>Visa ···· 8879</t>
        </is>
      </c>
      <c r="D38" s="368" t="inlineStr">
        <is>
          <t>RSFLPX9HX2</t>
        </is>
      </c>
      <c r="E38" s="368" t="inlineStr">
        <is>
          <t>13,823,059</t>
        </is>
      </c>
      <c r="F38" s="327" t="inlineStr">
        <is>
          <t>21 Tháng 7, 2026</t>
        </is>
      </c>
      <c r="G38" s="471" t="n">
        <v>13823059</v>
      </c>
      <c r="H38" s="328" t="inlineStr">
        <is>
          <t>Visa ···· 8879</t>
        </is>
      </c>
      <c r="I38" s="471" t="inlineStr">
        <is>
          <t>RSFLPX9HX2</t>
        </is>
      </c>
      <c r="J38" s="471" t="inlineStr">
        <is>
          <t>Trang tính17</t>
        </is>
      </c>
    </row>
    <row r="39" ht="13.2" customHeight="1" s="405">
      <c r="B39" s="327" t="n">
        <v>46225</v>
      </c>
      <c r="C39" s="328" t="inlineStr">
        <is>
          <t>Visa ···· 8879</t>
        </is>
      </c>
      <c r="D39" s="368" t="inlineStr">
        <is>
          <t>4EA6R2NHX4</t>
        </is>
      </c>
      <c r="E39" s="368" t="inlineStr">
        <is>
          <t>13,823,059</t>
        </is>
      </c>
      <c r="F39" s="327" t="inlineStr">
        <is>
          <t>22 Tháng 7, 2026</t>
        </is>
      </c>
      <c r="G39" s="471" t="n">
        <v>13823059</v>
      </c>
      <c r="H39" s="328" t="inlineStr">
        <is>
          <t>Visa ···· 8879</t>
        </is>
      </c>
      <c r="I39" s="471" t="inlineStr">
        <is>
          <t>4EA6R2NHX4</t>
        </is>
      </c>
      <c r="J39" s="471" t="inlineStr">
        <is>
          <t>Trang tính17</t>
        </is>
      </c>
    </row>
    <row r="40" ht="13.2" customHeight="1" s="405">
      <c r="B40" s="327" t="n">
        <v>46225</v>
      </c>
      <c r="C40" s="328" t="inlineStr">
        <is>
          <t>Visa ···· 8879</t>
        </is>
      </c>
      <c r="D40" s="368" t="inlineStr">
        <is>
          <t>73ZXYXDHX2</t>
        </is>
      </c>
      <c r="E40" s="368" t="inlineStr">
        <is>
          <t>7,308,568</t>
        </is>
      </c>
      <c r="F40" s="327" t="inlineStr">
        <is>
          <t>22 Tháng 7, 2026</t>
        </is>
      </c>
      <c r="G40" s="471" t="n">
        <v>7308568</v>
      </c>
      <c r="H40" s="328" t="inlineStr">
        <is>
          <t>Visa ···· 8879</t>
        </is>
      </c>
      <c r="I40" s="471" t="inlineStr">
        <is>
          <t>73ZXYXDHX2</t>
        </is>
      </c>
      <c r="J40" s="471" t="inlineStr">
        <is>
          <t>Trang tính17</t>
        </is>
      </c>
    </row>
    <row r="41" ht="13.2" customHeight="1" s="405">
      <c r="B41" s="327" t="n">
        <v>46226</v>
      </c>
      <c r="C41" s="328" t="inlineStr">
        <is>
          <t>Visa ···· 8879</t>
        </is>
      </c>
      <c r="D41" s="368" t="inlineStr">
        <is>
          <t>PRAHUX5HX2</t>
        </is>
      </c>
      <c r="E41" s="368" t="inlineStr">
        <is>
          <t>7,308,568</t>
        </is>
      </c>
      <c r="F41" s="327" t="inlineStr">
        <is>
          <t>23 Tháng 7, 2026</t>
        </is>
      </c>
      <c r="G41" s="471" t="n">
        <v>7308568</v>
      </c>
      <c r="H41" s="328" t="inlineStr">
        <is>
          <t>Visa ···· 8879</t>
        </is>
      </c>
      <c r="I41" s="471" t="inlineStr">
        <is>
          <t>PRAHUX5HX2</t>
        </is>
      </c>
      <c r="J41" s="471" t="inlineStr">
        <is>
          <t>Trang tính17</t>
        </is>
      </c>
    </row>
    <row r="42" ht="13.2" customHeight="1" s="405">
      <c r="B42" s="327" t="n">
        <v>46227</v>
      </c>
      <c r="C42" s="328" t="inlineStr">
        <is>
          <t>Visa ···· 8879</t>
        </is>
      </c>
      <c r="D42" s="368" t="inlineStr">
        <is>
          <t>CSM5NXVHX2</t>
        </is>
      </c>
      <c r="E42" s="368" t="inlineStr">
        <is>
          <t>16,062,786</t>
        </is>
      </c>
      <c r="F42" s="327" t="inlineStr">
        <is>
          <t>24 Tháng 7, 2026</t>
        </is>
      </c>
      <c r="G42" s="471" t="n">
        <v>16062786</v>
      </c>
      <c r="H42" s="328" t="inlineStr">
        <is>
          <t>Visa ···· 8879</t>
        </is>
      </c>
      <c r="I42" s="471" t="inlineStr">
        <is>
          <t>CSM5NXVHX2</t>
        </is>
      </c>
      <c r="J42" s="471" t="inlineStr">
        <is>
          <t>Trang tính17</t>
        </is>
      </c>
    </row>
    <row r="43" ht="13.2" customHeight="1" s="405">
      <c r="B43" s="327" t="n">
        <v>46228</v>
      </c>
      <c r="C43" s="328" t="inlineStr">
        <is>
          <t>Visa ···· 8879</t>
        </is>
      </c>
      <c r="D43" s="368" t="inlineStr">
        <is>
          <t>GBP7BYDHX2</t>
        </is>
      </c>
      <c r="E43" s="368" t="inlineStr">
        <is>
          <t>5,670,457</t>
        </is>
      </c>
      <c r="F43" s="327" t="inlineStr">
        <is>
          <t>25 Tháng 7, 2026</t>
        </is>
      </c>
      <c r="G43" s="471" t="n">
        <v>5670457</v>
      </c>
      <c r="H43" s="328" t="inlineStr">
        <is>
          <t>Visa ···· 8879</t>
        </is>
      </c>
      <c r="I43" s="471" t="inlineStr">
        <is>
          <t>GBP7BYDHX2</t>
        </is>
      </c>
      <c r="J43" s="471" t="inlineStr">
        <is>
          <t>Trang tính17</t>
        </is>
      </c>
    </row>
    <row r="44" ht="13.2" customHeight="1" s="405">
      <c r="B44" s="327" t="n">
        <v>46228</v>
      </c>
      <c r="C44" s="328" t="inlineStr">
        <is>
          <t>Visa ···· 8879</t>
        </is>
      </c>
      <c r="D44" s="368" t="inlineStr">
        <is>
          <t>KSA8CYDHX2</t>
        </is>
      </c>
      <c r="E44" s="368" t="inlineStr">
        <is>
          <t>5,670,457</t>
        </is>
      </c>
      <c r="F44" s="327" t="inlineStr">
        <is>
          <t>25 Tháng 7, 2026</t>
        </is>
      </c>
      <c r="G44" s="471" t="n">
        <v>5670457</v>
      </c>
      <c r="H44" s="328" t="inlineStr">
        <is>
          <t>Visa ···· 8879</t>
        </is>
      </c>
      <c r="I44" s="471" t="inlineStr">
        <is>
          <t>KSA8CYDHX2</t>
        </is>
      </c>
      <c r="J44" s="471" t="inlineStr">
        <is>
          <t>Trang tính17</t>
        </is>
      </c>
    </row>
    <row r="45" ht="13.2" customHeight="1" s="405">
      <c r="B45" s="327" t="n">
        <v>46229</v>
      </c>
      <c r="C45" s="328" t="inlineStr">
        <is>
          <t>Visa ···· 8879</t>
        </is>
      </c>
      <c r="D45" s="368" t="inlineStr">
        <is>
          <t>SC5R9Y9HX2</t>
        </is>
      </c>
      <c r="E45" s="368" t="inlineStr">
        <is>
          <t>5,670,457</t>
        </is>
      </c>
      <c r="F45" s="327" t="inlineStr">
        <is>
          <t>26 Tháng 7, 2026</t>
        </is>
      </c>
      <c r="G45" s="471" t="n">
        <v>5670457</v>
      </c>
      <c r="H45" s="328" t="inlineStr">
        <is>
          <t>Visa ···· 8879</t>
        </is>
      </c>
      <c r="I45" s="471" t="inlineStr">
        <is>
          <t>SC5R9Y9HX2</t>
        </is>
      </c>
      <c r="J45" s="471" t="inlineStr">
        <is>
          <t>Trang tính17</t>
        </is>
      </c>
    </row>
    <row r="46" ht="13.2" customHeight="1" s="405">
      <c r="B46" s="327" t="n">
        <v>46229</v>
      </c>
      <c r="C46" s="328" t="inlineStr">
        <is>
          <t>Visa ···· 8879</t>
        </is>
      </c>
      <c r="D46" s="368" t="inlineStr">
        <is>
          <t>DWAJ7Y5HX2</t>
        </is>
      </c>
      <c r="E46" s="368" t="inlineStr">
        <is>
          <t>5,670,457</t>
        </is>
      </c>
      <c r="F46" s="327" t="inlineStr">
        <is>
          <t>26 Tháng 7, 2026</t>
        </is>
      </c>
      <c r="G46" s="471" t="n">
        <v>5670457</v>
      </c>
      <c r="H46" s="328" t="inlineStr">
        <is>
          <t>Visa ···· 8879</t>
        </is>
      </c>
      <c r="I46" s="471" t="inlineStr">
        <is>
          <t>DWAJ7Y5HX2</t>
        </is>
      </c>
      <c r="J46" s="471" t="inlineStr">
        <is>
          <t>Trang tính17</t>
        </is>
      </c>
    </row>
    <row r="47" ht="13.2" customHeight="1" s="405">
      <c r="B47" s="327" t="n">
        <v>46229</v>
      </c>
      <c r="C47" s="328" t="inlineStr">
        <is>
          <t>Visa ···· 8879</t>
        </is>
      </c>
      <c r="D47" s="368" t="inlineStr">
        <is>
          <t>2YNZUXVHX2</t>
        </is>
      </c>
      <c r="E47" s="368" t="inlineStr">
        <is>
          <t>5,670,457</t>
        </is>
      </c>
      <c r="F47" s="327" t="inlineStr">
        <is>
          <t>26 Tháng 7, 2026</t>
        </is>
      </c>
      <c r="G47" s="471" t="n">
        <v>5670457</v>
      </c>
      <c r="H47" s="328" t="inlineStr">
        <is>
          <t>Visa ···· 8879</t>
        </is>
      </c>
      <c r="I47" s="471" t="inlineStr">
        <is>
          <t>2YNZUXVHX2</t>
        </is>
      </c>
      <c r="J47" s="471" t="inlineStr">
        <is>
          <t>Trang tính17</t>
        </is>
      </c>
    </row>
    <row r="48" ht="13.2" customHeight="1" s="405">
      <c r="B48" s="327" t="n">
        <v>46230</v>
      </c>
      <c r="C48" s="328" t="inlineStr">
        <is>
          <t>Visa ···· 8879</t>
        </is>
      </c>
      <c r="D48" s="368" t="inlineStr">
        <is>
          <t>PFYPDY9HX2</t>
        </is>
      </c>
      <c r="E48" s="368" t="inlineStr">
        <is>
          <t>5,670,457</t>
        </is>
      </c>
      <c r="F48" s="327" t="inlineStr">
        <is>
          <t>27 Tháng 7, 2026</t>
        </is>
      </c>
      <c r="G48" s="471" t="n">
        <v>5670457</v>
      </c>
      <c r="H48" s="328" t="inlineStr">
        <is>
          <t>Visa ···· 8879</t>
        </is>
      </c>
      <c r="I48" s="471" t="inlineStr">
        <is>
          <t>PFYPDY9HX2</t>
        </is>
      </c>
      <c r="J48" s="471" t="inlineStr">
        <is>
          <t>Trang tính17</t>
        </is>
      </c>
    </row>
    <row r="49" ht="13.2" customHeight="1" s="405">
      <c r="B49" s="327" t="n">
        <v>46230</v>
      </c>
      <c r="C49" s="328" t="inlineStr">
        <is>
          <t>Visa ···· 8879</t>
        </is>
      </c>
      <c r="D49" s="368" t="inlineStr">
        <is>
          <t>X7CQQZHHX2</t>
        </is>
      </c>
      <c r="E49" s="368" t="inlineStr">
        <is>
          <t>5,670,457</t>
        </is>
      </c>
      <c r="F49" s="327" t="inlineStr">
        <is>
          <t>27 Tháng 7, 2026</t>
        </is>
      </c>
      <c r="G49" s="471" t="n">
        <v>5670457</v>
      </c>
      <c r="H49" s="328" t="inlineStr">
        <is>
          <t>Visa ···· 8879</t>
        </is>
      </c>
      <c r="I49" s="471" t="inlineStr">
        <is>
          <t>X7CQQZHHX2</t>
        </is>
      </c>
      <c r="J49" s="471" t="inlineStr">
        <is>
          <t>Trang tính17</t>
        </is>
      </c>
    </row>
    <row r="50" ht="13.2" customHeight="1" s="405">
      <c r="B50" s="327" t="n">
        <v>46231</v>
      </c>
      <c r="C50" s="328" t="inlineStr">
        <is>
          <t>Visa ···· 8879</t>
        </is>
      </c>
      <c r="D50" s="368" t="inlineStr">
        <is>
          <t>BGTCTZHHX2</t>
        </is>
      </c>
      <c r="E50" s="368" t="inlineStr">
        <is>
          <t>5,670,457</t>
        </is>
      </c>
      <c r="F50" s="327" t="inlineStr">
        <is>
          <t>28 Tháng 7, 2026</t>
        </is>
      </c>
      <c r="G50" s="471" t="n">
        <v>5670457</v>
      </c>
      <c r="H50" s="328" t="inlineStr">
        <is>
          <t>Visa ···· 8879</t>
        </is>
      </c>
      <c r="I50" s="471" t="inlineStr">
        <is>
          <t>BGTCTZHHX2</t>
        </is>
      </c>
      <c r="J50" s="471" t="inlineStr">
        <is>
          <t>Trang tính17</t>
        </is>
      </c>
    </row>
    <row r="51" ht="13.2" customHeight="1" s="405">
      <c r="B51" s="327" t="n">
        <v>46232</v>
      </c>
      <c r="C51" s="328" t="inlineStr">
        <is>
          <t>Visa ···· 8879</t>
        </is>
      </c>
      <c r="D51" s="368" t="inlineStr">
        <is>
          <t>SZKX6YVHX2</t>
        </is>
      </c>
      <c r="E51" s="368" t="inlineStr">
        <is>
          <t>13,897,056</t>
        </is>
      </c>
      <c r="F51" s="327" t="inlineStr">
        <is>
          <t>29 Tháng 7, 2026</t>
        </is>
      </c>
      <c r="G51" s="471" t="n">
        <v>13897056</v>
      </c>
      <c r="H51" s="328" t="inlineStr">
        <is>
          <t>Visa ···· 8879</t>
        </is>
      </c>
      <c r="I51" s="471" t="inlineStr">
        <is>
          <t>SZKX6YVHX2</t>
        </is>
      </c>
      <c r="J51" s="471" t="inlineStr">
        <is>
          <t>Trang tính17</t>
        </is>
      </c>
    </row>
    <row r="52" ht="13.2" customHeight="1" s="405">
      <c r="B52" s="327" t="n">
        <v>46233</v>
      </c>
      <c r="C52" s="328" t="inlineStr">
        <is>
          <t>Visa ···· 8879</t>
        </is>
      </c>
      <c r="D52" s="368" t="inlineStr">
        <is>
          <t>UN9CRY9HX2</t>
        </is>
      </c>
      <c r="E52" s="368" t="inlineStr">
        <is>
          <t>15,249,838</t>
        </is>
      </c>
      <c r="F52" s="327" t="inlineStr">
        <is>
          <t>30 Tháng 7, 2026</t>
        </is>
      </c>
      <c r="G52" s="471" t="n">
        <v>15249838</v>
      </c>
      <c r="H52" s="328" t="inlineStr">
        <is>
          <t>Visa ···· 8879</t>
        </is>
      </c>
      <c r="I52" s="471" t="inlineStr">
        <is>
          <t>UN9CRY9HX2</t>
        </is>
      </c>
      <c r="J52" s="471" t="inlineStr">
        <is>
          <t>Trang tính17</t>
        </is>
      </c>
    </row>
    <row r="53" ht="13.2" customHeight="1" s="405">
      <c r="B53" s="327" t="n">
        <v>46234</v>
      </c>
      <c r="C53" s="328" t="inlineStr">
        <is>
          <t>Visa ···· 8879</t>
        </is>
      </c>
      <c r="D53" s="368" t="inlineStr">
        <is>
          <t>MCP36YMHX2</t>
        </is>
      </c>
      <c r="E53" s="368" t="inlineStr">
        <is>
          <t>17,350,231</t>
        </is>
      </c>
      <c r="F53" s="327" t="n"/>
      <c r="G53" s="471" t="n"/>
      <c r="H53" s="328" t="n"/>
      <c r="I53" s="471" t="n"/>
      <c r="J53" s="471" t="n"/>
    </row>
    <row r="54" ht="13.2" customHeight="1" s="405">
      <c r="B54" s="327" t="n">
        <v>46234</v>
      </c>
      <c r="C54" s="328" t="inlineStr">
        <is>
          <t>Visa ···· 8879</t>
        </is>
      </c>
      <c r="D54" s="368" t="inlineStr">
        <is>
          <t>RGQ36YMHX2</t>
        </is>
      </c>
      <c r="E54" s="369" t="n">
        <v>238.143</v>
      </c>
      <c r="F54" s="327" t="n"/>
      <c r="G54" s="472" t="n"/>
      <c r="H54" s="328" t="n"/>
      <c r="I54" s="471" t="n"/>
      <c r="J54" s="471" t="n"/>
    </row>
  </sheetData>
  <mergeCells count="3">
    <mergeCell ref="C2:C3"/>
    <mergeCell ref="A2:A3"/>
    <mergeCell ref="B2:B3"/>
  </mergeCells>
  <hyperlinks>
    <hyperlink xmlns:r="http://schemas.openxmlformats.org/officeDocument/2006/relationships" ref="I14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0" summaryRight="0"/>
    <pageSetUpPr/>
  </sheetPr>
  <dimension ref="A1:G999"/>
  <sheetViews>
    <sheetView workbookViewId="0">
      <selection activeCell="A1" sqref="A1"/>
    </sheetView>
  </sheetViews>
  <sheetFormatPr baseColWidth="8" defaultColWidth="12.6640625" defaultRowHeight="15.75" customHeight="1"/>
  <cols>
    <col width="4.33203125" customWidth="1" style="405" min="1" max="1"/>
  </cols>
  <sheetData>
    <row r="1" ht="15.75" customHeight="1" s="405">
      <c r="A1" s="429" t="n"/>
      <c r="B1" s="430" t="n"/>
      <c r="C1" s="430" t="n"/>
      <c r="D1" s="431" t="n"/>
      <c r="E1" s="5" t="n"/>
      <c r="F1" s="5" t="n"/>
      <c r="G1" s="5" t="n"/>
    </row>
    <row r="2">
      <c r="A2" s="208" t="inlineStr">
        <is>
          <t>STT</t>
        </is>
      </c>
      <c r="B2" s="432" t="inlineStr">
        <is>
          <t>Ngày/tháng</t>
        </is>
      </c>
      <c r="C2" s="10" t="inlineStr">
        <is>
          <t xml:space="preserve">Ngân sách cấp 
</t>
        </is>
      </c>
      <c r="D2" s="26" t="inlineStr">
        <is>
          <t>Tổng đã tiêu</t>
        </is>
      </c>
      <c r="E2" s="208" t="inlineStr">
        <is>
          <t>Số đơn</t>
        </is>
      </c>
      <c r="F2" s="208" t="inlineStr">
        <is>
          <t>Doanh số</t>
        </is>
      </c>
      <c r="G2" s="208" t="inlineStr">
        <is>
          <t>Tỷ lệ CP</t>
        </is>
      </c>
    </row>
    <row r="3">
      <c r="A3" s="433" t="n"/>
      <c r="B3" s="433" t="n"/>
      <c r="C3" s="17">
        <f>+SUM(C4:C34)</f>
        <v/>
      </c>
      <c r="D3" s="21">
        <f>SUM(D4:D34)</f>
        <v/>
      </c>
      <c r="E3" s="26">
        <f>SUM(E4:E34)</f>
        <v/>
      </c>
      <c r="F3" s="21">
        <f>SUM(F4:F36)</f>
        <v/>
      </c>
      <c r="G3" s="31">
        <f>IFERROR(D3/F3,0)</f>
        <v/>
      </c>
    </row>
    <row r="4" ht="15.75" customHeight="1" s="405">
      <c r="A4" s="33" t="n">
        <v>1</v>
      </c>
      <c r="B4" s="35" t="n">
        <v>46204</v>
      </c>
      <c r="C4" s="300" t="n">
        <v>7000000</v>
      </c>
      <c r="D4" s="370">
        <f>'NV Lý CT'!D8</f>
        <v/>
      </c>
      <c r="E4" s="306" t="n">
        <v>2</v>
      </c>
      <c r="F4" s="313" t="n">
        <v>5550000</v>
      </c>
      <c r="G4" s="50">
        <f>IFERROR(D4/F4,0)</f>
        <v/>
      </c>
    </row>
    <row r="5" ht="15.75" customHeight="1" s="405">
      <c r="A5" s="52" t="n">
        <v>2</v>
      </c>
      <c r="B5" s="54" t="n">
        <v>46205</v>
      </c>
      <c r="C5" s="307" t="n"/>
      <c r="D5" s="371">
        <f>'NV Lý CT'!E8</f>
        <v/>
      </c>
      <c r="E5" s="303" t="n">
        <v>1</v>
      </c>
      <c r="F5" s="311" t="n">
        <v>2885000</v>
      </c>
      <c r="G5" s="62">
        <f>IFERROR(D5/F5,0)</f>
        <v/>
      </c>
    </row>
    <row r="6" ht="15.75" customHeight="1" s="405">
      <c r="A6" s="33" t="n">
        <v>3</v>
      </c>
      <c r="B6" s="35" t="n">
        <v>46206</v>
      </c>
      <c r="C6" s="300" t="n"/>
      <c r="D6" s="370">
        <f>'NV Lý CT'!F8</f>
        <v/>
      </c>
      <c r="E6" s="306" t="n">
        <v>3</v>
      </c>
      <c r="F6" s="313" t="n">
        <v>9060000</v>
      </c>
      <c r="G6" s="50">
        <f>IFERROR(D6/F6,0)</f>
        <v/>
      </c>
    </row>
    <row r="7" ht="15.75" customHeight="1" s="405">
      <c r="A7" s="52" t="n">
        <v>4</v>
      </c>
      <c r="B7" s="54" t="n">
        <v>46207</v>
      </c>
      <c r="C7" s="307" t="n"/>
      <c r="D7" s="371">
        <f>'NV Lý CT'!G8</f>
        <v/>
      </c>
      <c r="E7" s="332" t="n">
        <v>0</v>
      </c>
      <c r="F7" s="311" t="n"/>
      <c r="G7" s="62">
        <f>IFERROR(D7/F7,0)</f>
        <v/>
      </c>
    </row>
    <row r="8" ht="15.75" customHeight="1" s="405">
      <c r="A8" s="33" t="n">
        <v>5</v>
      </c>
      <c r="B8" s="35" t="n">
        <v>46208</v>
      </c>
      <c r="C8" s="300" t="n"/>
      <c r="D8" s="370">
        <f>'NV Lý CT'!H8</f>
        <v/>
      </c>
      <c r="E8" s="330" t="n">
        <v>1</v>
      </c>
      <c r="F8" s="313" t="n">
        <v>2530000</v>
      </c>
      <c r="G8" s="50">
        <f>IFERROR(D8/F8,0)</f>
        <v/>
      </c>
    </row>
    <row r="9" ht="15.75" customHeight="1" s="405">
      <c r="A9" s="52" t="n">
        <v>6</v>
      </c>
      <c r="B9" s="54" t="n">
        <v>46209</v>
      </c>
      <c r="C9" s="307" t="n"/>
      <c r="D9" s="371">
        <f>'NV Lý CT'!I8</f>
        <v/>
      </c>
      <c r="E9" s="332" t="n">
        <v>1</v>
      </c>
      <c r="F9" s="311" t="n">
        <v>3900000</v>
      </c>
      <c r="G9" s="62">
        <f>IFERROR(D9/F9,0)</f>
        <v/>
      </c>
    </row>
    <row r="10" ht="15.75" customHeight="1" s="405">
      <c r="A10" s="33" t="n">
        <v>7</v>
      </c>
      <c r="B10" s="35" t="n">
        <v>46210</v>
      </c>
      <c r="C10" s="300" t="n"/>
      <c r="D10" s="370">
        <f>'NV Lý CT'!J8</f>
        <v/>
      </c>
      <c r="E10" s="330" t="n">
        <v>2</v>
      </c>
      <c r="F10" s="313" t="n">
        <v>6595000</v>
      </c>
      <c r="G10" s="50">
        <f>IFERROR(D10/F10,0)</f>
        <v/>
      </c>
    </row>
    <row r="11" ht="15.75" customHeight="1" s="405">
      <c r="A11" s="52" t="n">
        <v>8</v>
      </c>
      <c r="B11" s="54" t="n">
        <v>46211</v>
      </c>
      <c r="C11" s="307" t="n"/>
      <c r="D11" s="371">
        <f>'NV Lý CT'!K8</f>
        <v/>
      </c>
      <c r="E11" s="332" t="n">
        <v>2</v>
      </c>
      <c r="F11" s="311" t="n">
        <v>6410000</v>
      </c>
      <c r="G11" s="62">
        <f>IFERROR(D11/F11,0)</f>
        <v/>
      </c>
    </row>
    <row r="12" ht="15.75" customHeight="1" s="405">
      <c r="A12" s="33" t="n">
        <v>9</v>
      </c>
      <c r="B12" s="35" t="n">
        <v>46212</v>
      </c>
      <c r="C12" s="300" t="n"/>
      <c r="D12" s="370">
        <f>'NV Lý CT'!L8</f>
        <v/>
      </c>
      <c r="E12" s="330" t="n"/>
      <c r="F12" s="313" t="n"/>
      <c r="G12" s="50">
        <f>IFERROR(D12/F12,0)</f>
        <v/>
      </c>
    </row>
    <row r="13" ht="15.75" customHeight="1" s="405">
      <c r="A13" s="52" t="n">
        <v>10</v>
      </c>
      <c r="B13" s="54" t="n">
        <v>46213</v>
      </c>
      <c r="C13" s="307" t="n"/>
      <c r="D13" s="371">
        <f>'NV Lý CT'!M8</f>
        <v/>
      </c>
      <c r="E13" s="332" t="n"/>
      <c r="F13" s="311" t="n"/>
      <c r="G13" s="62">
        <f>IFERROR(D13/F13,0)</f>
        <v/>
      </c>
    </row>
    <row r="14" ht="15.75" customHeight="1" s="405">
      <c r="A14" s="33" t="n">
        <v>11</v>
      </c>
      <c r="B14" s="35" t="n">
        <v>46214</v>
      </c>
      <c r="C14" s="300" t="n"/>
      <c r="D14" s="370">
        <f>'NV Lý CT'!N8</f>
        <v/>
      </c>
      <c r="E14" s="330" t="n"/>
      <c r="F14" s="313" t="n">
        <v>4030000</v>
      </c>
      <c r="G14" s="50">
        <f>IFERROR(D14/F14,0)</f>
        <v/>
      </c>
    </row>
    <row r="15" ht="15.75" customHeight="1" s="405">
      <c r="A15" s="52" t="n">
        <v>12</v>
      </c>
      <c r="B15" s="54" t="n">
        <v>46215</v>
      </c>
      <c r="C15" s="307" t="n"/>
      <c r="D15" s="371">
        <f>'NV Lý CT'!O8</f>
        <v/>
      </c>
      <c r="E15" s="332" t="n"/>
      <c r="F15" s="311" t="n">
        <v>0</v>
      </c>
      <c r="G15" s="62">
        <f>IFERROR(D15/F15,0)</f>
        <v/>
      </c>
    </row>
    <row r="16" ht="14.4" customHeight="1" s="405">
      <c r="A16" s="33" t="n">
        <v>13</v>
      </c>
      <c r="B16" s="35" t="n">
        <v>46216</v>
      </c>
      <c r="C16" s="300" t="n"/>
      <c r="D16" s="370">
        <f>'NV Lý CT'!P8</f>
        <v/>
      </c>
      <c r="E16" s="330" t="n"/>
      <c r="F16" s="313" t="n">
        <v>6740000</v>
      </c>
      <c r="G16" s="50">
        <f>IFERROR(D16/F16,0)</f>
        <v/>
      </c>
    </row>
    <row r="17" ht="14.4" customHeight="1" s="405">
      <c r="A17" s="52" t="n">
        <v>14</v>
      </c>
      <c r="B17" s="54" t="n">
        <v>46217</v>
      </c>
      <c r="C17" s="307" t="n"/>
      <c r="D17" s="371">
        <f>'NV Lý CT'!Q8</f>
        <v/>
      </c>
      <c r="E17" s="332" t="n"/>
      <c r="F17" s="311" t="n"/>
      <c r="G17" s="50">
        <f>IFERROR(D17/F17,0)</f>
        <v/>
      </c>
    </row>
    <row r="18" ht="14.4" customHeight="1" s="405">
      <c r="A18" s="33" t="n">
        <v>15</v>
      </c>
      <c r="B18" s="35" t="n">
        <v>46218</v>
      </c>
      <c r="C18" s="300" t="n"/>
      <c r="D18" s="370">
        <f>'NV Lý CT'!R8</f>
        <v/>
      </c>
      <c r="E18" s="330" t="n"/>
      <c r="F18" s="313" t="n"/>
      <c r="G18" s="50">
        <f>IFERROR(D18/F18,0)</f>
        <v/>
      </c>
    </row>
    <row r="19" ht="14.4" customHeight="1" s="405">
      <c r="A19" s="52" t="n">
        <v>16</v>
      </c>
      <c r="B19" s="54" t="n">
        <v>46219</v>
      </c>
      <c r="C19" s="307" t="n"/>
      <c r="D19" s="371">
        <f>'NV Lý CT'!S8</f>
        <v/>
      </c>
      <c r="E19" s="332" t="n"/>
      <c r="F19" s="311" t="n"/>
      <c r="G19" s="62">
        <f>IFERROR(D19/F19,0)</f>
        <v/>
      </c>
    </row>
    <row r="20" ht="14.4" customHeight="1" s="405">
      <c r="A20" s="33" t="n">
        <v>17</v>
      </c>
      <c r="B20" s="35" t="n">
        <v>46220</v>
      </c>
      <c r="C20" s="300" t="n"/>
      <c r="D20" s="80">
        <f>'NV Lý CT'!T8</f>
        <v/>
      </c>
      <c r="E20" s="330" t="n"/>
      <c r="F20" s="313" t="n"/>
      <c r="G20" s="50">
        <f>IFERROR(#REF!/F20,0)</f>
        <v/>
      </c>
    </row>
    <row r="21" ht="14.4" customHeight="1" s="405">
      <c r="A21" s="52" t="n">
        <v>18</v>
      </c>
      <c r="B21" s="54" t="n">
        <v>46221</v>
      </c>
      <c r="C21" s="307" t="n"/>
      <c r="D21" s="371">
        <f>'NV Lý CT'!U8</f>
        <v/>
      </c>
      <c r="E21" s="332" t="n"/>
      <c r="F21" s="311" t="n"/>
      <c r="G21" s="50">
        <f>IFERROR(D21/F21,0)</f>
        <v/>
      </c>
    </row>
    <row r="22" ht="14.4" customHeight="1" s="405">
      <c r="A22" s="33" t="n">
        <v>19</v>
      </c>
      <c r="B22" s="35" t="n">
        <v>46222</v>
      </c>
      <c r="C22" s="300" t="n"/>
      <c r="D22" s="370">
        <f>'NV Lý CT'!V8</f>
        <v/>
      </c>
      <c r="E22" s="330" t="n"/>
      <c r="F22" s="313" t="n"/>
      <c r="G22" s="50">
        <f>IFERROR(D22/F22,0)</f>
        <v/>
      </c>
    </row>
    <row r="23" ht="14.4" customHeight="1" s="405">
      <c r="A23" s="52" t="n">
        <v>20</v>
      </c>
      <c r="B23" s="54" t="n">
        <v>46223</v>
      </c>
      <c r="C23" s="307" t="n"/>
      <c r="D23" s="371">
        <f>'NV Lý CT'!W8</f>
        <v/>
      </c>
      <c r="E23" s="332" t="n"/>
      <c r="F23" s="311" t="n"/>
      <c r="G23" s="50">
        <f>IFERROR(D23/F23,0)</f>
        <v/>
      </c>
    </row>
    <row r="24" ht="14.4" customHeight="1" s="405">
      <c r="A24" s="33" t="n">
        <v>21</v>
      </c>
      <c r="B24" s="35" t="n">
        <v>46224</v>
      </c>
      <c r="C24" s="300" t="n"/>
      <c r="D24" s="370">
        <f>'NV Lý CT'!X8</f>
        <v/>
      </c>
      <c r="E24" s="337" t="n"/>
      <c r="F24" s="313" t="n"/>
      <c r="G24" s="50">
        <f>IFERROR(D24/F24,0)</f>
        <v/>
      </c>
    </row>
    <row r="25" ht="14.4" customHeight="1" s="405">
      <c r="A25" s="52" t="n">
        <v>22</v>
      </c>
      <c r="B25" s="54" t="n">
        <v>46225</v>
      </c>
      <c r="C25" s="307" t="n"/>
      <c r="D25" s="371">
        <f>'NV Lý CT'!Y8</f>
        <v/>
      </c>
      <c r="E25" s="332" t="n"/>
      <c r="F25" s="311" t="n"/>
      <c r="G25" s="50">
        <f>IFERROR(D25/F25,0)</f>
        <v/>
      </c>
    </row>
    <row r="26" ht="14.4" customHeight="1" s="405">
      <c r="A26" s="33" t="n">
        <v>23</v>
      </c>
      <c r="B26" s="35" t="n">
        <v>46226</v>
      </c>
      <c r="C26" s="300" t="n"/>
      <c r="D26" s="370">
        <f>'NV Lý CT'!Z8</f>
        <v/>
      </c>
      <c r="E26" s="330" t="n"/>
      <c r="F26" s="313" t="n"/>
      <c r="G26" s="62">
        <f>IFERROR(D26/F26,0)</f>
        <v/>
      </c>
    </row>
    <row r="27" ht="14.4" customHeight="1" s="405">
      <c r="A27" s="52" t="n">
        <v>24</v>
      </c>
      <c r="B27" s="54" t="n">
        <v>46227</v>
      </c>
      <c r="C27" s="307" t="n"/>
      <c r="D27" s="371">
        <f>'NV Lý CT'!AA8</f>
        <v/>
      </c>
      <c r="E27" s="332" t="n"/>
      <c r="F27" s="311" t="n"/>
      <c r="G27" s="50">
        <f>IFERROR(D27/F27,0)</f>
        <v/>
      </c>
    </row>
    <row r="28" ht="14.4" customHeight="1" s="405">
      <c r="A28" s="33" t="n">
        <v>25</v>
      </c>
      <c r="B28" s="35" t="n">
        <v>46228</v>
      </c>
      <c r="C28" s="300" t="n"/>
      <c r="D28" s="370">
        <f>'NV Lý CT'!AB8</f>
        <v/>
      </c>
      <c r="E28" s="330" t="n"/>
      <c r="F28" s="313" t="n"/>
      <c r="G28" s="50">
        <f>IFERROR(D28/F28,0)</f>
        <v/>
      </c>
    </row>
    <row r="29" ht="14.4" customHeight="1" s="405">
      <c r="A29" s="52" t="n">
        <v>26</v>
      </c>
      <c r="B29" s="54" t="n">
        <v>46229</v>
      </c>
      <c r="C29" s="307" t="n"/>
      <c r="D29" s="371">
        <f>'NV Lý CT'!AC8</f>
        <v/>
      </c>
      <c r="E29" s="332" t="n"/>
      <c r="F29" s="311" t="n"/>
      <c r="G29" s="62">
        <f>IFERROR(D29/F29,0)</f>
        <v/>
      </c>
    </row>
    <row r="30" ht="14.4" customHeight="1" s="405">
      <c r="A30" s="33" t="n">
        <v>27</v>
      </c>
      <c r="B30" s="35" t="n">
        <v>46230</v>
      </c>
      <c r="C30" s="300" t="n"/>
      <c r="D30" s="370">
        <f>'NV Lý CT'!AD8</f>
        <v/>
      </c>
      <c r="E30" s="330" t="n"/>
      <c r="F30" s="313" t="n"/>
      <c r="G30" s="50">
        <f>IFERROR(D30/F30,0)</f>
        <v/>
      </c>
    </row>
    <row r="31" ht="14.4" customHeight="1" s="405">
      <c r="A31" s="52" t="n">
        <v>28</v>
      </c>
      <c r="B31" s="54" t="n">
        <v>46231</v>
      </c>
      <c r="C31" s="307" t="n"/>
      <c r="D31" s="371">
        <f>'NV Lý CT'!AE8</f>
        <v/>
      </c>
      <c r="E31" s="332" t="n"/>
      <c r="F31" s="311" t="n"/>
      <c r="G31" s="62">
        <f>IFERROR(D31/F31,0)</f>
        <v/>
      </c>
    </row>
    <row r="32" ht="14.4" customHeight="1" s="405">
      <c r="A32" s="33" t="n">
        <v>29</v>
      </c>
      <c r="B32" s="35" t="n">
        <v>46232</v>
      </c>
      <c r="C32" s="300" t="n"/>
      <c r="D32" s="370">
        <f>'NV Lý CT'!AF8</f>
        <v/>
      </c>
      <c r="E32" s="330" t="n"/>
      <c r="F32" s="313" t="n"/>
      <c r="G32" s="50">
        <f>IFERROR(D32/F32,0)</f>
        <v/>
      </c>
    </row>
    <row r="33" ht="14.4" customHeight="1" s="405">
      <c r="A33" s="52" t="n">
        <v>30</v>
      </c>
      <c r="B33" s="54" t="n">
        <v>46233</v>
      </c>
      <c r="C33" s="307" t="n"/>
      <c r="D33" s="371">
        <f>'NV Lý CT'!AG8</f>
        <v/>
      </c>
      <c r="E33" s="332" t="n"/>
      <c r="F33" s="311" t="n"/>
      <c r="G33" s="62">
        <f>IFERROR(D33/F33,0)</f>
        <v/>
      </c>
    </row>
    <row r="34" ht="14.4" customHeight="1" s="405">
      <c r="A34" s="33" t="n">
        <v>31</v>
      </c>
      <c r="B34" s="35" t="n">
        <v>46234</v>
      </c>
      <c r="C34" s="300" t="n"/>
      <c r="D34" s="370">
        <f>'NV Lý CT'!AH8</f>
        <v/>
      </c>
      <c r="E34" s="330" t="n"/>
      <c r="F34" s="313" t="n"/>
      <c r="G34" s="50">
        <f>IFERROR(D34/F34,0)</f>
        <v/>
      </c>
    </row>
    <row r="35" ht="14.4" customHeight="1" s="405">
      <c r="A35" s="325" t="n"/>
      <c r="B35" s="54" t="n"/>
      <c r="C35" s="116" t="n"/>
      <c r="D35" s="307" t="n"/>
      <c r="E35" s="325" t="n"/>
      <c r="F35" s="311" t="n"/>
      <c r="G35" s="265" t="n"/>
    </row>
    <row r="36" ht="13.2" customHeight="1" s="405">
      <c r="B36" s="117" t="n"/>
    </row>
    <row r="37" ht="13.2" customHeight="1" s="405">
      <c r="B37" s="117" t="n"/>
    </row>
    <row r="38" ht="13.2" customHeight="1" s="405">
      <c r="B38" s="117" t="n"/>
    </row>
    <row r="39" ht="13.2" customHeight="1" s="405">
      <c r="B39" s="117" t="n"/>
    </row>
    <row r="40" ht="13.2" customHeight="1" s="405">
      <c r="B40" s="117" t="n"/>
    </row>
    <row r="41" ht="13.2" customHeight="1" s="405">
      <c r="B41" s="117" t="n"/>
    </row>
    <row r="42" ht="13.2" customHeight="1" s="405">
      <c r="B42" s="117" t="n"/>
    </row>
    <row r="43" ht="13.2" customHeight="1" s="405">
      <c r="B43" s="117" t="n"/>
    </row>
    <row r="44" ht="13.2" customHeight="1" s="405">
      <c r="B44" s="117" t="n"/>
    </row>
    <row r="45" ht="13.2" customHeight="1" s="405">
      <c r="B45" s="117" t="n"/>
    </row>
    <row r="46" ht="13.2" customHeight="1" s="405">
      <c r="B46" s="117" t="n"/>
    </row>
    <row r="47" ht="13.2" customHeight="1" s="405">
      <c r="B47" s="117" t="n"/>
    </row>
    <row r="48" ht="13.2" customHeight="1" s="405">
      <c r="B48" s="117" t="n"/>
    </row>
    <row r="49" ht="13.2" customHeight="1" s="405">
      <c r="B49" s="117" t="n"/>
    </row>
    <row r="50" ht="13.2" customHeight="1" s="405">
      <c r="B50" s="117" t="n"/>
    </row>
    <row r="51" ht="13.2" customHeight="1" s="405">
      <c r="B51" s="117" t="n"/>
    </row>
    <row r="52" ht="13.2" customHeight="1" s="405">
      <c r="B52" s="117" t="n"/>
    </row>
    <row r="53" ht="13.2" customHeight="1" s="405">
      <c r="B53" s="117" t="n"/>
    </row>
    <row r="54" ht="13.2" customHeight="1" s="405">
      <c r="B54" s="117" t="n"/>
    </row>
    <row r="55" ht="13.2" customHeight="1" s="405">
      <c r="B55" s="117" t="n"/>
    </row>
    <row r="56" ht="13.2" customHeight="1" s="405">
      <c r="B56" s="117" t="n"/>
    </row>
    <row r="57" ht="13.2" customHeight="1" s="405">
      <c r="B57" s="117" t="n"/>
    </row>
    <row r="58" ht="13.2" customHeight="1" s="405">
      <c r="B58" s="117" t="n"/>
    </row>
    <row r="59" ht="13.2" customHeight="1" s="405">
      <c r="B59" s="117" t="n"/>
    </row>
    <row r="60" ht="13.2" customHeight="1" s="405">
      <c r="B60" s="117" t="n"/>
    </row>
    <row r="61" ht="13.2" customHeight="1" s="405">
      <c r="B61" s="117" t="n"/>
    </row>
    <row r="62" ht="13.2" customHeight="1" s="405">
      <c r="B62" s="117" t="n"/>
    </row>
    <row r="63" ht="13.2" customHeight="1" s="405">
      <c r="B63" s="117" t="n"/>
    </row>
    <row r="64" ht="13.2" customHeight="1" s="405">
      <c r="B64" s="117" t="n"/>
    </row>
    <row r="65" ht="13.2" customHeight="1" s="405">
      <c r="B65" s="117" t="n"/>
    </row>
    <row r="66" ht="13.2" customHeight="1" s="405">
      <c r="B66" s="117" t="n"/>
    </row>
    <row r="67" ht="13.2" customHeight="1" s="405">
      <c r="B67" s="117" t="n"/>
    </row>
    <row r="68" ht="13.2" customHeight="1" s="405">
      <c r="B68" s="117" t="n"/>
    </row>
    <row r="69" ht="13.2" customHeight="1" s="405">
      <c r="B69" s="117" t="n"/>
    </row>
    <row r="70" ht="13.2" customHeight="1" s="405">
      <c r="B70" s="117" t="n"/>
    </row>
    <row r="71" ht="13.2" customHeight="1" s="405">
      <c r="B71" s="117" t="n"/>
    </row>
    <row r="72" ht="13.2" customHeight="1" s="405">
      <c r="B72" s="117" t="n"/>
    </row>
    <row r="73" ht="13.2" customHeight="1" s="405">
      <c r="B73" s="117" t="n"/>
    </row>
    <row r="74" ht="13.2" customHeight="1" s="405">
      <c r="B74" s="117" t="n"/>
    </row>
    <row r="75" ht="13.2" customHeight="1" s="405">
      <c r="B75" s="117" t="n"/>
    </row>
    <row r="76" ht="13.2" customHeight="1" s="405">
      <c r="B76" s="117" t="n"/>
    </row>
    <row r="77" ht="13.2" customHeight="1" s="405">
      <c r="B77" s="117" t="n"/>
    </row>
    <row r="78" ht="13.2" customHeight="1" s="405">
      <c r="B78" s="117" t="n"/>
    </row>
    <row r="79" ht="13.2" customHeight="1" s="405">
      <c r="B79" s="117" t="n"/>
    </row>
    <row r="80" ht="13.2" customHeight="1" s="405">
      <c r="B80" s="117" t="n"/>
    </row>
    <row r="81" ht="13.2" customHeight="1" s="405">
      <c r="B81" s="117" t="n"/>
    </row>
    <row r="82" ht="13.2" customHeight="1" s="405">
      <c r="B82" s="117" t="n"/>
    </row>
    <row r="83" ht="13.2" customHeight="1" s="405">
      <c r="B83" s="117" t="n"/>
    </row>
    <row r="84" ht="13.2" customHeight="1" s="405">
      <c r="B84" s="117" t="n"/>
    </row>
    <row r="85" ht="13.2" customHeight="1" s="405">
      <c r="B85" s="117" t="n"/>
    </row>
    <row r="86" ht="13.2" customHeight="1" s="405">
      <c r="B86" s="117" t="n"/>
    </row>
    <row r="87" ht="13.2" customHeight="1" s="405">
      <c r="B87" s="117" t="n"/>
    </row>
    <row r="88" ht="13.2" customHeight="1" s="405">
      <c r="B88" s="117" t="n"/>
    </row>
    <row r="89" ht="13.2" customHeight="1" s="405">
      <c r="B89" s="117" t="n"/>
    </row>
    <row r="90" ht="13.2" customHeight="1" s="405">
      <c r="B90" s="117" t="n"/>
    </row>
    <row r="91" ht="13.2" customHeight="1" s="405">
      <c r="B91" s="117" t="n"/>
    </row>
    <row r="92" ht="13.2" customHeight="1" s="405">
      <c r="B92" s="117" t="n"/>
    </row>
    <row r="93" ht="13.2" customHeight="1" s="405">
      <c r="B93" s="117" t="n"/>
    </row>
    <row r="94" ht="13.2" customHeight="1" s="405">
      <c r="B94" s="117" t="n"/>
    </row>
    <row r="95" ht="13.2" customHeight="1" s="405">
      <c r="B95" s="117" t="n"/>
    </row>
    <row r="96" ht="13.2" customHeight="1" s="405">
      <c r="B96" s="117" t="n"/>
    </row>
    <row r="97" ht="13.2" customHeight="1" s="405">
      <c r="B97" s="117" t="n"/>
    </row>
    <row r="98" ht="13.2" customHeight="1" s="405">
      <c r="B98" s="117" t="n"/>
    </row>
    <row r="99" ht="13.2" customHeight="1" s="405">
      <c r="B99" s="117" t="n"/>
    </row>
    <row r="100" ht="13.2" customHeight="1" s="405">
      <c r="B100" s="117" t="n"/>
    </row>
    <row r="101" ht="13.2" customHeight="1" s="405">
      <c r="B101" s="117" t="n"/>
    </row>
    <row r="102" ht="13.2" customHeight="1" s="405">
      <c r="B102" s="117" t="n"/>
    </row>
    <row r="103" ht="13.2" customHeight="1" s="405">
      <c r="B103" s="117" t="n"/>
    </row>
    <row r="104" ht="13.2" customHeight="1" s="405">
      <c r="B104" s="117" t="n"/>
    </row>
    <row r="105" ht="13.2" customHeight="1" s="405">
      <c r="B105" s="117" t="n"/>
    </row>
    <row r="106" ht="13.2" customHeight="1" s="405">
      <c r="B106" s="117" t="n"/>
    </row>
    <row r="107" ht="13.2" customHeight="1" s="405">
      <c r="B107" s="117" t="n"/>
    </row>
    <row r="108" ht="13.2" customHeight="1" s="405">
      <c r="B108" s="117" t="n"/>
    </row>
    <row r="109" ht="13.2" customHeight="1" s="405">
      <c r="B109" s="117" t="n"/>
    </row>
    <row r="110" ht="13.2" customHeight="1" s="405">
      <c r="B110" s="117" t="n"/>
    </row>
    <row r="111" ht="13.2" customHeight="1" s="405">
      <c r="B111" s="117" t="n"/>
    </row>
    <row r="112" ht="13.2" customHeight="1" s="405">
      <c r="B112" s="117" t="n"/>
    </row>
    <row r="113" ht="13.2" customHeight="1" s="405">
      <c r="B113" s="117" t="n"/>
    </row>
    <row r="114" ht="13.2" customHeight="1" s="405">
      <c r="B114" s="117" t="n"/>
    </row>
    <row r="115" ht="13.2" customHeight="1" s="405">
      <c r="B115" s="117" t="n"/>
    </row>
    <row r="116" ht="13.2" customHeight="1" s="405">
      <c r="B116" s="117" t="n"/>
    </row>
    <row r="117" ht="13.2" customHeight="1" s="405">
      <c r="B117" s="117" t="n"/>
    </row>
    <row r="118" ht="13.2" customHeight="1" s="405">
      <c r="B118" s="117" t="n"/>
    </row>
    <row r="119" ht="13.2" customHeight="1" s="405">
      <c r="B119" s="117" t="n"/>
    </row>
    <row r="120" ht="13.2" customHeight="1" s="405">
      <c r="B120" s="117" t="n"/>
    </row>
    <row r="121" ht="13.2" customHeight="1" s="405">
      <c r="B121" s="117" t="n"/>
    </row>
    <row r="122" ht="13.2" customHeight="1" s="405">
      <c r="B122" s="117" t="n"/>
    </row>
    <row r="123" ht="13.2" customHeight="1" s="405">
      <c r="B123" s="117" t="n"/>
    </row>
    <row r="124" ht="13.2" customHeight="1" s="405">
      <c r="B124" s="117" t="n"/>
    </row>
    <row r="125" ht="13.2" customHeight="1" s="405">
      <c r="B125" s="117" t="n"/>
    </row>
    <row r="126" ht="13.2" customHeight="1" s="405">
      <c r="B126" s="117" t="n"/>
    </row>
    <row r="127" ht="13.2" customHeight="1" s="405">
      <c r="B127" s="117" t="n"/>
    </row>
    <row r="128" ht="13.2" customHeight="1" s="405">
      <c r="B128" s="117" t="n"/>
    </row>
    <row r="129" ht="13.2" customHeight="1" s="405">
      <c r="B129" s="117" t="n"/>
    </row>
    <row r="130" ht="13.2" customHeight="1" s="405">
      <c r="B130" s="117" t="n"/>
    </row>
    <row r="131" ht="13.2" customHeight="1" s="405">
      <c r="B131" s="117" t="n"/>
    </row>
    <row r="132" ht="13.2" customHeight="1" s="405">
      <c r="B132" s="117" t="n"/>
    </row>
    <row r="133" ht="13.2" customHeight="1" s="405">
      <c r="B133" s="117" t="n"/>
    </row>
    <row r="134" ht="13.2" customHeight="1" s="405">
      <c r="B134" s="117" t="n"/>
    </row>
    <row r="135" ht="13.2" customHeight="1" s="405">
      <c r="B135" s="117" t="n"/>
    </row>
    <row r="136" ht="13.2" customHeight="1" s="405">
      <c r="B136" s="117" t="n"/>
    </row>
    <row r="137" ht="13.2" customHeight="1" s="405">
      <c r="B137" s="117" t="n"/>
    </row>
    <row r="138" ht="13.2" customHeight="1" s="405">
      <c r="B138" s="117" t="n"/>
    </row>
    <row r="139" ht="13.2" customHeight="1" s="405">
      <c r="B139" s="117" t="n"/>
    </row>
    <row r="140" ht="13.2" customHeight="1" s="405">
      <c r="B140" s="117" t="n"/>
    </row>
    <row r="141" ht="13.2" customHeight="1" s="405">
      <c r="B141" s="117" t="n"/>
    </row>
    <row r="142" ht="13.2" customHeight="1" s="405">
      <c r="B142" s="117" t="n"/>
    </row>
    <row r="143" ht="13.2" customHeight="1" s="405">
      <c r="B143" s="117" t="n"/>
    </row>
    <row r="144" ht="13.2" customHeight="1" s="405">
      <c r="B144" s="117" t="n"/>
    </row>
    <row r="145" ht="13.2" customHeight="1" s="405">
      <c r="B145" s="117" t="n"/>
    </row>
    <row r="146" ht="13.2" customHeight="1" s="405">
      <c r="B146" s="117" t="n"/>
    </row>
    <row r="147" ht="13.2" customHeight="1" s="405">
      <c r="B147" s="117" t="n"/>
    </row>
    <row r="148" ht="13.2" customHeight="1" s="405">
      <c r="B148" s="117" t="n"/>
    </row>
    <row r="149" ht="13.2" customHeight="1" s="405">
      <c r="B149" s="117" t="n"/>
    </row>
    <row r="150" ht="13.2" customHeight="1" s="405">
      <c r="B150" s="117" t="n"/>
    </row>
    <row r="151" ht="13.2" customHeight="1" s="405">
      <c r="B151" s="117" t="n"/>
    </row>
    <row r="152" ht="13.2" customHeight="1" s="405">
      <c r="B152" s="117" t="n"/>
    </row>
    <row r="153" ht="13.2" customHeight="1" s="405">
      <c r="B153" s="117" t="n"/>
    </row>
    <row r="154" ht="13.2" customHeight="1" s="405">
      <c r="B154" s="117" t="n"/>
    </row>
    <row r="155" ht="13.2" customHeight="1" s="405">
      <c r="B155" s="117" t="n"/>
    </row>
    <row r="156" ht="13.2" customHeight="1" s="405">
      <c r="B156" s="117" t="n"/>
    </row>
    <row r="157" ht="13.2" customHeight="1" s="405">
      <c r="B157" s="117" t="n"/>
    </row>
    <row r="158" ht="13.2" customHeight="1" s="405">
      <c r="B158" s="117" t="n"/>
    </row>
    <row r="159" ht="13.2" customHeight="1" s="405">
      <c r="B159" s="117" t="n"/>
    </row>
    <row r="160" ht="13.2" customHeight="1" s="405">
      <c r="B160" s="117" t="n"/>
    </row>
    <row r="161" ht="13.2" customHeight="1" s="405">
      <c r="B161" s="117" t="n"/>
    </row>
    <row r="162" ht="13.2" customHeight="1" s="405">
      <c r="B162" s="117" t="n"/>
    </row>
    <row r="163" ht="13.2" customHeight="1" s="405">
      <c r="B163" s="117" t="n"/>
    </row>
    <row r="164" ht="13.2" customHeight="1" s="405">
      <c r="B164" s="117" t="n"/>
    </row>
    <row r="165" ht="13.2" customHeight="1" s="405">
      <c r="B165" s="117" t="n"/>
    </row>
    <row r="166" ht="13.2" customHeight="1" s="405">
      <c r="B166" s="117" t="n"/>
    </row>
    <row r="167" ht="13.2" customHeight="1" s="405">
      <c r="B167" s="117" t="n"/>
    </row>
    <row r="168" ht="13.2" customHeight="1" s="405">
      <c r="B168" s="117" t="n"/>
    </row>
    <row r="169" ht="13.2" customHeight="1" s="405">
      <c r="B169" s="117" t="n"/>
    </row>
    <row r="170" ht="13.2" customHeight="1" s="405">
      <c r="B170" s="117" t="n"/>
    </row>
    <row r="171" ht="13.2" customHeight="1" s="405">
      <c r="B171" s="117" t="n"/>
    </row>
    <row r="172" ht="13.2" customHeight="1" s="405">
      <c r="B172" s="117" t="n"/>
    </row>
    <row r="173" ht="13.2" customHeight="1" s="405">
      <c r="B173" s="117" t="n"/>
    </row>
    <row r="174" ht="13.2" customHeight="1" s="405">
      <c r="B174" s="117" t="n"/>
    </row>
    <row r="175" ht="13.2" customHeight="1" s="405">
      <c r="B175" s="117" t="n"/>
    </row>
    <row r="176" ht="13.2" customHeight="1" s="405">
      <c r="B176" s="117" t="n"/>
    </row>
    <row r="177" ht="13.2" customHeight="1" s="405">
      <c r="B177" s="117" t="n"/>
    </row>
    <row r="178" ht="13.2" customHeight="1" s="405">
      <c r="B178" s="117" t="n"/>
    </row>
    <row r="179" ht="13.2" customHeight="1" s="405">
      <c r="B179" s="117" t="n"/>
    </row>
    <row r="180" ht="13.2" customHeight="1" s="405">
      <c r="B180" s="117" t="n"/>
    </row>
    <row r="181" ht="13.2" customHeight="1" s="405">
      <c r="B181" s="117" t="n"/>
    </row>
    <row r="182" ht="13.2" customHeight="1" s="405">
      <c r="B182" s="117" t="n"/>
    </row>
    <row r="183" ht="13.2" customHeight="1" s="405">
      <c r="B183" s="117" t="n"/>
    </row>
    <row r="184" ht="13.2" customHeight="1" s="405">
      <c r="B184" s="117" t="n"/>
    </row>
    <row r="185" ht="13.2" customHeight="1" s="405">
      <c r="B185" s="117" t="n"/>
    </row>
    <row r="186" ht="13.2" customHeight="1" s="405">
      <c r="B186" s="117" t="n"/>
    </row>
    <row r="187" ht="13.2" customHeight="1" s="405">
      <c r="B187" s="117" t="n"/>
    </row>
    <row r="188" ht="13.2" customHeight="1" s="405">
      <c r="B188" s="117" t="n"/>
    </row>
    <row r="189" ht="13.2" customHeight="1" s="405">
      <c r="B189" s="117" t="n"/>
    </row>
    <row r="190" ht="13.2" customHeight="1" s="405">
      <c r="B190" s="117" t="n"/>
    </row>
    <row r="191" ht="13.2" customHeight="1" s="405">
      <c r="B191" s="117" t="n"/>
    </row>
    <row r="192" ht="13.2" customHeight="1" s="405">
      <c r="B192" s="117" t="n"/>
    </row>
    <row r="193" ht="13.2" customHeight="1" s="405">
      <c r="B193" s="117" t="n"/>
    </row>
    <row r="194" ht="13.2" customHeight="1" s="405">
      <c r="B194" s="117" t="n"/>
    </row>
    <row r="195" ht="13.2" customHeight="1" s="405">
      <c r="B195" s="117" t="n"/>
    </row>
    <row r="196" ht="13.2" customHeight="1" s="405">
      <c r="B196" s="117" t="n"/>
    </row>
    <row r="197" ht="13.2" customHeight="1" s="405">
      <c r="B197" s="117" t="n"/>
    </row>
    <row r="198" ht="13.2" customHeight="1" s="405">
      <c r="B198" s="117" t="n"/>
    </row>
    <row r="199" ht="13.2" customHeight="1" s="405">
      <c r="B199" s="117" t="n"/>
    </row>
    <row r="200" ht="13.2" customHeight="1" s="405">
      <c r="B200" s="117" t="n"/>
    </row>
    <row r="201" ht="13.2" customHeight="1" s="405">
      <c r="B201" s="117" t="n"/>
    </row>
    <row r="202" ht="13.2" customHeight="1" s="405">
      <c r="B202" s="117" t="n"/>
    </row>
    <row r="203" ht="13.2" customHeight="1" s="405">
      <c r="B203" s="117" t="n"/>
    </row>
    <row r="204" ht="13.2" customHeight="1" s="405">
      <c r="B204" s="117" t="n"/>
    </row>
    <row r="205" ht="13.2" customHeight="1" s="405">
      <c r="B205" s="117" t="n"/>
    </row>
    <row r="206" ht="13.2" customHeight="1" s="405">
      <c r="B206" s="117" t="n"/>
    </row>
    <row r="207" ht="13.2" customHeight="1" s="405">
      <c r="B207" s="117" t="n"/>
    </row>
    <row r="208" ht="13.2" customHeight="1" s="405">
      <c r="B208" s="117" t="n"/>
    </row>
    <row r="209" ht="13.2" customHeight="1" s="405">
      <c r="B209" s="117" t="n"/>
    </row>
    <row r="210" ht="13.2" customHeight="1" s="405">
      <c r="B210" s="117" t="n"/>
    </row>
    <row r="211" ht="13.2" customHeight="1" s="405">
      <c r="B211" s="117" t="n"/>
    </row>
    <row r="212" ht="13.2" customHeight="1" s="405">
      <c r="B212" s="117" t="n"/>
    </row>
    <row r="213" ht="13.2" customHeight="1" s="405">
      <c r="B213" s="117" t="n"/>
    </row>
    <row r="214" ht="13.2" customHeight="1" s="405">
      <c r="B214" s="117" t="n"/>
    </row>
    <row r="215" ht="13.2" customHeight="1" s="405">
      <c r="B215" s="117" t="n"/>
    </row>
    <row r="216" ht="13.2" customHeight="1" s="405">
      <c r="B216" s="117" t="n"/>
    </row>
    <row r="217" ht="13.2" customHeight="1" s="405">
      <c r="B217" s="117" t="n"/>
    </row>
    <row r="218" ht="13.2" customHeight="1" s="405">
      <c r="B218" s="117" t="n"/>
    </row>
    <row r="219" ht="13.2" customHeight="1" s="405">
      <c r="B219" s="117" t="n"/>
    </row>
    <row r="220" ht="13.2" customHeight="1" s="405">
      <c r="B220" s="117" t="n"/>
    </row>
    <row r="221" ht="13.2" customHeight="1" s="405">
      <c r="B221" s="117" t="n"/>
    </row>
    <row r="222" ht="13.2" customHeight="1" s="405">
      <c r="B222" s="117" t="n"/>
    </row>
    <row r="223" ht="13.2" customHeight="1" s="405">
      <c r="B223" s="117" t="n"/>
    </row>
    <row r="224" ht="13.2" customHeight="1" s="405">
      <c r="B224" s="117" t="n"/>
    </row>
    <row r="225" ht="13.2" customHeight="1" s="405">
      <c r="B225" s="117" t="n"/>
    </row>
    <row r="226" ht="13.2" customHeight="1" s="405">
      <c r="B226" s="117" t="n"/>
    </row>
    <row r="227" ht="13.2" customHeight="1" s="405">
      <c r="B227" s="117" t="n"/>
    </row>
    <row r="228" ht="13.2" customHeight="1" s="405">
      <c r="B228" s="117" t="n"/>
    </row>
    <row r="229" ht="13.2" customHeight="1" s="405">
      <c r="B229" s="117" t="n"/>
    </row>
    <row r="230" ht="13.2" customHeight="1" s="405">
      <c r="B230" s="117" t="n"/>
    </row>
    <row r="231" ht="13.2" customHeight="1" s="405">
      <c r="B231" s="117" t="n"/>
    </row>
    <row r="232" ht="13.2" customHeight="1" s="405">
      <c r="B232" s="117" t="n"/>
    </row>
    <row r="233" ht="13.2" customHeight="1" s="405">
      <c r="B233" s="117" t="n"/>
    </row>
    <row r="234" ht="13.2" customHeight="1" s="405">
      <c r="B234" s="117" t="n"/>
    </row>
    <row r="235" ht="13.2" customHeight="1" s="405">
      <c r="B235" s="117" t="n"/>
    </row>
    <row r="236" ht="13.2" customHeight="1" s="405">
      <c r="B236" s="117" t="n"/>
    </row>
    <row r="237" ht="13.2" customHeight="1" s="405">
      <c r="B237" s="117" t="n"/>
    </row>
    <row r="238" ht="13.2" customHeight="1" s="405">
      <c r="B238" s="117" t="n"/>
    </row>
    <row r="239" ht="13.2" customHeight="1" s="405">
      <c r="B239" s="117" t="n"/>
    </row>
    <row r="240" ht="13.2" customHeight="1" s="405">
      <c r="B240" s="117" t="n"/>
    </row>
    <row r="241" ht="13.2" customHeight="1" s="405">
      <c r="B241" s="117" t="n"/>
    </row>
    <row r="242" ht="13.2" customHeight="1" s="405">
      <c r="B242" s="117" t="n"/>
    </row>
    <row r="243" ht="13.2" customHeight="1" s="405">
      <c r="B243" s="117" t="n"/>
    </row>
    <row r="244" ht="13.2" customHeight="1" s="405">
      <c r="B244" s="117" t="n"/>
    </row>
    <row r="245" ht="13.2" customHeight="1" s="405">
      <c r="B245" s="117" t="n"/>
    </row>
    <row r="246" ht="13.2" customHeight="1" s="405">
      <c r="B246" s="117" t="n"/>
    </row>
    <row r="247" ht="13.2" customHeight="1" s="405">
      <c r="B247" s="117" t="n"/>
    </row>
    <row r="248" ht="13.2" customHeight="1" s="405">
      <c r="B248" s="117" t="n"/>
    </row>
    <row r="249" ht="13.2" customHeight="1" s="405">
      <c r="B249" s="117" t="n"/>
    </row>
    <row r="250" ht="13.2" customHeight="1" s="405">
      <c r="B250" s="117" t="n"/>
    </row>
    <row r="251" ht="13.2" customHeight="1" s="405">
      <c r="B251" s="117" t="n"/>
    </row>
    <row r="252" ht="13.2" customHeight="1" s="405">
      <c r="B252" s="117" t="n"/>
    </row>
    <row r="253" ht="13.2" customHeight="1" s="405">
      <c r="B253" s="117" t="n"/>
    </row>
    <row r="254" ht="13.2" customHeight="1" s="405">
      <c r="B254" s="117" t="n"/>
    </row>
    <row r="255" ht="13.2" customHeight="1" s="405">
      <c r="B255" s="117" t="n"/>
    </row>
    <row r="256" ht="13.2" customHeight="1" s="405">
      <c r="B256" s="117" t="n"/>
    </row>
    <row r="257" ht="13.2" customHeight="1" s="405">
      <c r="B257" s="117" t="n"/>
    </row>
    <row r="258" ht="13.2" customHeight="1" s="405">
      <c r="B258" s="117" t="n"/>
    </row>
    <row r="259" ht="13.2" customHeight="1" s="405">
      <c r="B259" s="117" t="n"/>
    </row>
    <row r="260" ht="13.2" customHeight="1" s="405">
      <c r="B260" s="117" t="n"/>
    </row>
    <row r="261" ht="13.2" customHeight="1" s="405">
      <c r="B261" s="117" t="n"/>
    </row>
    <row r="262" ht="13.2" customHeight="1" s="405">
      <c r="B262" s="117" t="n"/>
    </row>
    <row r="263" ht="13.2" customHeight="1" s="405">
      <c r="B263" s="117" t="n"/>
    </row>
    <row r="264" ht="13.2" customHeight="1" s="405">
      <c r="B264" s="117" t="n"/>
    </row>
    <row r="265" ht="13.2" customHeight="1" s="405">
      <c r="B265" s="117" t="n"/>
    </row>
    <row r="266" ht="13.2" customHeight="1" s="405">
      <c r="B266" s="117" t="n"/>
    </row>
    <row r="267" ht="13.2" customHeight="1" s="405">
      <c r="B267" s="117" t="n"/>
    </row>
    <row r="268" ht="13.2" customHeight="1" s="405">
      <c r="B268" s="117" t="n"/>
    </row>
    <row r="269" ht="13.2" customHeight="1" s="405">
      <c r="B269" s="117" t="n"/>
    </row>
    <row r="270" ht="13.2" customHeight="1" s="405">
      <c r="B270" s="117" t="n"/>
    </row>
    <row r="271" ht="13.2" customHeight="1" s="405">
      <c r="B271" s="117" t="n"/>
    </row>
    <row r="272" ht="13.2" customHeight="1" s="405">
      <c r="B272" s="117" t="n"/>
    </row>
    <row r="273" ht="13.2" customHeight="1" s="405">
      <c r="B273" s="117" t="n"/>
    </row>
    <row r="274" ht="13.2" customHeight="1" s="405">
      <c r="B274" s="117" t="n"/>
    </row>
    <row r="275" ht="13.2" customHeight="1" s="405">
      <c r="B275" s="117" t="n"/>
    </row>
    <row r="276" ht="13.2" customHeight="1" s="405">
      <c r="B276" s="117" t="n"/>
    </row>
    <row r="277" ht="13.2" customHeight="1" s="405">
      <c r="B277" s="117" t="n"/>
    </row>
    <row r="278" ht="13.2" customHeight="1" s="405">
      <c r="B278" s="117" t="n"/>
    </row>
    <row r="279" ht="13.2" customHeight="1" s="405">
      <c r="B279" s="117" t="n"/>
    </row>
    <row r="280" ht="13.2" customHeight="1" s="405">
      <c r="B280" s="117" t="n"/>
    </row>
    <row r="281" ht="13.2" customHeight="1" s="405">
      <c r="B281" s="117" t="n"/>
    </row>
    <row r="282" ht="13.2" customHeight="1" s="405">
      <c r="B282" s="117" t="n"/>
    </row>
    <row r="283" ht="13.2" customHeight="1" s="405">
      <c r="B283" s="117" t="n"/>
    </row>
    <row r="284" ht="13.2" customHeight="1" s="405">
      <c r="B284" s="117" t="n"/>
    </row>
    <row r="285" ht="13.2" customHeight="1" s="405">
      <c r="B285" s="117" t="n"/>
    </row>
    <row r="286" ht="13.2" customHeight="1" s="405">
      <c r="B286" s="117" t="n"/>
    </row>
    <row r="287" ht="13.2" customHeight="1" s="405">
      <c r="B287" s="117" t="n"/>
    </row>
    <row r="288" ht="13.2" customHeight="1" s="405">
      <c r="B288" s="117" t="n"/>
    </row>
    <row r="289" ht="13.2" customHeight="1" s="405">
      <c r="B289" s="117" t="n"/>
    </row>
    <row r="290" ht="13.2" customHeight="1" s="405">
      <c r="B290" s="117" t="n"/>
    </row>
    <row r="291" ht="13.2" customHeight="1" s="405">
      <c r="B291" s="117" t="n"/>
    </row>
    <row r="292" ht="13.2" customHeight="1" s="405">
      <c r="B292" s="117" t="n"/>
    </row>
    <row r="293" ht="13.2" customHeight="1" s="405">
      <c r="B293" s="117" t="n"/>
    </row>
    <row r="294" ht="13.2" customHeight="1" s="405">
      <c r="B294" s="117" t="n"/>
    </row>
    <row r="295" ht="13.2" customHeight="1" s="405">
      <c r="B295" s="117" t="n"/>
    </row>
    <row r="296" ht="13.2" customHeight="1" s="405">
      <c r="B296" s="117" t="n"/>
    </row>
    <row r="297" ht="13.2" customHeight="1" s="405">
      <c r="B297" s="117" t="n"/>
    </row>
    <row r="298" ht="13.2" customHeight="1" s="405">
      <c r="B298" s="117" t="n"/>
    </row>
    <row r="299" ht="13.2" customHeight="1" s="405">
      <c r="B299" s="117" t="n"/>
    </row>
    <row r="300" ht="13.2" customHeight="1" s="405">
      <c r="B300" s="117" t="n"/>
    </row>
    <row r="301" ht="13.2" customHeight="1" s="405">
      <c r="B301" s="117" t="n"/>
    </row>
    <row r="302" ht="13.2" customHeight="1" s="405">
      <c r="B302" s="117" t="n"/>
    </row>
    <row r="303" ht="13.2" customHeight="1" s="405">
      <c r="B303" s="117" t="n"/>
    </row>
    <row r="304" ht="13.2" customHeight="1" s="405">
      <c r="B304" s="117" t="n"/>
    </row>
    <row r="305" ht="13.2" customHeight="1" s="405">
      <c r="B305" s="117" t="n"/>
    </row>
    <row r="306" ht="13.2" customHeight="1" s="405">
      <c r="B306" s="117" t="n"/>
    </row>
    <row r="307" ht="13.2" customHeight="1" s="405">
      <c r="B307" s="117" t="n"/>
    </row>
    <row r="308" ht="13.2" customHeight="1" s="405">
      <c r="B308" s="117" t="n"/>
    </row>
    <row r="309" ht="13.2" customHeight="1" s="405">
      <c r="B309" s="117" t="n"/>
    </row>
    <row r="310" ht="13.2" customHeight="1" s="405">
      <c r="B310" s="117" t="n"/>
    </row>
    <row r="311" ht="13.2" customHeight="1" s="405">
      <c r="B311" s="117" t="n"/>
    </row>
    <row r="312" ht="13.2" customHeight="1" s="405">
      <c r="B312" s="117" t="n"/>
    </row>
    <row r="313" ht="13.2" customHeight="1" s="405">
      <c r="B313" s="117" t="n"/>
    </row>
    <row r="314" ht="13.2" customHeight="1" s="405">
      <c r="B314" s="117" t="n"/>
    </row>
    <row r="315" ht="13.2" customHeight="1" s="405">
      <c r="B315" s="117" t="n"/>
    </row>
    <row r="316" ht="13.2" customHeight="1" s="405">
      <c r="B316" s="117" t="n"/>
    </row>
    <row r="317" ht="13.2" customHeight="1" s="405">
      <c r="B317" s="117" t="n"/>
    </row>
    <row r="318" ht="13.2" customHeight="1" s="405">
      <c r="B318" s="117" t="n"/>
    </row>
    <row r="319" ht="13.2" customHeight="1" s="405">
      <c r="B319" s="117" t="n"/>
    </row>
    <row r="320" ht="13.2" customHeight="1" s="405">
      <c r="B320" s="117" t="n"/>
    </row>
    <row r="321" ht="13.2" customHeight="1" s="405">
      <c r="B321" s="117" t="n"/>
    </row>
    <row r="322" ht="13.2" customHeight="1" s="405">
      <c r="B322" s="117" t="n"/>
    </row>
    <row r="323" ht="13.2" customHeight="1" s="405">
      <c r="B323" s="117" t="n"/>
    </row>
    <row r="324" ht="13.2" customHeight="1" s="405">
      <c r="B324" s="117" t="n"/>
    </row>
    <row r="325" ht="13.2" customHeight="1" s="405">
      <c r="B325" s="117" t="n"/>
    </row>
    <row r="326" ht="13.2" customHeight="1" s="405">
      <c r="B326" s="117" t="n"/>
    </row>
    <row r="327" ht="13.2" customHeight="1" s="405">
      <c r="B327" s="117" t="n"/>
    </row>
    <row r="328" ht="13.2" customHeight="1" s="405">
      <c r="B328" s="117" t="n"/>
    </row>
    <row r="329" ht="13.2" customHeight="1" s="405">
      <c r="B329" s="117" t="n"/>
    </row>
    <row r="330" ht="13.2" customHeight="1" s="405">
      <c r="B330" s="117" t="n"/>
    </row>
    <row r="331" ht="13.2" customHeight="1" s="405">
      <c r="B331" s="117" t="n"/>
    </row>
    <row r="332" ht="13.2" customHeight="1" s="405">
      <c r="B332" s="117" t="n"/>
    </row>
    <row r="333" ht="13.2" customHeight="1" s="405">
      <c r="B333" s="117" t="n"/>
    </row>
    <row r="334" ht="13.2" customHeight="1" s="405">
      <c r="B334" s="117" t="n"/>
    </row>
    <row r="335" ht="13.2" customHeight="1" s="405">
      <c r="B335" s="117" t="n"/>
    </row>
    <row r="336" ht="13.2" customHeight="1" s="405">
      <c r="B336" s="117" t="n"/>
    </row>
    <row r="337" ht="13.2" customHeight="1" s="405">
      <c r="B337" s="117" t="n"/>
    </row>
    <row r="338" ht="13.2" customHeight="1" s="405">
      <c r="B338" s="117" t="n"/>
    </row>
    <row r="339" ht="13.2" customHeight="1" s="405">
      <c r="B339" s="117" t="n"/>
    </row>
    <row r="340" ht="13.2" customHeight="1" s="405">
      <c r="B340" s="117" t="n"/>
    </row>
    <row r="341" ht="13.2" customHeight="1" s="405">
      <c r="B341" s="117" t="n"/>
    </row>
    <row r="342" ht="13.2" customHeight="1" s="405">
      <c r="B342" s="117" t="n"/>
    </row>
    <row r="343" ht="13.2" customHeight="1" s="405">
      <c r="B343" s="117" t="n"/>
    </row>
    <row r="344" ht="13.2" customHeight="1" s="405">
      <c r="B344" s="117" t="n"/>
    </row>
    <row r="345" ht="13.2" customHeight="1" s="405">
      <c r="B345" s="117" t="n"/>
    </row>
    <row r="346" ht="13.2" customHeight="1" s="405">
      <c r="B346" s="117" t="n"/>
    </row>
    <row r="347" ht="13.2" customHeight="1" s="405">
      <c r="B347" s="117" t="n"/>
    </row>
    <row r="348" ht="13.2" customHeight="1" s="405">
      <c r="B348" s="117" t="n"/>
    </row>
    <row r="349" ht="13.2" customHeight="1" s="405">
      <c r="B349" s="117" t="n"/>
    </row>
    <row r="350" ht="13.2" customHeight="1" s="405">
      <c r="B350" s="117" t="n"/>
    </row>
    <row r="351" ht="13.2" customHeight="1" s="405">
      <c r="B351" s="117" t="n"/>
    </row>
    <row r="352" ht="13.2" customHeight="1" s="405">
      <c r="B352" s="117" t="n"/>
    </row>
    <row r="353" ht="13.2" customHeight="1" s="405">
      <c r="B353" s="117" t="n"/>
    </row>
    <row r="354" ht="13.2" customHeight="1" s="405">
      <c r="B354" s="117" t="n"/>
    </row>
    <row r="355" ht="13.2" customHeight="1" s="405">
      <c r="B355" s="117" t="n"/>
    </row>
    <row r="356" ht="13.2" customHeight="1" s="405">
      <c r="B356" s="117" t="n"/>
    </row>
    <row r="357" ht="13.2" customHeight="1" s="405">
      <c r="B357" s="117" t="n"/>
    </row>
    <row r="358" ht="13.2" customHeight="1" s="405">
      <c r="B358" s="117" t="n"/>
    </row>
    <row r="359" ht="13.2" customHeight="1" s="405">
      <c r="B359" s="117" t="n"/>
    </row>
    <row r="360" ht="13.2" customHeight="1" s="405">
      <c r="B360" s="117" t="n"/>
    </row>
    <row r="361" ht="13.2" customHeight="1" s="405">
      <c r="B361" s="117" t="n"/>
    </row>
    <row r="362" ht="13.2" customHeight="1" s="405">
      <c r="B362" s="117" t="n"/>
    </row>
    <row r="363" ht="13.2" customHeight="1" s="405">
      <c r="B363" s="117" t="n"/>
    </row>
    <row r="364" ht="13.2" customHeight="1" s="405">
      <c r="B364" s="117" t="n"/>
    </row>
    <row r="365" ht="13.2" customHeight="1" s="405">
      <c r="B365" s="117" t="n"/>
    </row>
    <row r="366" ht="13.2" customHeight="1" s="405">
      <c r="B366" s="117" t="n"/>
    </row>
    <row r="367" ht="13.2" customHeight="1" s="405">
      <c r="B367" s="117" t="n"/>
    </row>
    <row r="368" ht="13.2" customHeight="1" s="405">
      <c r="B368" s="117" t="n"/>
    </row>
    <row r="369" ht="13.2" customHeight="1" s="405">
      <c r="B369" s="117" t="n"/>
    </row>
    <row r="370" ht="13.2" customHeight="1" s="405">
      <c r="B370" s="117" t="n"/>
    </row>
    <row r="371" ht="13.2" customHeight="1" s="405">
      <c r="B371" s="117" t="n"/>
    </row>
    <row r="372" ht="13.2" customHeight="1" s="405">
      <c r="B372" s="117" t="n"/>
    </row>
    <row r="373" ht="13.2" customHeight="1" s="405">
      <c r="B373" s="117" t="n"/>
    </row>
    <row r="374" ht="13.2" customHeight="1" s="405">
      <c r="B374" s="117" t="n"/>
    </row>
    <row r="375" ht="13.2" customHeight="1" s="405">
      <c r="B375" s="117" t="n"/>
    </row>
    <row r="376" ht="13.2" customHeight="1" s="405">
      <c r="B376" s="117" t="n"/>
    </row>
    <row r="377" ht="13.2" customHeight="1" s="405">
      <c r="B377" s="117" t="n"/>
    </row>
    <row r="378" ht="13.2" customHeight="1" s="405">
      <c r="B378" s="117" t="n"/>
    </row>
    <row r="379" ht="13.2" customHeight="1" s="405">
      <c r="B379" s="117" t="n"/>
    </row>
    <row r="380" ht="13.2" customHeight="1" s="405">
      <c r="B380" s="117" t="n"/>
    </row>
    <row r="381" ht="13.2" customHeight="1" s="405">
      <c r="B381" s="117" t="n"/>
    </row>
    <row r="382" ht="13.2" customHeight="1" s="405">
      <c r="B382" s="117" t="n"/>
    </row>
    <row r="383" ht="13.2" customHeight="1" s="405">
      <c r="B383" s="117" t="n"/>
    </row>
    <row r="384" ht="13.2" customHeight="1" s="405">
      <c r="B384" s="117" t="n"/>
    </row>
    <row r="385" ht="13.2" customHeight="1" s="405">
      <c r="B385" s="117" t="n"/>
    </row>
    <row r="386" ht="13.2" customHeight="1" s="405">
      <c r="B386" s="117" t="n"/>
    </row>
    <row r="387" ht="13.2" customHeight="1" s="405">
      <c r="B387" s="117" t="n"/>
    </row>
    <row r="388" ht="13.2" customHeight="1" s="405">
      <c r="B388" s="117" t="n"/>
    </row>
    <row r="389" ht="13.2" customHeight="1" s="405">
      <c r="B389" s="117" t="n"/>
    </row>
    <row r="390" ht="13.2" customHeight="1" s="405">
      <c r="B390" s="117" t="n"/>
    </row>
    <row r="391" ht="13.2" customHeight="1" s="405">
      <c r="B391" s="117" t="n"/>
    </row>
    <row r="392" ht="13.2" customHeight="1" s="405">
      <c r="B392" s="117" t="n"/>
    </row>
    <row r="393" ht="13.2" customHeight="1" s="405">
      <c r="B393" s="117" t="n"/>
    </row>
    <row r="394" ht="13.2" customHeight="1" s="405">
      <c r="B394" s="117" t="n"/>
    </row>
    <row r="395" ht="13.2" customHeight="1" s="405">
      <c r="B395" s="117" t="n"/>
    </row>
    <row r="396" ht="13.2" customHeight="1" s="405">
      <c r="B396" s="117" t="n"/>
    </row>
    <row r="397" ht="13.2" customHeight="1" s="405">
      <c r="B397" s="117" t="n"/>
    </row>
    <row r="398" ht="13.2" customHeight="1" s="405">
      <c r="B398" s="117" t="n"/>
    </row>
    <row r="399" ht="13.2" customHeight="1" s="405">
      <c r="B399" s="117" t="n"/>
    </row>
    <row r="400" ht="13.2" customHeight="1" s="405">
      <c r="B400" s="117" t="n"/>
    </row>
    <row r="401" ht="13.2" customHeight="1" s="405">
      <c r="B401" s="117" t="n"/>
    </row>
    <row r="402" ht="13.2" customHeight="1" s="405">
      <c r="B402" s="117" t="n"/>
    </row>
    <row r="403" ht="13.2" customHeight="1" s="405">
      <c r="B403" s="117" t="n"/>
    </row>
    <row r="404" ht="13.2" customHeight="1" s="405">
      <c r="B404" s="117" t="n"/>
    </row>
    <row r="405" ht="13.2" customHeight="1" s="405">
      <c r="B405" s="117" t="n"/>
    </row>
    <row r="406" ht="13.2" customHeight="1" s="405">
      <c r="B406" s="117" t="n"/>
    </row>
    <row r="407" ht="13.2" customHeight="1" s="405">
      <c r="B407" s="117" t="n"/>
    </row>
    <row r="408" ht="13.2" customHeight="1" s="405">
      <c r="B408" s="117" t="n"/>
    </row>
    <row r="409" ht="13.2" customHeight="1" s="405">
      <c r="B409" s="117" t="n"/>
    </row>
    <row r="410" ht="13.2" customHeight="1" s="405">
      <c r="B410" s="117" t="n"/>
    </row>
    <row r="411" ht="13.2" customHeight="1" s="405">
      <c r="B411" s="117" t="n"/>
    </row>
    <row r="412" ht="13.2" customHeight="1" s="405">
      <c r="B412" s="117" t="n"/>
    </row>
    <row r="413" ht="13.2" customHeight="1" s="405">
      <c r="B413" s="117" t="n"/>
    </row>
    <row r="414" ht="13.2" customHeight="1" s="405">
      <c r="B414" s="117" t="n"/>
    </row>
    <row r="415" ht="13.2" customHeight="1" s="405">
      <c r="B415" s="117" t="n"/>
    </row>
    <row r="416" ht="13.2" customHeight="1" s="405">
      <c r="B416" s="117" t="n"/>
    </row>
    <row r="417" ht="13.2" customHeight="1" s="405">
      <c r="B417" s="117" t="n"/>
    </row>
    <row r="418" ht="13.2" customHeight="1" s="405">
      <c r="B418" s="117" t="n"/>
    </row>
    <row r="419" ht="13.2" customHeight="1" s="405">
      <c r="B419" s="117" t="n"/>
    </row>
    <row r="420" ht="13.2" customHeight="1" s="405">
      <c r="B420" s="117" t="n"/>
    </row>
    <row r="421" ht="13.2" customHeight="1" s="405">
      <c r="B421" s="117" t="n"/>
    </row>
    <row r="422" ht="13.2" customHeight="1" s="405">
      <c r="B422" s="117" t="n"/>
    </row>
    <row r="423" ht="13.2" customHeight="1" s="405">
      <c r="B423" s="117" t="n"/>
    </row>
    <row r="424" ht="13.2" customHeight="1" s="405">
      <c r="B424" s="117" t="n"/>
    </row>
    <row r="425" ht="13.2" customHeight="1" s="405">
      <c r="B425" s="117" t="n"/>
    </row>
    <row r="426" ht="13.2" customHeight="1" s="405">
      <c r="B426" s="117" t="n"/>
    </row>
    <row r="427" ht="13.2" customHeight="1" s="405">
      <c r="B427" s="117" t="n"/>
    </row>
    <row r="428" ht="13.2" customHeight="1" s="405">
      <c r="B428" s="117" t="n"/>
    </row>
    <row r="429" ht="13.2" customHeight="1" s="405">
      <c r="B429" s="117" t="n"/>
    </row>
    <row r="430" ht="13.2" customHeight="1" s="405">
      <c r="B430" s="117" t="n"/>
    </row>
    <row r="431" ht="13.2" customHeight="1" s="405">
      <c r="B431" s="117" t="n"/>
    </row>
    <row r="432" ht="13.2" customHeight="1" s="405">
      <c r="B432" s="117" t="n"/>
    </row>
    <row r="433" ht="13.2" customHeight="1" s="405">
      <c r="B433" s="117" t="n"/>
    </row>
    <row r="434" ht="13.2" customHeight="1" s="405">
      <c r="B434" s="117" t="n"/>
    </row>
    <row r="435" ht="13.2" customHeight="1" s="405">
      <c r="B435" s="117" t="n"/>
    </row>
    <row r="436" ht="13.2" customHeight="1" s="405">
      <c r="B436" s="117" t="n"/>
    </row>
    <row r="437" ht="13.2" customHeight="1" s="405">
      <c r="B437" s="117" t="n"/>
    </row>
    <row r="438" ht="13.2" customHeight="1" s="405">
      <c r="B438" s="117" t="n"/>
    </row>
    <row r="439" ht="13.2" customHeight="1" s="405">
      <c r="B439" s="117" t="n"/>
    </row>
    <row r="440" ht="13.2" customHeight="1" s="405">
      <c r="B440" s="117" t="n"/>
    </row>
    <row r="441" ht="13.2" customHeight="1" s="405">
      <c r="B441" s="117" t="n"/>
    </row>
    <row r="442" ht="13.2" customHeight="1" s="405">
      <c r="B442" s="117" t="n"/>
    </row>
    <row r="443" ht="13.2" customHeight="1" s="405">
      <c r="B443" s="117" t="n"/>
    </row>
    <row r="444" ht="13.2" customHeight="1" s="405">
      <c r="B444" s="117" t="n"/>
    </row>
    <row r="445" ht="13.2" customHeight="1" s="405">
      <c r="B445" s="117" t="n"/>
    </row>
    <row r="446" ht="13.2" customHeight="1" s="405">
      <c r="B446" s="117" t="n"/>
    </row>
    <row r="447" ht="13.2" customHeight="1" s="405">
      <c r="B447" s="117" t="n"/>
    </row>
    <row r="448" ht="13.2" customHeight="1" s="405">
      <c r="B448" s="117" t="n"/>
    </row>
    <row r="449" ht="13.2" customHeight="1" s="405">
      <c r="B449" s="117" t="n"/>
    </row>
    <row r="450" ht="13.2" customHeight="1" s="405">
      <c r="B450" s="117" t="n"/>
    </row>
    <row r="451" ht="13.2" customHeight="1" s="405">
      <c r="B451" s="117" t="n"/>
    </row>
    <row r="452" ht="13.2" customHeight="1" s="405">
      <c r="B452" s="117" t="n"/>
    </row>
    <row r="453" ht="13.2" customHeight="1" s="405">
      <c r="B453" s="117" t="n"/>
    </row>
    <row r="454" ht="13.2" customHeight="1" s="405">
      <c r="B454" s="117" t="n"/>
    </row>
    <row r="455" ht="13.2" customHeight="1" s="405">
      <c r="B455" s="117" t="n"/>
    </row>
    <row r="456" ht="13.2" customHeight="1" s="405">
      <c r="B456" s="117" t="n"/>
    </row>
    <row r="457" ht="13.2" customHeight="1" s="405">
      <c r="B457" s="117" t="n"/>
    </row>
    <row r="458" ht="13.2" customHeight="1" s="405">
      <c r="B458" s="117" t="n"/>
    </row>
    <row r="459" ht="13.2" customHeight="1" s="405">
      <c r="B459" s="117" t="n"/>
    </row>
    <row r="460" ht="13.2" customHeight="1" s="405">
      <c r="B460" s="117" t="n"/>
    </row>
    <row r="461" ht="13.2" customHeight="1" s="405">
      <c r="B461" s="117" t="n"/>
    </row>
    <row r="462" ht="13.2" customHeight="1" s="405">
      <c r="B462" s="117" t="n"/>
    </row>
    <row r="463" ht="13.2" customHeight="1" s="405">
      <c r="B463" s="117" t="n"/>
    </row>
    <row r="464" ht="13.2" customHeight="1" s="405">
      <c r="B464" s="117" t="n"/>
    </row>
    <row r="465" ht="13.2" customHeight="1" s="405">
      <c r="B465" s="117" t="n"/>
    </row>
    <row r="466" ht="13.2" customHeight="1" s="405">
      <c r="B466" s="117" t="n"/>
    </row>
    <row r="467" ht="13.2" customHeight="1" s="405">
      <c r="B467" s="117" t="n"/>
    </row>
    <row r="468" ht="13.2" customHeight="1" s="405">
      <c r="B468" s="117" t="n"/>
    </row>
    <row r="469" ht="13.2" customHeight="1" s="405">
      <c r="B469" s="117" t="n"/>
    </row>
    <row r="470" ht="13.2" customHeight="1" s="405">
      <c r="B470" s="117" t="n"/>
    </row>
    <row r="471" ht="13.2" customHeight="1" s="405">
      <c r="B471" s="117" t="n"/>
    </row>
    <row r="472" ht="13.2" customHeight="1" s="405">
      <c r="B472" s="117" t="n"/>
    </row>
    <row r="473" ht="13.2" customHeight="1" s="405">
      <c r="B473" s="117" t="n"/>
    </row>
    <row r="474" ht="13.2" customHeight="1" s="405">
      <c r="B474" s="117" t="n"/>
    </row>
    <row r="475" ht="13.2" customHeight="1" s="405">
      <c r="B475" s="117" t="n"/>
    </row>
    <row r="476" ht="13.2" customHeight="1" s="405">
      <c r="B476" s="117" t="n"/>
    </row>
    <row r="477" ht="13.2" customHeight="1" s="405">
      <c r="B477" s="117" t="n"/>
    </row>
    <row r="478" ht="13.2" customHeight="1" s="405">
      <c r="B478" s="117" t="n"/>
    </row>
    <row r="479" ht="13.2" customHeight="1" s="405">
      <c r="B479" s="117" t="n"/>
    </row>
    <row r="480" ht="13.2" customHeight="1" s="405">
      <c r="B480" s="117" t="n"/>
    </row>
    <row r="481" ht="13.2" customHeight="1" s="405">
      <c r="B481" s="117" t="n"/>
    </row>
    <row r="482" ht="13.2" customHeight="1" s="405">
      <c r="B482" s="117" t="n"/>
    </row>
    <row r="483" ht="13.2" customHeight="1" s="405">
      <c r="B483" s="117" t="n"/>
    </row>
    <row r="484" ht="13.2" customHeight="1" s="405">
      <c r="B484" s="117" t="n"/>
    </row>
    <row r="485" ht="13.2" customHeight="1" s="405">
      <c r="B485" s="117" t="n"/>
    </row>
    <row r="486" ht="13.2" customHeight="1" s="405">
      <c r="B486" s="117" t="n"/>
    </row>
    <row r="487" ht="13.2" customHeight="1" s="405">
      <c r="B487" s="117" t="n"/>
    </row>
    <row r="488" ht="13.2" customHeight="1" s="405">
      <c r="B488" s="117" t="n"/>
    </row>
    <row r="489" ht="13.2" customHeight="1" s="405">
      <c r="B489" s="117" t="n"/>
    </row>
    <row r="490" ht="13.2" customHeight="1" s="405">
      <c r="B490" s="117" t="n"/>
    </row>
    <row r="491" ht="13.2" customHeight="1" s="405">
      <c r="B491" s="117" t="n"/>
    </row>
    <row r="492" ht="13.2" customHeight="1" s="405">
      <c r="B492" s="117" t="n"/>
    </row>
    <row r="493" ht="13.2" customHeight="1" s="405">
      <c r="B493" s="117" t="n"/>
    </row>
    <row r="494" ht="13.2" customHeight="1" s="405">
      <c r="B494" s="117" t="n"/>
    </row>
    <row r="495" ht="13.2" customHeight="1" s="405">
      <c r="B495" s="117" t="n"/>
    </row>
    <row r="496" ht="13.2" customHeight="1" s="405">
      <c r="B496" s="117" t="n"/>
    </row>
    <row r="497" ht="13.2" customHeight="1" s="405">
      <c r="B497" s="117" t="n"/>
    </row>
    <row r="498" ht="13.2" customHeight="1" s="405">
      <c r="B498" s="117" t="n"/>
    </row>
    <row r="499" ht="13.2" customHeight="1" s="405">
      <c r="B499" s="117" t="n"/>
    </row>
    <row r="500" ht="13.2" customHeight="1" s="405">
      <c r="B500" s="117" t="n"/>
    </row>
    <row r="501" ht="13.2" customHeight="1" s="405">
      <c r="B501" s="117" t="n"/>
    </row>
    <row r="502" ht="13.2" customHeight="1" s="405">
      <c r="B502" s="117" t="n"/>
    </row>
    <row r="503" ht="13.2" customHeight="1" s="405">
      <c r="B503" s="117" t="n"/>
    </row>
    <row r="504" ht="13.2" customHeight="1" s="405">
      <c r="B504" s="117" t="n"/>
    </row>
    <row r="505" ht="13.2" customHeight="1" s="405">
      <c r="B505" s="117" t="n"/>
    </row>
    <row r="506" ht="13.2" customHeight="1" s="405">
      <c r="B506" s="117" t="n"/>
    </row>
    <row r="507" ht="13.2" customHeight="1" s="405">
      <c r="B507" s="117" t="n"/>
    </row>
    <row r="508" ht="13.2" customHeight="1" s="405">
      <c r="B508" s="117" t="n"/>
    </row>
    <row r="509" ht="13.2" customHeight="1" s="405">
      <c r="B509" s="117" t="n"/>
    </row>
    <row r="510" ht="13.2" customHeight="1" s="405">
      <c r="B510" s="117" t="n"/>
    </row>
    <row r="511" ht="13.2" customHeight="1" s="405">
      <c r="B511" s="117" t="n"/>
    </row>
    <row r="512" ht="13.2" customHeight="1" s="405">
      <c r="B512" s="117" t="n"/>
    </row>
    <row r="513" ht="13.2" customHeight="1" s="405">
      <c r="B513" s="117" t="n"/>
    </row>
    <row r="514" ht="13.2" customHeight="1" s="405">
      <c r="B514" s="117" t="n"/>
    </row>
    <row r="515" ht="13.2" customHeight="1" s="405">
      <c r="B515" s="117" t="n"/>
    </row>
    <row r="516" ht="13.2" customHeight="1" s="405">
      <c r="B516" s="117" t="n"/>
    </row>
    <row r="517" ht="13.2" customHeight="1" s="405">
      <c r="B517" s="117" t="n"/>
    </row>
    <row r="518" ht="13.2" customHeight="1" s="405">
      <c r="B518" s="117" t="n"/>
    </row>
    <row r="519" ht="13.2" customHeight="1" s="405">
      <c r="B519" s="117" t="n"/>
    </row>
    <row r="520" ht="13.2" customHeight="1" s="405">
      <c r="B520" s="117" t="n"/>
    </row>
    <row r="521" ht="13.2" customHeight="1" s="405">
      <c r="B521" s="117" t="n"/>
    </row>
    <row r="522" ht="13.2" customHeight="1" s="405">
      <c r="B522" s="117" t="n"/>
    </row>
    <row r="523" ht="13.2" customHeight="1" s="405">
      <c r="B523" s="117" t="n"/>
    </row>
    <row r="524" ht="13.2" customHeight="1" s="405">
      <c r="B524" s="117" t="n"/>
    </row>
    <row r="525" ht="13.2" customHeight="1" s="405">
      <c r="B525" s="117" t="n"/>
    </row>
    <row r="526" ht="13.2" customHeight="1" s="405">
      <c r="B526" s="117" t="n"/>
    </row>
    <row r="527" ht="13.2" customHeight="1" s="405">
      <c r="B527" s="117" t="n"/>
    </row>
    <row r="528" ht="13.2" customHeight="1" s="405">
      <c r="B528" s="117" t="n"/>
    </row>
    <row r="529" ht="13.2" customHeight="1" s="405">
      <c r="B529" s="117" t="n"/>
    </row>
    <row r="530" ht="13.2" customHeight="1" s="405">
      <c r="B530" s="117" t="n"/>
    </row>
    <row r="531" ht="13.2" customHeight="1" s="405">
      <c r="B531" s="117" t="n"/>
    </row>
    <row r="532" ht="13.2" customHeight="1" s="405">
      <c r="B532" s="117" t="n"/>
    </row>
    <row r="533" ht="13.2" customHeight="1" s="405">
      <c r="B533" s="117" t="n"/>
    </row>
    <row r="534" ht="13.2" customHeight="1" s="405">
      <c r="B534" s="117" t="n"/>
    </row>
    <row r="535" ht="13.2" customHeight="1" s="405">
      <c r="B535" s="117" t="n"/>
    </row>
    <row r="536" ht="13.2" customHeight="1" s="405">
      <c r="B536" s="117" t="n"/>
    </row>
    <row r="537" ht="13.2" customHeight="1" s="405">
      <c r="B537" s="117" t="n"/>
    </row>
    <row r="538" ht="13.2" customHeight="1" s="405">
      <c r="B538" s="117" t="n"/>
    </row>
    <row r="539" ht="13.2" customHeight="1" s="405">
      <c r="B539" s="117" t="n"/>
    </row>
    <row r="540" ht="13.2" customHeight="1" s="405">
      <c r="B540" s="117" t="n"/>
    </row>
    <row r="541" ht="13.2" customHeight="1" s="405">
      <c r="B541" s="117" t="n"/>
    </row>
    <row r="542" ht="13.2" customHeight="1" s="405">
      <c r="B542" s="117" t="n"/>
    </row>
    <row r="543" ht="13.2" customHeight="1" s="405">
      <c r="B543" s="117" t="n"/>
    </row>
    <row r="544" ht="13.2" customHeight="1" s="405">
      <c r="B544" s="117" t="n"/>
    </row>
    <row r="545" ht="13.2" customHeight="1" s="405">
      <c r="B545" s="117" t="n"/>
    </row>
    <row r="546" ht="13.2" customHeight="1" s="405">
      <c r="B546" s="117" t="n"/>
    </row>
    <row r="547" ht="13.2" customHeight="1" s="405">
      <c r="B547" s="117" t="n"/>
    </row>
    <row r="548" ht="13.2" customHeight="1" s="405">
      <c r="B548" s="117" t="n"/>
    </row>
    <row r="549" ht="13.2" customHeight="1" s="405">
      <c r="B549" s="117" t="n"/>
    </row>
    <row r="550" ht="13.2" customHeight="1" s="405">
      <c r="B550" s="117" t="n"/>
    </row>
    <row r="551" ht="13.2" customHeight="1" s="405">
      <c r="B551" s="117" t="n"/>
    </row>
    <row r="552" ht="13.2" customHeight="1" s="405">
      <c r="B552" s="117" t="n"/>
    </row>
    <row r="553" ht="13.2" customHeight="1" s="405">
      <c r="B553" s="117" t="n"/>
    </row>
    <row r="554" ht="13.2" customHeight="1" s="405">
      <c r="B554" s="117" t="n"/>
    </row>
    <row r="555" ht="13.2" customHeight="1" s="405">
      <c r="B555" s="117" t="n"/>
    </row>
    <row r="556" ht="13.2" customHeight="1" s="405">
      <c r="B556" s="117" t="n"/>
    </row>
    <row r="557" ht="13.2" customHeight="1" s="405">
      <c r="B557" s="117" t="n"/>
    </row>
    <row r="558" ht="13.2" customHeight="1" s="405">
      <c r="B558" s="117" t="n"/>
    </row>
    <row r="559" ht="13.2" customHeight="1" s="405">
      <c r="B559" s="117" t="n"/>
    </row>
    <row r="560" ht="13.2" customHeight="1" s="405">
      <c r="B560" s="117" t="n"/>
    </row>
    <row r="561" ht="13.2" customHeight="1" s="405">
      <c r="B561" s="117" t="n"/>
    </row>
    <row r="562" ht="13.2" customHeight="1" s="405">
      <c r="B562" s="117" t="n"/>
    </row>
    <row r="563" ht="13.2" customHeight="1" s="405">
      <c r="B563" s="117" t="n"/>
    </row>
    <row r="564" ht="13.2" customHeight="1" s="405">
      <c r="B564" s="117" t="n"/>
    </row>
    <row r="565" ht="13.2" customHeight="1" s="405">
      <c r="B565" s="117" t="n"/>
    </row>
    <row r="566" ht="13.2" customHeight="1" s="405">
      <c r="B566" s="117" t="n"/>
    </row>
    <row r="567" ht="13.2" customHeight="1" s="405">
      <c r="B567" s="117" t="n"/>
    </row>
    <row r="568" ht="13.2" customHeight="1" s="405">
      <c r="B568" s="117" t="n"/>
    </row>
    <row r="569" ht="13.2" customHeight="1" s="405">
      <c r="B569" s="117" t="n"/>
    </row>
    <row r="570" ht="13.2" customHeight="1" s="405">
      <c r="B570" s="117" t="n"/>
    </row>
    <row r="571" ht="13.2" customHeight="1" s="405">
      <c r="B571" s="117" t="n"/>
    </row>
    <row r="572" ht="13.2" customHeight="1" s="405">
      <c r="B572" s="117" t="n"/>
    </row>
    <row r="573" ht="13.2" customHeight="1" s="405">
      <c r="B573" s="117" t="n"/>
    </row>
    <row r="574" ht="13.2" customHeight="1" s="405">
      <c r="B574" s="117" t="n"/>
    </row>
    <row r="575" ht="13.2" customHeight="1" s="405">
      <c r="B575" s="117" t="n"/>
    </row>
    <row r="576" ht="13.2" customHeight="1" s="405">
      <c r="B576" s="117" t="n"/>
    </row>
    <row r="577" ht="13.2" customHeight="1" s="405">
      <c r="B577" s="117" t="n"/>
    </row>
    <row r="578" ht="13.2" customHeight="1" s="405">
      <c r="B578" s="117" t="n"/>
    </row>
    <row r="579" ht="13.2" customHeight="1" s="405">
      <c r="B579" s="117" t="n"/>
    </row>
    <row r="580" ht="13.2" customHeight="1" s="405">
      <c r="B580" s="117" t="n"/>
    </row>
    <row r="581" ht="13.2" customHeight="1" s="405">
      <c r="B581" s="117" t="n"/>
    </row>
    <row r="582" ht="13.2" customHeight="1" s="405">
      <c r="B582" s="117" t="n"/>
    </row>
    <row r="583" ht="13.2" customHeight="1" s="405">
      <c r="B583" s="117" t="n"/>
    </row>
    <row r="584" ht="13.2" customHeight="1" s="405">
      <c r="B584" s="117" t="n"/>
    </row>
    <row r="585" ht="13.2" customHeight="1" s="405">
      <c r="B585" s="117" t="n"/>
    </row>
    <row r="586" ht="13.2" customHeight="1" s="405">
      <c r="B586" s="117" t="n"/>
    </row>
    <row r="587" ht="13.2" customHeight="1" s="405">
      <c r="B587" s="117" t="n"/>
    </row>
    <row r="588" ht="13.2" customHeight="1" s="405">
      <c r="B588" s="117" t="n"/>
    </row>
    <row r="589" ht="13.2" customHeight="1" s="405">
      <c r="B589" s="117" t="n"/>
    </row>
    <row r="590" ht="13.2" customHeight="1" s="405">
      <c r="B590" s="117" t="n"/>
    </row>
    <row r="591" ht="13.2" customHeight="1" s="405">
      <c r="B591" s="117" t="n"/>
    </row>
    <row r="592" ht="13.2" customHeight="1" s="405">
      <c r="B592" s="117" t="n"/>
    </row>
    <row r="593" ht="13.2" customHeight="1" s="405">
      <c r="B593" s="117" t="n"/>
    </row>
    <row r="594" ht="13.2" customHeight="1" s="405">
      <c r="B594" s="117" t="n"/>
    </row>
    <row r="595" ht="13.2" customHeight="1" s="405">
      <c r="B595" s="117" t="n"/>
    </row>
    <row r="596" ht="13.2" customHeight="1" s="405">
      <c r="B596" s="117" t="n"/>
    </row>
    <row r="597" ht="13.2" customHeight="1" s="405">
      <c r="B597" s="117" t="n"/>
    </row>
    <row r="598" ht="13.2" customHeight="1" s="405">
      <c r="B598" s="117" t="n"/>
    </row>
    <row r="599" ht="13.2" customHeight="1" s="405">
      <c r="B599" s="117" t="n"/>
    </row>
    <row r="600" ht="13.2" customHeight="1" s="405">
      <c r="B600" s="117" t="n"/>
    </row>
    <row r="601" ht="13.2" customHeight="1" s="405">
      <c r="B601" s="117" t="n"/>
    </row>
    <row r="602" ht="13.2" customHeight="1" s="405">
      <c r="B602" s="117" t="n"/>
    </row>
    <row r="603" ht="13.2" customHeight="1" s="405">
      <c r="B603" s="117" t="n"/>
    </row>
    <row r="604" ht="13.2" customHeight="1" s="405">
      <c r="B604" s="117" t="n"/>
    </row>
    <row r="605" ht="13.2" customHeight="1" s="405">
      <c r="B605" s="117" t="n"/>
    </row>
    <row r="606" ht="13.2" customHeight="1" s="405">
      <c r="B606" s="117" t="n"/>
    </row>
    <row r="607" ht="13.2" customHeight="1" s="405">
      <c r="B607" s="117" t="n"/>
    </row>
    <row r="608" ht="13.2" customHeight="1" s="405">
      <c r="B608" s="117" t="n"/>
    </row>
    <row r="609" ht="13.2" customHeight="1" s="405">
      <c r="B609" s="117" t="n"/>
    </row>
    <row r="610" ht="13.2" customHeight="1" s="405">
      <c r="B610" s="117" t="n"/>
    </row>
    <row r="611" ht="13.2" customHeight="1" s="405">
      <c r="B611" s="117" t="n"/>
    </row>
    <row r="612" ht="13.2" customHeight="1" s="405">
      <c r="B612" s="117" t="n"/>
    </row>
    <row r="613" ht="13.2" customHeight="1" s="405">
      <c r="B613" s="117" t="n"/>
    </row>
    <row r="614" ht="13.2" customHeight="1" s="405">
      <c r="B614" s="117" t="n"/>
    </row>
    <row r="615" ht="13.2" customHeight="1" s="405">
      <c r="B615" s="117" t="n"/>
    </row>
    <row r="616" ht="13.2" customHeight="1" s="405">
      <c r="B616" s="117" t="n"/>
    </row>
    <row r="617" ht="13.2" customHeight="1" s="405">
      <c r="B617" s="117" t="n"/>
    </row>
    <row r="618" ht="13.2" customHeight="1" s="405">
      <c r="B618" s="117" t="n"/>
    </row>
    <row r="619" ht="13.2" customHeight="1" s="405">
      <c r="B619" s="117" t="n"/>
    </row>
    <row r="620" ht="13.2" customHeight="1" s="405">
      <c r="B620" s="117" t="n"/>
    </row>
    <row r="621" ht="13.2" customHeight="1" s="405">
      <c r="B621" s="117" t="n"/>
    </row>
    <row r="622" ht="13.2" customHeight="1" s="405">
      <c r="B622" s="117" t="n"/>
    </row>
    <row r="623" ht="13.2" customHeight="1" s="405">
      <c r="B623" s="117" t="n"/>
    </row>
    <row r="624" ht="13.2" customHeight="1" s="405">
      <c r="B624" s="117" t="n"/>
    </row>
    <row r="625" ht="13.2" customHeight="1" s="405">
      <c r="B625" s="117" t="n"/>
    </row>
    <row r="626" ht="13.2" customHeight="1" s="405">
      <c r="B626" s="117" t="n"/>
    </row>
    <row r="627" ht="13.2" customHeight="1" s="405">
      <c r="B627" s="117" t="n"/>
    </row>
    <row r="628" ht="13.2" customHeight="1" s="405">
      <c r="B628" s="117" t="n"/>
    </row>
    <row r="629" ht="13.2" customHeight="1" s="405">
      <c r="B629" s="117" t="n"/>
    </row>
    <row r="630" ht="13.2" customHeight="1" s="405">
      <c r="B630" s="117" t="n"/>
    </row>
    <row r="631" ht="13.2" customHeight="1" s="405">
      <c r="B631" s="117" t="n"/>
    </row>
    <row r="632" ht="13.2" customHeight="1" s="405">
      <c r="B632" s="117" t="n"/>
    </row>
    <row r="633" ht="13.2" customHeight="1" s="405">
      <c r="B633" s="117" t="n"/>
    </row>
    <row r="634" ht="13.2" customHeight="1" s="405">
      <c r="B634" s="117" t="n"/>
    </row>
    <row r="635" ht="13.2" customHeight="1" s="405">
      <c r="B635" s="117" t="n"/>
    </row>
    <row r="636" ht="13.2" customHeight="1" s="405">
      <c r="B636" s="117" t="n"/>
    </row>
    <row r="637" ht="13.2" customHeight="1" s="405">
      <c r="B637" s="117" t="n"/>
    </row>
    <row r="638" ht="13.2" customHeight="1" s="405">
      <c r="B638" s="117" t="n"/>
    </row>
    <row r="639" ht="13.2" customHeight="1" s="405">
      <c r="B639" s="117" t="n"/>
    </row>
    <row r="640" ht="13.2" customHeight="1" s="405">
      <c r="B640" s="117" t="n"/>
    </row>
    <row r="641" ht="13.2" customHeight="1" s="405">
      <c r="B641" s="117" t="n"/>
    </row>
    <row r="642" ht="13.2" customHeight="1" s="405">
      <c r="B642" s="117" t="n"/>
    </row>
    <row r="643" ht="13.2" customHeight="1" s="405">
      <c r="B643" s="117" t="n"/>
    </row>
    <row r="644" ht="13.2" customHeight="1" s="405">
      <c r="B644" s="117" t="n"/>
    </row>
    <row r="645" ht="13.2" customHeight="1" s="405">
      <c r="B645" s="117" t="n"/>
    </row>
    <row r="646" ht="13.2" customHeight="1" s="405">
      <c r="B646" s="117" t="n"/>
    </row>
    <row r="647" ht="13.2" customHeight="1" s="405">
      <c r="B647" s="117" t="n"/>
    </row>
    <row r="648" ht="13.2" customHeight="1" s="405">
      <c r="B648" s="117" t="n"/>
    </row>
    <row r="649" ht="13.2" customHeight="1" s="405">
      <c r="B649" s="117" t="n"/>
    </row>
    <row r="650" ht="13.2" customHeight="1" s="405">
      <c r="B650" s="117" t="n"/>
    </row>
    <row r="651" ht="13.2" customHeight="1" s="405">
      <c r="B651" s="117" t="n"/>
    </row>
    <row r="652" ht="13.2" customHeight="1" s="405">
      <c r="B652" s="117" t="n"/>
    </row>
    <row r="653" ht="13.2" customHeight="1" s="405">
      <c r="B653" s="117" t="n"/>
    </row>
    <row r="654" ht="13.2" customHeight="1" s="405">
      <c r="B654" s="117" t="n"/>
    </row>
    <row r="655" ht="13.2" customHeight="1" s="405">
      <c r="B655" s="117" t="n"/>
    </row>
    <row r="656" ht="13.2" customHeight="1" s="405">
      <c r="B656" s="117" t="n"/>
    </row>
    <row r="657" ht="13.2" customHeight="1" s="405">
      <c r="B657" s="117" t="n"/>
    </row>
    <row r="658" ht="13.2" customHeight="1" s="405">
      <c r="B658" s="117" t="n"/>
    </row>
    <row r="659" ht="13.2" customHeight="1" s="405">
      <c r="B659" s="117" t="n"/>
    </row>
    <row r="660" ht="13.2" customHeight="1" s="405">
      <c r="B660" s="117" t="n"/>
    </row>
    <row r="661" ht="13.2" customHeight="1" s="405">
      <c r="B661" s="117" t="n"/>
    </row>
    <row r="662" ht="13.2" customHeight="1" s="405">
      <c r="B662" s="117" t="n"/>
    </row>
    <row r="663" ht="13.2" customHeight="1" s="405">
      <c r="B663" s="117" t="n"/>
    </row>
    <row r="664" ht="13.2" customHeight="1" s="405">
      <c r="B664" s="117" t="n"/>
    </row>
    <row r="665" ht="13.2" customHeight="1" s="405">
      <c r="B665" s="117" t="n"/>
    </row>
    <row r="666" ht="13.2" customHeight="1" s="405">
      <c r="B666" s="117" t="n"/>
    </row>
    <row r="667" ht="13.2" customHeight="1" s="405">
      <c r="B667" s="117" t="n"/>
    </row>
    <row r="668" ht="13.2" customHeight="1" s="405">
      <c r="B668" s="117" t="n"/>
    </row>
    <row r="669" ht="13.2" customHeight="1" s="405">
      <c r="B669" s="117" t="n"/>
    </row>
    <row r="670" ht="13.2" customHeight="1" s="405">
      <c r="B670" s="117" t="n"/>
    </row>
    <row r="671" ht="13.2" customHeight="1" s="405">
      <c r="B671" s="117" t="n"/>
    </row>
    <row r="672" ht="13.2" customHeight="1" s="405">
      <c r="B672" s="117" t="n"/>
    </row>
    <row r="673" ht="13.2" customHeight="1" s="405">
      <c r="B673" s="117" t="n"/>
    </row>
    <row r="674" ht="13.2" customHeight="1" s="405">
      <c r="B674" s="117" t="n"/>
    </row>
    <row r="675" ht="13.2" customHeight="1" s="405">
      <c r="B675" s="117" t="n"/>
    </row>
    <row r="676" ht="13.2" customHeight="1" s="405">
      <c r="B676" s="117" t="n"/>
    </row>
    <row r="677" ht="13.2" customHeight="1" s="405">
      <c r="B677" s="117" t="n"/>
    </row>
    <row r="678" ht="13.2" customHeight="1" s="405">
      <c r="B678" s="117" t="n"/>
    </row>
    <row r="679" ht="13.2" customHeight="1" s="405">
      <c r="B679" s="117" t="n"/>
    </row>
    <row r="680" ht="13.2" customHeight="1" s="405">
      <c r="B680" s="117" t="n"/>
    </row>
    <row r="681" ht="13.2" customHeight="1" s="405">
      <c r="B681" s="117" t="n"/>
    </row>
    <row r="682" ht="13.2" customHeight="1" s="405">
      <c r="B682" s="117" t="n"/>
    </row>
    <row r="683" ht="13.2" customHeight="1" s="405">
      <c r="B683" s="117" t="n"/>
    </row>
    <row r="684" ht="13.2" customHeight="1" s="405">
      <c r="B684" s="117" t="n"/>
    </row>
    <row r="685" ht="13.2" customHeight="1" s="405">
      <c r="B685" s="117" t="n"/>
    </row>
    <row r="686" ht="13.2" customHeight="1" s="405">
      <c r="B686" s="117" t="n"/>
    </row>
    <row r="687" ht="13.2" customHeight="1" s="405">
      <c r="B687" s="117" t="n"/>
    </row>
    <row r="688" ht="13.2" customHeight="1" s="405">
      <c r="B688" s="117" t="n"/>
    </row>
    <row r="689" ht="13.2" customHeight="1" s="405">
      <c r="B689" s="117" t="n"/>
    </row>
    <row r="690" ht="13.2" customHeight="1" s="405">
      <c r="B690" s="117" t="n"/>
    </row>
    <row r="691" ht="13.2" customHeight="1" s="405">
      <c r="B691" s="117" t="n"/>
    </row>
    <row r="692" ht="13.2" customHeight="1" s="405">
      <c r="B692" s="117" t="n"/>
    </row>
    <row r="693" ht="13.2" customHeight="1" s="405">
      <c r="B693" s="117" t="n"/>
    </row>
    <row r="694" ht="13.2" customHeight="1" s="405">
      <c r="B694" s="117" t="n"/>
    </row>
    <row r="695" ht="13.2" customHeight="1" s="405">
      <c r="B695" s="117" t="n"/>
    </row>
    <row r="696" ht="13.2" customHeight="1" s="405">
      <c r="B696" s="117" t="n"/>
    </row>
    <row r="697" ht="13.2" customHeight="1" s="405">
      <c r="B697" s="117" t="n"/>
    </row>
    <row r="698" ht="13.2" customHeight="1" s="405">
      <c r="B698" s="117" t="n"/>
    </row>
    <row r="699" ht="13.2" customHeight="1" s="405">
      <c r="B699" s="117" t="n"/>
    </row>
    <row r="700" ht="13.2" customHeight="1" s="405">
      <c r="B700" s="117" t="n"/>
    </row>
    <row r="701" ht="13.2" customHeight="1" s="405">
      <c r="B701" s="117" t="n"/>
    </row>
    <row r="702" ht="13.2" customHeight="1" s="405">
      <c r="B702" s="117" t="n"/>
    </row>
    <row r="703" ht="13.2" customHeight="1" s="405">
      <c r="B703" s="117" t="n"/>
    </row>
    <row r="704" ht="13.2" customHeight="1" s="405">
      <c r="B704" s="117" t="n"/>
    </row>
    <row r="705" ht="13.2" customHeight="1" s="405">
      <c r="B705" s="117" t="n"/>
    </row>
    <row r="706" ht="13.2" customHeight="1" s="405">
      <c r="B706" s="117" t="n"/>
    </row>
    <row r="707" ht="13.2" customHeight="1" s="405">
      <c r="B707" s="117" t="n"/>
    </row>
    <row r="708" ht="13.2" customHeight="1" s="405">
      <c r="B708" s="117" t="n"/>
    </row>
    <row r="709" ht="13.2" customHeight="1" s="405">
      <c r="B709" s="117" t="n"/>
    </row>
    <row r="710" ht="13.2" customHeight="1" s="405">
      <c r="B710" s="117" t="n"/>
    </row>
    <row r="711" ht="13.2" customHeight="1" s="405">
      <c r="B711" s="117" t="n"/>
    </row>
    <row r="712" ht="13.2" customHeight="1" s="405">
      <c r="B712" s="117" t="n"/>
    </row>
    <row r="713" ht="13.2" customHeight="1" s="405">
      <c r="B713" s="117" t="n"/>
    </row>
    <row r="714" ht="13.2" customHeight="1" s="405">
      <c r="B714" s="117" t="n"/>
    </row>
    <row r="715" ht="13.2" customHeight="1" s="405">
      <c r="B715" s="117" t="n"/>
    </row>
    <row r="716" ht="13.2" customHeight="1" s="405">
      <c r="B716" s="117" t="n"/>
    </row>
    <row r="717" ht="13.2" customHeight="1" s="405">
      <c r="B717" s="117" t="n"/>
    </row>
    <row r="718" ht="13.2" customHeight="1" s="405">
      <c r="B718" s="117" t="n"/>
    </row>
    <row r="719" ht="13.2" customHeight="1" s="405">
      <c r="B719" s="117" t="n"/>
    </row>
    <row r="720" ht="13.2" customHeight="1" s="405">
      <c r="B720" s="117" t="n"/>
    </row>
    <row r="721" ht="13.2" customHeight="1" s="405">
      <c r="B721" s="117" t="n"/>
    </row>
    <row r="722" ht="13.2" customHeight="1" s="405">
      <c r="B722" s="117" t="n"/>
    </row>
    <row r="723" ht="13.2" customHeight="1" s="405">
      <c r="B723" s="117" t="n"/>
    </row>
    <row r="724" ht="13.2" customHeight="1" s="405">
      <c r="B724" s="117" t="n"/>
    </row>
    <row r="725" ht="13.2" customHeight="1" s="405">
      <c r="B725" s="117" t="n"/>
    </row>
    <row r="726" ht="13.2" customHeight="1" s="405">
      <c r="B726" s="117" t="n"/>
    </row>
    <row r="727" ht="13.2" customHeight="1" s="405">
      <c r="B727" s="117" t="n"/>
    </row>
    <row r="728" ht="13.2" customHeight="1" s="405">
      <c r="B728" s="117" t="n"/>
    </row>
    <row r="729" ht="13.2" customHeight="1" s="405">
      <c r="B729" s="117" t="n"/>
    </row>
    <row r="730" ht="13.2" customHeight="1" s="405">
      <c r="B730" s="117" t="n"/>
    </row>
    <row r="731" ht="13.2" customHeight="1" s="405">
      <c r="B731" s="117" t="n"/>
    </row>
    <row r="732" ht="13.2" customHeight="1" s="405">
      <c r="B732" s="117" t="n"/>
    </row>
    <row r="733" ht="13.2" customHeight="1" s="405">
      <c r="B733" s="117" t="n"/>
    </row>
    <row r="734" ht="13.2" customHeight="1" s="405">
      <c r="B734" s="117" t="n"/>
    </row>
    <row r="735" ht="13.2" customHeight="1" s="405">
      <c r="B735" s="117" t="n"/>
    </row>
    <row r="736" ht="13.2" customHeight="1" s="405">
      <c r="B736" s="117" t="n"/>
    </row>
    <row r="737" ht="13.2" customHeight="1" s="405">
      <c r="B737" s="117" t="n"/>
    </row>
    <row r="738" ht="13.2" customHeight="1" s="405">
      <c r="B738" s="117" t="n"/>
    </row>
    <row r="739" ht="13.2" customHeight="1" s="405">
      <c r="B739" s="117" t="n"/>
    </row>
    <row r="740" ht="13.2" customHeight="1" s="405">
      <c r="B740" s="117" t="n"/>
    </row>
    <row r="741" ht="13.2" customHeight="1" s="405">
      <c r="B741" s="117" t="n"/>
    </row>
    <row r="742" ht="13.2" customHeight="1" s="405">
      <c r="B742" s="117" t="n"/>
    </row>
    <row r="743" ht="13.2" customHeight="1" s="405">
      <c r="B743" s="117" t="n"/>
    </row>
    <row r="744" ht="13.2" customHeight="1" s="405">
      <c r="B744" s="117" t="n"/>
    </row>
    <row r="745" ht="13.2" customHeight="1" s="405">
      <c r="B745" s="117" t="n"/>
    </row>
    <row r="746" ht="13.2" customHeight="1" s="405">
      <c r="B746" s="117" t="n"/>
    </row>
    <row r="747" ht="13.2" customHeight="1" s="405">
      <c r="B747" s="117" t="n"/>
    </row>
    <row r="748" ht="13.2" customHeight="1" s="405">
      <c r="B748" s="117" t="n"/>
    </row>
    <row r="749" ht="13.2" customHeight="1" s="405">
      <c r="B749" s="117" t="n"/>
    </row>
    <row r="750" ht="13.2" customHeight="1" s="405">
      <c r="B750" s="117" t="n"/>
    </row>
    <row r="751" ht="13.2" customHeight="1" s="405">
      <c r="B751" s="117" t="n"/>
    </row>
    <row r="752" ht="13.2" customHeight="1" s="405">
      <c r="B752" s="117" t="n"/>
    </row>
    <row r="753" ht="13.2" customHeight="1" s="405">
      <c r="B753" s="117" t="n"/>
    </row>
    <row r="754" ht="13.2" customHeight="1" s="405">
      <c r="B754" s="117" t="n"/>
    </row>
    <row r="755" ht="13.2" customHeight="1" s="405">
      <c r="B755" s="117" t="n"/>
    </row>
    <row r="756" ht="13.2" customHeight="1" s="405">
      <c r="B756" s="117" t="n"/>
    </row>
    <row r="757" ht="13.2" customHeight="1" s="405">
      <c r="B757" s="117" t="n"/>
    </row>
    <row r="758" ht="13.2" customHeight="1" s="405">
      <c r="B758" s="117" t="n"/>
    </row>
    <row r="759" ht="13.2" customHeight="1" s="405">
      <c r="B759" s="117" t="n"/>
    </row>
    <row r="760" ht="13.2" customHeight="1" s="405">
      <c r="B760" s="117" t="n"/>
    </row>
    <row r="761" ht="13.2" customHeight="1" s="405">
      <c r="B761" s="117" t="n"/>
    </row>
    <row r="762" ht="13.2" customHeight="1" s="405">
      <c r="B762" s="117" t="n"/>
    </row>
    <row r="763" ht="13.2" customHeight="1" s="405">
      <c r="B763" s="117" t="n"/>
    </row>
    <row r="764" ht="13.2" customHeight="1" s="405">
      <c r="B764" s="117" t="n"/>
    </row>
    <row r="765" ht="13.2" customHeight="1" s="405">
      <c r="B765" s="117" t="n"/>
    </row>
    <row r="766" ht="13.2" customHeight="1" s="405">
      <c r="B766" s="117" t="n"/>
    </row>
    <row r="767" ht="13.2" customHeight="1" s="405">
      <c r="B767" s="117" t="n"/>
    </row>
    <row r="768" ht="13.2" customHeight="1" s="405">
      <c r="B768" s="117" t="n"/>
    </row>
    <row r="769" ht="13.2" customHeight="1" s="405">
      <c r="B769" s="117" t="n"/>
    </row>
    <row r="770" ht="13.2" customHeight="1" s="405">
      <c r="B770" s="117" t="n"/>
    </row>
    <row r="771" ht="13.2" customHeight="1" s="405">
      <c r="B771" s="117" t="n"/>
    </row>
    <row r="772" ht="13.2" customHeight="1" s="405">
      <c r="B772" s="117" t="n"/>
    </row>
    <row r="773" ht="13.2" customHeight="1" s="405">
      <c r="B773" s="117" t="n"/>
    </row>
    <row r="774" ht="13.2" customHeight="1" s="405">
      <c r="B774" s="117" t="n"/>
    </row>
    <row r="775" ht="13.2" customHeight="1" s="405">
      <c r="B775" s="117" t="n"/>
    </row>
    <row r="776" ht="13.2" customHeight="1" s="405">
      <c r="B776" s="117" t="n"/>
    </row>
    <row r="777" ht="13.2" customHeight="1" s="405">
      <c r="B777" s="117" t="n"/>
    </row>
    <row r="778" ht="13.2" customHeight="1" s="405">
      <c r="B778" s="117" t="n"/>
    </row>
    <row r="779" ht="13.2" customHeight="1" s="405">
      <c r="B779" s="117" t="n"/>
    </row>
    <row r="780" ht="13.2" customHeight="1" s="405">
      <c r="B780" s="117" t="n"/>
    </row>
    <row r="781" ht="13.2" customHeight="1" s="405">
      <c r="B781" s="117" t="n"/>
    </row>
    <row r="782" ht="13.2" customHeight="1" s="405">
      <c r="B782" s="117" t="n"/>
    </row>
    <row r="783" ht="13.2" customHeight="1" s="405">
      <c r="B783" s="117" t="n"/>
    </row>
    <row r="784" ht="13.2" customHeight="1" s="405">
      <c r="B784" s="117" t="n"/>
    </row>
    <row r="785" ht="13.2" customHeight="1" s="405">
      <c r="B785" s="117" t="n"/>
    </row>
    <row r="786" ht="13.2" customHeight="1" s="405">
      <c r="B786" s="117" t="n"/>
    </row>
    <row r="787" ht="13.2" customHeight="1" s="405">
      <c r="B787" s="117" t="n"/>
    </row>
    <row r="788" ht="13.2" customHeight="1" s="405">
      <c r="B788" s="117" t="n"/>
    </row>
    <row r="789" ht="13.2" customHeight="1" s="405">
      <c r="B789" s="117" t="n"/>
    </row>
    <row r="790" ht="13.2" customHeight="1" s="405">
      <c r="B790" s="117" t="n"/>
    </row>
    <row r="791" ht="13.2" customHeight="1" s="405">
      <c r="B791" s="117" t="n"/>
    </row>
    <row r="792" ht="13.2" customHeight="1" s="405">
      <c r="B792" s="117" t="n"/>
    </row>
    <row r="793" ht="13.2" customHeight="1" s="405">
      <c r="B793" s="117" t="n"/>
    </row>
    <row r="794" ht="13.2" customHeight="1" s="405">
      <c r="B794" s="117" t="n"/>
    </row>
    <row r="795" ht="13.2" customHeight="1" s="405">
      <c r="B795" s="117" t="n"/>
    </row>
    <row r="796" ht="13.2" customHeight="1" s="405">
      <c r="B796" s="117" t="n"/>
    </row>
    <row r="797" ht="13.2" customHeight="1" s="405">
      <c r="B797" s="117" t="n"/>
    </row>
    <row r="798" ht="13.2" customHeight="1" s="405">
      <c r="B798" s="117" t="n"/>
    </row>
    <row r="799" ht="13.2" customHeight="1" s="405">
      <c r="B799" s="117" t="n"/>
    </row>
    <row r="800" ht="13.2" customHeight="1" s="405">
      <c r="B800" s="117" t="n"/>
    </row>
    <row r="801" ht="13.2" customHeight="1" s="405">
      <c r="B801" s="117" t="n"/>
    </row>
    <row r="802" ht="13.2" customHeight="1" s="405">
      <c r="B802" s="117" t="n"/>
    </row>
    <row r="803" ht="13.2" customHeight="1" s="405">
      <c r="B803" s="117" t="n"/>
    </row>
    <row r="804" ht="13.2" customHeight="1" s="405">
      <c r="B804" s="117" t="n"/>
    </row>
    <row r="805" ht="13.2" customHeight="1" s="405">
      <c r="B805" s="117" t="n"/>
    </row>
    <row r="806" ht="13.2" customHeight="1" s="405">
      <c r="B806" s="117" t="n"/>
    </row>
    <row r="807" ht="13.2" customHeight="1" s="405">
      <c r="B807" s="117" t="n"/>
    </row>
    <row r="808" ht="13.2" customHeight="1" s="405">
      <c r="B808" s="117" t="n"/>
    </row>
    <row r="809" ht="13.2" customHeight="1" s="405">
      <c r="B809" s="117" t="n"/>
    </row>
    <row r="810" ht="13.2" customHeight="1" s="405">
      <c r="B810" s="117" t="n"/>
    </row>
    <row r="811" ht="13.2" customHeight="1" s="405">
      <c r="B811" s="117" t="n"/>
    </row>
    <row r="812" ht="13.2" customHeight="1" s="405">
      <c r="B812" s="117" t="n"/>
    </row>
    <row r="813" ht="13.2" customHeight="1" s="405">
      <c r="B813" s="117" t="n"/>
    </row>
    <row r="814" ht="13.2" customHeight="1" s="405">
      <c r="B814" s="117" t="n"/>
    </row>
    <row r="815" ht="13.2" customHeight="1" s="405">
      <c r="B815" s="117" t="n"/>
    </row>
    <row r="816" ht="13.2" customHeight="1" s="405">
      <c r="B816" s="117" t="n"/>
    </row>
    <row r="817" ht="13.2" customHeight="1" s="405">
      <c r="B817" s="117" t="n"/>
    </row>
    <row r="818" ht="13.2" customHeight="1" s="405">
      <c r="B818" s="117" t="n"/>
    </row>
    <row r="819" ht="13.2" customHeight="1" s="405">
      <c r="B819" s="117" t="n"/>
    </row>
    <row r="820" ht="13.2" customHeight="1" s="405">
      <c r="B820" s="117" t="n"/>
    </row>
    <row r="821" ht="13.2" customHeight="1" s="405">
      <c r="B821" s="117" t="n"/>
    </row>
    <row r="822" ht="13.2" customHeight="1" s="405">
      <c r="B822" s="117" t="n"/>
    </row>
    <row r="823" ht="13.2" customHeight="1" s="405">
      <c r="B823" s="117" t="n"/>
    </row>
    <row r="824" ht="13.2" customHeight="1" s="405">
      <c r="B824" s="117" t="n"/>
    </row>
    <row r="825" ht="13.2" customHeight="1" s="405">
      <c r="B825" s="117" t="n"/>
    </row>
    <row r="826" ht="13.2" customHeight="1" s="405">
      <c r="B826" s="117" t="n"/>
    </row>
    <row r="827" ht="13.2" customHeight="1" s="405">
      <c r="B827" s="117" t="n"/>
    </row>
    <row r="828" ht="13.2" customHeight="1" s="405">
      <c r="B828" s="117" t="n"/>
    </row>
    <row r="829" ht="13.2" customHeight="1" s="405">
      <c r="B829" s="117" t="n"/>
    </row>
    <row r="830" ht="13.2" customHeight="1" s="405">
      <c r="B830" s="117" t="n"/>
    </row>
    <row r="831" ht="13.2" customHeight="1" s="405">
      <c r="B831" s="117" t="n"/>
    </row>
    <row r="832" ht="13.2" customHeight="1" s="405">
      <c r="B832" s="117" t="n"/>
    </row>
    <row r="833" ht="13.2" customHeight="1" s="405">
      <c r="B833" s="117" t="n"/>
    </row>
    <row r="834" ht="13.2" customHeight="1" s="405">
      <c r="B834" s="117" t="n"/>
    </row>
    <row r="835" ht="13.2" customHeight="1" s="405">
      <c r="B835" s="117" t="n"/>
    </row>
    <row r="836" ht="13.2" customHeight="1" s="405">
      <c r="B836" s="117" t="n"/>
    </row>
    <row r="837" ht="13.2" customHeight="1" s="405">
      <c r="B837" s="117" t="n"/>
    </row>
    <row r="838" ht="13.2" customHeight="1" s="405">
      <c r="B838" s="117" t="n"/>
    </row>
    <row r="839" ht="13.2" customHeight="1" s="405">
      <c r="B839" s="117" t="n"/>
    </row>
    <row r="840" ht="13.2" customHeight="1" s="405">
      <c r="B840" s="117" t="n"/>
    </row>
    <row r="841" ht="13.2" customHeight="1" s="405">
      <c r="B841" s="117" t="n"/>
    </row>
    <row r="842" ht="13.2" customHeight="1" s="405">
      <c r="B842" s="117" t="n"/>
    </row>
    <row r="843" ht="13.2" customHeight="1" s="405">
      <c r="B843" s="117" t="n"/>
    </row>
    <row r="844" ht="13.2" customHeight="1" s="405">
      <c r="B844" s="117" t="n"/>
    </row>
    <row r="845" ht="13.2" customHeight="1" s="405">
      <c r="B845" s="117" t="n"/>
    </row>
    <row r="846" ht="13.2" customHeight="1" s="405">
      <c r="B846" s="117" t="n"/>
    </row>
    <row r="847" ht="13.2" customHeight="1" s="405">
      <c r="B847" s="117" t="n"/>
    </row>
    <row r="848" ht="13.2" customHeight="1" s="405">
      <c r="B848" s="117" t="n"/>
    </row>
    <row r="849" ht="13.2" customHeight="1" s="405">
      <c r="B849" s="117" t="n"/>
    </row>
    <row r="850" ht="13.2" customHeight="1" s="405">
      <c r="B850" s="117" t="n"/>
    </row>
    <row r="851" ht="13.2" customHeight="1" s="405">
      <c r="B851" s="117" t="n"/>
    </row>
    <row r="852" ht="13.2" customHeight="1" s="405">
      <c r="B852" s="117" t="n"/>
    </row>
    <row r="853" ht="13.2" customHeight="1" s="405">
      <c r="B853" s="117" t="n"/>
    </row>
    <row r="854" ht="13.2" customHeight="1" s="405">
      <c r="B854" s="117" t="n"/>
    </row>
    <row r="855" ht="13.2" customHeight="1" s="405">
      <c r="B855" s="117" t="n"/>
    </row>
    <row r="856" ht="13.2" customHeight="1" s="405">
      <c r="B856" s="117" t="n"/>
    </row>
    <row r="857" ht="13.2" customHeight="1" s="405">
      <c r="B857" s="117" t="n"/>
    </row>
    <row r="858" ht="13.2" customHeight="1" s="405">
      <c r="B858" s="117" t="n"/>
    </row>
    <row r="859" ht="13.2" customHeight="1" s="405">
      <c r="B859" s="117" t="n"/>
    </row>
    <row r="860" ht="13.2" customHeight="1" s="405">
      <c r="B860" s="117" t="n"/>
    </row>
    <row r="861" ht="13.2" customHeight="1" s="405">
      <c r="B861" s="117" t="n"/>
    </row>
    <row r="862" ht="13.2" customHeight="1" s="405">
      <c r="B862" s="117" t="n"/>
    </row>
    <row r="863" ht="13.2" customHeight="1" s="405">
      <c r="B863" s="117" t="n"/>
    </row>
    <row r="864" ht="13.2" customHeight="1" s="405">
      <c r="B864" s="117" t="n"/>
    </row>
    <row r="865" ht="13.2" customHeight="1" s="405">
      <c r="B865" s="117" t="n"/>
    </row>
    <row r="866" ht="13.2" customHeight="1" s="405">
      <c r="B866" s="117" t="n"/>
    </row>
    <row r="867" ht="13.2" customHeight="1" s="405">
      <c r="B867" s="117" t="n"/>
    </row>
    <row r="868" ht="13.2" customHeight="1" s="405">
      <c r="B868" s="117" t="n"/>
    </row>
    <row r="869" ht="13.2" customHeight="1" s="405">
      <c r="B869" s="117" t="n"/>
    </row>
    <row r="870" ht="13.2" customHeight="1" s="405">
      <c r="B870" s="117" t="n"/>
    </row>
    <row r="871" ht="13.2" customHeight="1" s="405">
      <c r="B871" s="117" t="n"/>
    </row>
    <row r="872" ht="13.2" customHeight="1" s="405">
      <c r="B872" s="117" t="n"/>
    </row>
    <row r="873" ht="13.2" customHeight="1" s="405">
      <c r="B873" s="117" t="n"/>
    </row>
    <row r="874" ht="13.2" customHeight="1" s="405">
      <c r="B874" s="117" t="n"/>
    </row>
    <row r="875" ht="13.2" customHeight="1" s="405">
      <c r="B875" s="117" t="n"/>
    </row>
    <row r="876" ht="13.2" customHeight="1" s="405">
      <c r="B876" s="117" t="n"/>
    </row>
    <row r="877" ht="13.2" customHeight="1" s="405">
      <c r="B877" s="117" t="n"/>
    </row>
    <row r="878" ht="13.2" customHeight="1" s="405">
      <c r="B878" s="117" t="n"/>
    </row>
    <row r="879" ht="13.2" customHeight="1" s="405">
      <c r="B879" s="117" t="n"/>
    </row>
    <row r="880" ht="13.2" customHeight="1" s="405">
      <c r="B880" s="117" t="n"/>
    </row>
    <row r="881" ht="13.2" customHeight="1" s="405">
      <c r="B881" s="117" t="n"/>
    </row>
    <row r="882" ht="13.2" customHeight="1" s="405">
      <c r="B882" s="117" t="n"/>
    </row>
    <row r="883" ht="13.2" customHeight="1" s="405">
      <c r="B883" s="117" t="n"/>
    </row>
    <row r="884" ht="13.2" customHeight="1" s="405">
      <c r="B884" s="117" t="n"/>
    </row>
    <row r="885" ht="13.2" customHeight="1" s="405">
      <c r="B885" s="117" t="n"/>
    </row>
    <row r="886" ht="13.2" customHeight="1" s="405">
      <c r="B886" s="117" t="n"/>
    </row>
    <row r="887" ht="13.2" customHeight="1" s="405">
      <c r="B887" s="117" t="n"/>
    </row>
    <row r="888" ht="13.2" customHeight="1" s="405">
      <c r="B888" s="117" t="n"/>
    </row>
    <row r="889" ht="13.2" customHeight="1" s="405">
      <c r="B889" s="117" t="n"/>
    </row>
    <row r="890" ht="13.2" customHeight="1" s="405">
      <c r="B890" s="117" t="n"/>
    </row>
    <row r="891" ht="13.2" customHeight="1" s="405">
      <c r="B891" s="117" t="n"/>
    </row>
    <row r="892" ht="13.2" customHeight="1" s="405">
      <c r="B892" s="117" t="n"/>
    </row>
    <row r="893" ht="13.2" customHeight="1" s="405">
      <c r="B893" s="117" t="n"/>
    </row>
    <row r="894" ht="13.2" customHeight="1" s="405">
      <c r="B894" s="117" t="n"/>
    </row>
    <row r="895" ht="13.2" customHeight="1" s="405">
      <c r="B895" s="117" t="n"/>
    </row>
    <row r="896" ht="13.2" customHeight="1" s="405">
      <c r="B896" s="117" t="n"/>
    </row>
    <row r="897" ht="13.2" customHeight="1" s="405">
      <c r="B897" s="117" t="n"/>
    </row>
    <row r="898" ht="13.2" customHeight="1" s="405">
      <c r="B898" s="117" t="n"/>
    </row>
    <row r="899" ht="13.2" customHeight="1" s="405">
      <c r="B899" s="117" t="n"/>
    </row>
    <row r="900" ht="13.2" customHeight="1" s="405">
      <c r="B900" s="117" t="n"/>
    </row>
    <row r="901" ht="13.2" customHeight="1" s="405">
      <c r="B901" s="117" t="n"/>
    </row>
    <row r="902" ht="13.2" customHeight="1" s="405">
      <c r="B902" s="117" t="n"/>
    </row>
    <row r="903" ht="13.2" customHeight="1" s="405">
      <c r="B903" s="117" t="n"/>
    </row>
    <row r="904" ht="13.2" customHeight="1" s="405">
      <c r="B904" s="117" t="n"/>
    </row>
    <row r="905" ht="13.2" customHeight="1" s="405">
      <c r="B905" s="117" t="n"/>
    </row>
    <row r="906" ht="13.2" customHeight="1" s="405">
      <c r="B906" s="117" t="n"/>
    </row>
    <row r="907" ht="13.2" customHeight="1" s="405">
      <c r="B907" s="117" t="n"/>
    </row>
    <row r="908" ht="13.2" customHeight="1" s="405">
      <c r="B908" s="117" t="n"/>
    </row>
    <row r="909" ht="13.2" customHeight="1" s="405">
      <c r="B909" s="117" t="n"/>
    </row>
    <row r="910" ht="13.2" customHeight="1" s="405">
      <c r="B910" s="117" t="n"/>
    </row>
    <row r="911" ht="13.2" customHeight="1" s="405">
      <c r="B911" s="117" t="n"/>
    </row>
    <row r="912" ht="13.2" customHeight="1" s="405">
      <c r="B912" s="117" t="n"/>
    </row>
    <row r="913" ht="13.2" customHeight="1" s="405">
      <c r="B913" s="117" t="n"/>
    </row>
    <row r="914" ht="13.2" customHeight="1" s="405">
      <c r="B914" s="117" t="n"/>
    </row>
    <row r="915" ht="13.2" customHeight="1" s="405">
      <c r="B915" s="117" t="n"/>
    </row>
    <row r="916" ht="13.2" customHeight="1" s="405">
      <c r="B916" s="117" t="n"/>
    </row>
    <row r="917" ht="13.2" customHeight="1" s="405">
      <c r="B917" s="117" t="n"/>
    </row>
    <row r="918" ht="13.2" customHeight="1" s="405">
      <c r="B918" s="117" t="n"/>
    </row>
    <row r="919" ht="13.2" customHeight="1" s="405">
      <c r="B919" s="117" t="n"/>
    </row>
    <row r="920" ht="13.2" customHeight="1" s="405">
      <c r="B920" s="117" t="n"/>
    </row>
    <row r="921" ht="13.2" customHeight="1" s="405">
      <c r="B921" s="117" t="n"/>
    </row>
    <row r="922" ht="13.2" customHeight="1" s="405">
      <c r="B922" s="117" t="n"/>
    </row>
    <row r="923" ht="13.2" customHeight="1" s="405">
      <c r="B923" s="117" t="n"/>
    </row>
    <row r="924" ht="13.2" customHeight="1" s="405">
      <c r="B924" s="117" t="n"/>
    </row>
    <row r="925" ht="13.2" customHeight="1" s="405">
      <c r="B925" s="117" t="n"/>
    </row>
    <row r="926" ht="13.2" customHeight="1" s="405">
      <c r="B926" s="117" t="n"/>
    </row>
    <row r="927" ht="13.2" customHeight="1" s="405">
      <c r="B927" s="117" t="n"/>
    </row>
    <row r="928" ht="13.2" customHeight="1" s="405">
      <c r="B928" s="117" t="n"/>
    </row>
    <row r="929" ht="13.2" customHeight="1" s="405">
      <c r="B929" s="117" t="n"/>
    </row>
    <row r="930" ht="13.2" customHeight="1" s="405">
      <c r="B930" s="117" t="n"/>
    </row>
    <row r="931" ht="13.2" customHeight="1" s="405">
      <c r="B931" s="117" t="n"/>
    </row>
    <row r="932" ht="13.2" customHeight="1" s="405">
      <c r="B932" s="117" t="n"/>
    </row>
    <row r="933" ht="13.2" customHeight="1" s="405">
      <c r="B933" s="117" t="n"/>
    </row>
    <row r="934" ht="13.2" customHeight="1" s="405">
      <c r="B934" s="117" t="n"/>
    </row>
    <row r="935" ht="13.2" customHeight="1" s="405">
      <c r="B935" s="117" t="n"/>
    </row>
    <row r="936" ht="13.2" customHeight="1" s="405">
      <c r="B936" s="117" t="n"/>
    </row>
    <row r="937" ht="13.2" customHeight="1" s="405">
      <c r="B937" s="117" t="n"/>
    </row>
    <row r="938" ht="13.2" customHeight="1" s="405">
      <c r="B938" s="117" t="n"/>
    </row>
    <row r="939" ht="13.2" customHeight="1" s="405">
      <c r="B939" s="117" t="n"/>
    </row>
    <row r="940" ht="13.2" customHeight="1" s="405">
      <c r="B940" s="117" t="n"/>
    </row>
    <row r="941" ht="13.2" customHeight="1" s="405">
      <c r="B941" s="117" t="n"/>
    </row>
    <row r="942" ht="13.2" customHeight="1" s="405">
      <c r="B942" s="117" t="n"/>
    </row>
    <row r="943" ht="13.2" customHeight="1" s="405">
      <c r="B943" s="117" t="n"/>
    </row>
    <row r="944" ht="13.2" customHeight="1" s="405">
      <c r="B944" s="117" t="n"/>
    </row>
    <row r="945" ht="13.2" customHeight="1" s="405">
      <c r="B945" s="117" t="n"/>
    </row>
    <row r="946" ht="13.2" customHeight="1" s="405">
      <c r="B946" s="117" t="n"/>
    </row>
    <row r="947" ht="13.2" customHeight="1" s="405">
      <c r="B947" s="117" t="n"/>
    </row>
    <row r="948" ht="13.2" customHeight="1" s="405">
      <c r="B948" s="117" t="n"/>
    </row>
    <row r="949" ht="13.2" customHeight="1" s="405">
      <c r="B949" s="117" t="n"/>
    </row>
    <row r="950" ht="13.2" customHeight="1" s="405">
      <c r="B950" s="117" t="n"/>
    </row>
    <row r="951" ht="13.2" customHeight="1" s="405">
      <c r="B951" s="117" t="n"/>
    </row>
    <row r="952" ht="13.2" customHeight="1" s="405">
      <c r="B952" s="117" t="n"/>
    </row>
    <row r="953" ht="13.2" customHeight="1" s="405">
      <c r="B953" s="117" t="n"/>
    </row>
    <row r="954" ht="13.2" customHeight="1" s="405">
      <c r="B954" s="117" t="n"/>
    </row>
    <row r="955" ht="13.2" customHeight="1" s="405">
      <c r="B955" s="117" t="n"/>
    </row>
    <row r="956" ht="13.2" customHeight="1" s="405">
      <c r="B956" s="117" t="n"/>
    </row>
    <row r="957" ht="13.2" customHeight="1" s="405">
      <c r="B957" s="117" t="n"/>
    </row>
    <row r="958" ht="13.2" customHeight="1" s="405">
      <c r="B958" s="117" t="n"/>
    </row>
    <row r="959" ht="13.2" customHeight="1" s="405">
      <c r="B959" s="117" t="n"/>
    </row>
    <row r="960" ht="13.2" customHeight="1" s="405">
      <c r="B960" s="117" t="n"/>
    </row>
    <row r="961" ht="13.2" customHeight="1" s="405">
      <c r="B961" s="117" t="n"/>
    </row>
    <row r="962" ht="13.2" customHeight="1" s="405">
      <c r="B962" s="117" t="n"/>
    </row>
    <row r="963" ht="13.2" customHeight="1" s="405">
      <c r="B963" s="117" t="n"/>
    </row>
    <row r="964" ht="13.2" customHeight="1" s="405">
      <c r="B964" s="117" t="n"/>
    </row>
    <row r="965" ht="13.2" customHeight="1" s="405">
      <c r="B965" s="117" t="n"/>
    </row>
    <row r="966" ht="13.2" customHeight="1" s="405">
      <c r="B966" s="117" t="n"/>
    </row>
    <row r="967" ht="13.2" customHeight="1" s="405">
      <c r="B967" s="117" t="n"/>
    </row>
    <row r="968" ht="13.2" customHeight="1" s="405">
      <c r="B968" s="117" t="n"/>
    </row>
    <row r="969" ht="13.2" customHeight="1" s="405">
      <c r="B969" s="117" t="n"/>
    </row>
    <row r="970" ht="13.2" customHeight="1" s="405">
      <c r="B970" s="117" t="n"/>
    </row>
    <row r="971" ht="13.2" customHeight="1" s="405">
      <c r="B971" s="117" t="n"/>
    </row>
    <row r="972" ht="13.2" customHeight="1" s="405">
      <c r="B972" s="117" t="n"/>
    </row>
    <row r="973" ht="13.2" customHeight="1" s="405">
      <c r="B973" s="117" t="n"/>
    </row>
    <row r="974" ht="13.2" customHeight="1" s="405">
      <c r="B974" s="117" t="n"/>
    </row>
    <row r="975" ht="13.2" customHeight="1" s="405">
      <c r="B975" s="117" t="n"/>
    </row>
    <row r="976" ht="13.2" customHeight="1" s="405">
      <c r="B976" s="117" t="n"/>
    </row>
    <row r="977" ht="13.2" customHeight="1" s="405">
      <c r="B977" s="117" t="n"/>
    </row>
    <row r="978" ht="13.2" customHeight="1" s="405">
      <c r="B978" s="117" t="n"/>
    </row>
    <row r="979" ht="13.2" customHeight="1" s="405">
      <c r="B979" s="117" t="n"/>
    </row>
    <row r="980" ht="13.2" customHeight="1" s="405">
      <c r="B980" s="117" t="n"/>
    </row>
    <row r="981" ht="13.2" customHeight="1" s="405">
      <c r="B981" s="117" t="n"/>
    </row>
    <row r="982" ht="13.2" customHeight="1" s="405">
      <c r="B982" s="117" t="n"/>
    </row>
    <row r="983" ht="13.2" customHeight="1" s="405">
      <c r="B983" s="117" t="n"/>
    </row>
    <row r="984" ht="13.2" customHeight="1" s="405">
      <c r="B984" s="117" t="n"/>
    </row>
    <row r="985" ht="13.2" customHeight="1" s="405">
      <c r="B985" s="117" t="n"/>
    </row>
    <row r="986" ht="13.2" customHeight="1" s="405">
      <c r="B986" s="117" t="n"/>
    </row>
    <row r="987" ht="13.2" customHeight="1" s="405">
      <c r="B987" s="117" t="n"/>
    </row>
    <row r="988" ht="13.2" customHeight="1" s="405">
      <c r="B988" s="117" t="n"/>
    </row>
    <row r="989" ht="13.2" customHeight="1" s="405">
      <c r="B989" s="117" t="n"/>
    </row>
    <row r="990" ht="13.2" customHeight="1" s="405">
      <c r="B990" s="117" t="n"/>
    </row>
    <row r="991" ht="13.2" customHeight="1" s="405">
      <c r="B991" s="117" t="n"/>
    </row>
    <row r="992" ht="13.2" customHeight="1" s="405">
      <c r="B992" s="117" t="n"/>
    </row>
    <row r="993" ht="13.2" customHeight="1" s="405">
      <c r="B993" s="117" t="n"/>
    </row>
    <row r="994" ht="13.2" customHeight="1" s="405">
      <c r="B994" s="117" t="n"/>
    </row>
    <row r="995" ht="13.2" customHeight="1" s="405">
      <c r="B995" s="117" t="n"/>
    </row>
    <row r="996" ht="13.2" customHeight="1" s="405">
      <c r="B996" s="117" t="n"/>
    </row>
    <row r="997" ht="13.2" customHeight="1" s="405">
      <c r="B997" s="117" t="n"/>
    </row>
    <row r="998" ht="13.2" customHeight="1" s="405">
      <c r="B998" s="117" t="n"/>
    </row>
    <row r="999" ht="13.2" customHeight="1" s="405">
      <c r="B999" s="117" t="n"/>
    </row>
  </sheetData>
  <mergeCells count="3">
    <mergeCell ref="A1:D1"/>
    <mergeCell ref="A2:A3"/>
    <mergeCell ref="B2:B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0" summaryRight="0"/>
    <pageSetUpPr/>
  </sheetPr>
  <dimension ref="A1:AI32"/>
  <sheetViews>
    <sheetView workbookViewId="0">
      <pane xSplit="3" topLeftCell="D1" activePane="topRight" state="frozen"/>
      <selection pane="topRight" activeCell="E2" sqref="E2"/>
    </sheetView>
  </sheetViews>
  <sheetFormatPr baseColWidth="8" defaultColWidth="12.6640625" defaultRowHeight="15.75" customHeight="1"/>
  <cols>
    <col width="5.33203125" customWidth="1" style="405" min="1" max="1"/>
    <col width="20.109375" customWidth="1" style="405" min="2" max="2"/>
    <col width="34" customWidth="1" style="405" min="10" max="10"/>
  </cols>
  <sheetData>
    <row r="1" ht="15.75" customHeight="1" s="405">
      <c r="A1" s="345" t="n"/>
      <c r="B1" s="345" t="n"/>
      <c r="C1" s="345" t="n"/>
      <c r="D1" s="8" t="n"/>
      <c r="E1" s="345" t="n"/>
      <c r="F1" s="345" t="n"/>
      <c r="G1" s="345" t="n"/>
      <c r="H1" s="345" t="n"/>
      <c r="I1" s="345" t="n"/>
      <c r="J1" s="345" t="n"/>
      <c r="K1" s="345" t="n"/>
      <c r="L1" s="345" t="n"/>
      <c r="M1" s="345" t="n"/>
      <c r="N1" s="345" t="n"/>
      <c r="O1" s="345" t="n"/>
      <c r="P1" s="9" t="n"/>
      <c r="Q1" s="9" t="n"/>
      <c r="R1" s="9" t="n"/>
      <c r="S1" s="9" t="n"/>
      <c r="T1" s="9" t="n"/>
      <c r="U1" s="9" t="n"/>
      <c r="V1" s="9" t="n"/>
      <c r="W1" s="9" t="n"/>
      <c r="X1" s="9" t="n"/>
      <c r="Y1" s="9" t="n"/>
      <c r="Z1" s="9" t="n"/>
      <c r="AA1" s="9" t="n"/>
      <c r="AB1" s="9" t="n"/>
      <c r="AC1" s="9" t="n"/>
      <c r="AD1" s="9" t="n"/>
      <c r="AE1" s="9" t="n"/>
      <c r="AF1" s="9" t="n"/>
      <c r="AG1" s="9" t="n"/>
      <c r="AH1" s="9" t="n"/>
      <c r="AI1" s="9" t="n"/>
    </row>
    <row r="2" ht="15.75" customHeight="1" s="405">
      <c r="A2" s="434" t="inlineStr">
        <is>
          <t>STT</t>
        </is>
      </c>
      <c r="B2" s="22" t="inlineStr">
        <is>
          <t>Số tài khoản</t>
        </is>
      </c>
      <c r="C2" s="212" t="inlineStr">
        <is>
          <t>Số Thẻ</t>
        </is>
      </c>
      <c r="D2" s="19" t="inlineStr">
        <is>
          <t>Số tiền chi tiêu hàng ngày theo đầu thẻ</t>
        </is>
      </c>
      <c r="E2" s="23" t="n"/>
      <c r="F2" s="23" t="n"/>
      <c r="G2" s="23" t="n"/>
      <c r="H2" s="23" t="n"/>
      <c r="I2" s="23" t="n"/>
      <c r="J2" s="23" t="n"/>
      <c r="K2" s="23" t="n"/>
      <c r="L2" s="23" t="n"/>
      <c r="M2" s="23" t="n"/>
      <c r="N2" s="23" t="n"/>
      <c r="O2" s="23" t="n"/>
      <c r="P2" s="23" t="n"/>
      <c r="Q2" s="23" t="n"/>
      <c r="R2" s="23" t="n"/>
      <c r="S2" s="23" t="n"/>
      <c r="T2" s="23" t="n"/>
      <c r="U2" s="23" t="n"/>
      <c r="V2" s="23" t="n"/>
      <c r="W2" s="23" t="n"/>
      <c r="X2" s="23" t="n"/>
      <c r="Y2" s="23" t="n"/>
      <c r="Z2" s="23" t="n"/>
      <c r="AA2" s="23" t="n"/>
      <c r="AB2" s="23" t="n"/>
      <c r="AC2" s="23" t="n"/>
      <c r="AD2" s="23" t="n"/>
      <c r="AE2" s="23" t="n"/>
      <c r="AF2" s="23" t="n"/>
      <c r="AG2" s="23" t="n"/>
      <c r="AH2" s="37" t="n"/>
      <c r="AI2" s="9" t="n"/>
    </row>
    <row r="3" ht="15.75" customHeight="1" s="405">
      <c r="A3" s="433" t="n"/>
      <c r="B3" s="433" t="n"/>
      <c r="C3" s="433" t="n"/>
      <c r="D3" s="41" t="n">
        <v>46204</v>
      </c>
      <c r="E3" s="41" t="n">
        <v>46205</v>
      </c>
      <c r="F3" s="41" t="n">
        <v>46206</v>
      </c>
      <c r="G3" s="41" t="n">
        <v>46207</v>
      </c>
      <c r="H3" s="41" t="n">
        <v>46208</v>
      </c>
      <c r="I3" s="41" t="n">
        <v>46209</v>
      </c>
      <c r="J3" s="41" t="n">
        <v>46210</v>
      </c>
      <c r="K3" s="41" t="n">
        <v>46211</v>
      </c>
      <c r="L3" s="41" t="n">
        <v>46212</v>
      </c>
      <c r="M3" s="41" t="n">
        <v>46213</v>
      </c>
      <c r="N3" s="41" t="n">
        <v>46214</v>
      </c>
      <c r="O3" s="41" t="n">
        <v>46215</v>
      </c>
      <c r="P3" s="41" t="n">
        <v>46216</v>
      </c>
      <c r="Q3" s="41" t="n">
        <v>46217</v>
      </c>
      <c r="R3" s="41" t="n">
        <v>46218</v>
      </c>
      <c r="S3" s="41" t="n">
        <v>46219</v>
      </c>
      <c r="T3" s="41" t="n">
        <v>46220</v>
      </c>
      <c r="U3" s="41" t="n">
        <v>46221</v>
      </c>
      <c r="V3" s="41" t="n">
        <v>46222</v>
      </c>
      <c r="W3" s="41" t="n">
        <v>46223</v>
      </c>
      <c r="X3" s="41" t="n">
        <v>46224</v>
      </c>
      <c r="Y3" s="41" t="n">
        <v>46225</v>
      </c>
      <c r="Z3" s="41" t="n">
        <v>46226</v>
      </c>
      <c r="AA3" s="41" t="n">
        <v>46227</v>
      </c>
      <c r="AB3" s="41" t="n">
        <v>46228</v>
      </c>
      <c r="AC3" s="41" t="n">
        <v>46229</v>
      </c>
      <c r="AD3" s="41" t="n">
        <v>46230</v>
      </c>
      <c r="AE3" s="41" t="n">
        <v>46231</v>
      </c>
      <c r="AF3" s="41" t="n">
        <v>46232</v>
      </c>
      <c r="AG3" s="41" t="n">
        <v>46233</v>
      </c>
      <c r="AH3" s="41" t="n">
        <v>46234</v>
      </c>
      <c r="AI3" s="9" t="n"/>
    </row>
    <row r="4" ht="15.75" customHeight="1" s="405">
      <c r="A4" s="347" t="n">
        <v>1</v>
      </c>
      <c r="B4" s="374" t="inlineStr">
        <is>
          <t>99891-989</t>
        </is>
      </c>
      <c r="C4" s="374" t="n">
        <v>1695</v>
      </c>
      <c r="D4" s="255" t="n">
        <v>3182169</v>
      </c>
      <c r="E4" s="257" t="n">
        <v>5698428</v>
      </c>
      <c r="F4" s="255" t="n">
        <v>0</v>
      </c>
      <c r="G4" s="257" t="n">
        <v>6387087</v>
      </c>
      <c r="H4" s="258" t="n">
        <v>0</v>
      </c>
      <c r="I4" s="375" t="n">
        <v>7606052</v>
      </c>
      <c r="J4" s="257" t="n">
        <v>0</v>
      </c>
      <c r="K4" s="257" t="n">
        <v>8284958</v>
      </c>
      <c r="L4" s="255" t="n">
        <v>0</v>
      </c>
      <c r="M4" s="257" t="n">
        <v>8095570</v>
      </c>
      <c r="N4" s="255" t="n"/>
      <c r="O4" s="255" t="n"/>
      <c r="P4" s="257" t="n"/>
      <c r="Q4" s="257" t="n"/>
      <c r="R4" s="255" t="n"/>
      <c r="S4" s="257" t="n"/>
      <c r="T4" s="260" t="n"/>
      <c r="U4" s="255" t="n"/>
      <c r="V4" s="257" t="n"/>
      <c r="W4" s="257" t="n"/>
      <c r="X4" s="261" t="n"/>
      <c r="Y4" s="261" t="n"/>
      <c r="Z4" s="257" t="n"/>
      <c r="AA4" s="262" t="n"/>
      <c r="AB4" s="263" t="n"/>
      <c r="AC4" s="262" t="n"/>
      <c r="AD4" s="262" t="n"/>
      <c r="AE4" s="265" t="n"/>
      <c r="AF4" s="262" t="n"/>
      <c r="AG4" s="263" t="n"/>
      <c r="AH4" s="262" t="n"/>
      <c r="AI4" s="76" t="n"/>
    </row>
    <row r="5" ht="15.75" customHeight="1" s="405">
      <c r="A5" s="347" t="n">
        <v>2</v>
      </c>
      <c r="B5" s="374" t="n"/>
      <c r="C5" s="374" t="n"/>
      <c r="D5" s="257" t="n"/>
      <c r="E5" s="257" t="n"/>
      <c r="F5" s="257" t="n"/>
      <c r="G5" s="257" t="n"/>
      <c r="H5" s="257" t="n"/>
      <c r="I5" s="257" t="n"/>
      <c r="J5" s="257" t="n"/>
      <c r="K5" s="257" t="n"/>
      <c r="L5" s="257" t="n"/>
      <c r="M5" s="257" t="n"/>
      <c r="N5" s="257" t="n"/>
      <c r="O5" s="325" t="n"/>
      <c r="P5" s="257" t="n"/>
      <c r="Q5" s="257" t="n"/>
      <c r="R5" s="257" t="n"/>
      <c r="S5" s="257" t="n"/>
      <c r="T5" s="257" t="n"/>
      <c r="U5" s="257" t="n"/>
      <c r="V5" s="257" t="n"/>
      <c r="W5" s="257" t="n"/>
      <c r="X5" s="257" t="n"/>
      <c r="Y5" s="257" t="n"/>
      <c r="Z5" s="262" t="n"/>
      <c r="AA5" s="262" t="n"/>
      <c r="AB5" s="263" t="n"/>
      <c r="AC5" s="263" t="n"/>
      <c r="AD5" s="262" t="n"/>
      <c r="AE5" s="262" t="n"/>
      <c r="AF5" s="262" t="n"/>
      <c r="AG5" s="263" t="n"/>
      <c r="AH5" s="262" t="n"/>
      <c r="AI5" s="76" t="n"/>
    </row>
    <row r="6" ht="15.75" customHeight="1" s="405">
      <c r="A6" s="347" t="n">
        <v>3</v>
      </c>
      <c r="B6" s="325" t="n"/>
      <c r="C6" s="325" t="n"/>
      <c r="D6" s="257" t="n"/>
      <c r="E6" s="257" t="n"/>
      <c r="F6" s="257" t="n"/>
      <c r="G6" s="257" t="n"/>
      <c r="H6" s="257" t="n"/>
      <c r="I6" s="257" t="n"/>
      <c r="J6" s="257" t="n"/>
      <c r="K6" s="257" t="n"/>
      <c r="L6" s="257" t="n"/>
      <c r="M6" s="257" t="n"/>
      <c r="N6" s="257" t="n"/>
      <c r="O6" s="257" t="n"/>
      <c r="P6" s="257" t="n"/>
      <c r="Q6" s="257" t="n"/>
      <c r="R6" s="257" t="n"/>
      <c r="S6" s="257" t="n"/>
      <c r="T6" s="257" t="n"/>
      <c r="U6" s="257" t="n"/>
      <c r="V6" s="257" t="n"/>
      <c r="W6" s="257" t="n"/>
      <c r="X6" s="257" t="n"/>
      <c r="Y6" s="76" t="n"/>
      <c r="Z6" s="265" t="n"/>
      <c r="AA6" s="262" t="n"/>
      <c r="AB6" s="265" t="n"/>
      <c r="AC6" s="267" t="n"/>
      <c r="AD6" s="267" t="n"/>
      <c r="AE6" s="262" t="n"/>
      <c r="AF6" s="265" t="n"/>
      <c r="AG6" s="76" t="n"/>
      <c r="AH6" s="265" t="n"/>
      <c r="AI6" s="76" t="n"/>
    </row>
    <row r="7" ht="15.75" customHeight="1" s="405">
      <c r="A7" s="347" t="n">
        <v>4</v>
      </c>
      <c r="B7" s="325" t="n"/>
      <c r="C7" s="325" t="n"/>
      <c r="D7" s="257" t="n"/>
      <c r="E7" s="257" t="n"/>
      <c r="F7" s="257" t="n"/>
      <c r="G7" s="257" t="n"/>
      <c r="H7" s="257" t="n"/>
      <c r="I7" s="257" t="n"/>
      <c r="J7" s="257" t="n"/>
      <c r="K7" s="257" t="n"/>
      <c r="L7" s="257" t="n"/>
      <c r="M7" s="257" t="n"/>
      <c r="N7" s="257" t="n"/>
      <c r="O7" s="267" t="n"/>
      <c r="P7" s="257" t="n"/>
      <c r="Q7" s="257" t="n"/>
      <c r="R7" s="257" t="n"/>
      <c r="S7" s="257" t="n"/>
      <c r="T7" s="257" t="n"/>
      <c r="U7" s="257" t="n"/>
      <c r="V7" s="257" t="n"/>
      <c r="W7" s="257" t="n"/>
      <c r="X7" s="257" t="n"/>
      <c r="Y7" s="265" t="n"/>
      <c r="Z7" s="265" t="n"/>
      <c r="AA7" s="265" t="n"/>
      <c r="AB7" s="262" t="n"/>
      <c r="AC7" s="265" t="n"/>
      <c r="AD7" s="267" t="n"/>
      <c r="AE7" s="263" t="n"/>
      <c r="AF7" s="265" t="n"/>
      <c r="AG7" s="268" t="n"/>
      <c r="AH7" s="265" t="n"/>
      <c r="AI7" s="76" t="n"/>
    </row>
    <row r="8" ht="15.75" customHeight="1" s="405">
      <c r="A8" s="82" t="inlineStr">
        <is>
          <t>Tổng</t>
        </is>
      </c>
      <c r="B8" s="83" t="n"/>
      <c r="C8" s="83">
        <f>+D8+E8+F8+G8+H8+I8+J8+K8+L8+M8+N8+O8++P8+Q8+R8+S8+T8+U8+V8+W8+X8+Y8+Z8+AA8+AB8+AC8+AD8+AE8+AF8+AG8+AH8</f>
        <v/>
      </c>
      <c r="D8" s="83">
        <f>SUM(D4:D7) /1.1</f>
        <v/>
      </c>
      <c r="E8" s="83">
        <f>SUM(E4:E7) /1.1</f>
        <v/>
      </c>
      <c r="F8" s="83">
        <f>SUM(F4:F7) /1.1</f>
        <v/>
      </c>
      <c r="G8" s="83">
        <f>SUM(G4:G7) /1.1</f>
        <v/>
      </c>
      <c r="H8" s="83">
        <f>SUM(H4:H7) /1.1</f>
        <v/>
      </c>
      <c r="I8" s="83">
        <f>SUM(I4:I7) /1.1</f>
        <v/>
      </c>
      <c r="J8" s="83">
        <f>SUM(J4:J7) /1.1</f>
        <v/>
      </c>
      <c r="K8" s="83">
        <f>SUM(K4:K7) /1.1</f>
        <v/>
      </c>
      <c r="L8" s="83">
        <f>SUM(L4:L7) /1.1</f>
        <v/>
      </c>
      <c r="M8" s="83">
        <f>SUM(M4:M7) /1.1</f>
        <v/>
      </c>
      <c r="N8" s="83">
        <f>SUM(N4:N7) /1.1</f>
        <v/>
      </c>
      <c r="O8" s="83">
        <f>SUM(O4:O7) /1.1</f>
        <v/>
      </c>
      <c r="P8" s="83">
        <f>SUM(P4:P7) /1.1</f>
        <v/>
      </c>
      <c r="Q8" s="83">
        <f>SUM(Q4:Q7) /1.1</f>
        <v/>
      </c>
      <c r="R8" s="83">
        <f>SUM(R4:R7) /1.1</f>
        <v/>
      </c>
      <c r="S8" s="83">
        <f>SUM(S4:S7) /1.1</f>
        <v/>
      </c>
      <c r="T8" s="83">
        <f>SUM(T4:T7) /1.1</f>
        <v/>
      </c>
      <c r="U8" s="83">
        <f>SUM(U4:U7) /1.1</f>
        <v/>
      </c>
      <c r="V8" s="83">
        <f>SUM(V4:V7) /1.1</f>
        <v/>
      </c>
      <c r="W8" s="83">
        <f>SUM(W4:W7) /1.1</f>
        <v/>
      </c>
      <c r="X8" s="83">
        <f>SUM(X4:X7) /1.1</f>
        <v/>
      </c>
      <c r="Y8" s="83">
        <f>SUM(Y4:Y7) /1.1</f>
        <v/>
      </c>
      <c r="Z8" s="83">
        <f>SUM(Z4:Z7) /1.1</f>
        <v/>
      </c>
      <c r="AA8" s="83">
        <f>SUM(AA4:AA7) /1.1</f>
        <v/>
      </c>
      <c r="AB8" s="83">
        <f>SUM(AB4:AB7) /1.1</f>
        <v/>
      </c>
      <c r="AC8" s="83">
        <f>SUM(AC4:AC7) /1.1</f>
        <v/>
      </c>
      <c r="AD8" s="83">
        <f>SUM(AD4:AD7) /1.1</f>
        <v/>
      </c>
      <c r="AE8" s="83">
        <f>SUM(AE5:AE7) /1.1</f>
        <v/>
      </c>
      <c r="AF8" s="83">
        <f>SUM(AF4:AF7) /1.1</f>
        <v/>
      </c>
      <c r="AG8" s="83">
        <f>SUM(AG4:AG7) /1.1</f>
        <v/>
      </c>
      <c r="AH8" s="83">
        <f>SUM(AH4:AH7) /1.1</f>
        <v/>
      </c>
      <c r="AI8" s="76" t="n"/>
    </row>
    <row r="9" ht="15.75" customHeight="1" s="405">
      <c r="A9" s="345" t="inlineStr">
        <is>
          <t>Kế toán check Hóa đơn</t>
        </is>
      </c>
      <c r="B9" s="345" t="n"/>
      <c r="C9" s="345" t="n"/>
      <c r="D9" s="8" t="n"/>
      <c r="E9" s="345" t="n"/>
      <c r="F9" s="345" t="n"/>
      <c r="G9" s="345" t="n"/>
      <c r="H9" s="345" t="n"/>
      <c r="I9" s="345" t="n"/>
      <c r="J9" s="345" t="n"/>
      <c r="K9" s="345" t="n"/>
      <c r="L9" s="345" t="n"/>
      <c r="M9" s="345" t="n"/>
      <c r="N9" s="345" t="n"/>
      <c r="O9" s="345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</row>
    <row r="10" ht="15.75" customHeight="1" s="405">
      <c r="A10" s="110" t="inlineStr">
        <is>
          <t>Chênh lệch</t>
        </is>
      </c>
      <c r="B10" s="345" t="n"/>
      <c r="C10" s="345" t="n"/>
      <c r="D10" s="113">
        <f>D8-D9</f>
        <v/>
      </c>
      <c r="E10" s="113">
        <f>E8-E9</f>
        <v/>
      </c>
      <c r="F10" s="113">
        <f>F8-F9</f>
        <v/>
      </c>
      <c r="G10" s="113">
        <f>G8-G9</f>
        <v/>
      </c>
      <c r="H10" s="113">
        <f>H8-H9</f>
        <v/>
      </c>
      <c r="I10" s="113">
        <f>I8-I9</f>
        <v/>
      </c>
      <c r="J10" s="113">
        <f>J8-J9</f>
        <v/>
      </c>
      <c r="K10" s="113">
        <f>K8-K9</f>
        <v/>
      </c>
      <c r="L10" s="113">
        <f>L8-L9</f>
        <v/>
      </c>
      <c r="M10" s="113">
        <f>M8-M9</f>
        <v/>
      </c>
      <c r="N10" s="113">
        <f>N8-N9</f>
        <v/>
      </c>
      <c r="O10" s="113">
        <f>O8-O9</f>
        <v/>
      </c>
      <c r="P10" s="113">
        <f>P8-P9</f>
        <v/>
      </c>
      <c r="Q10" s="113">
        <f>Q8-Q9</f>
        <v/>
      </c>
      <c r="R10" s="113">
        <f>R8-R9</f>
        <v/>
      </c>
      <c r="S10" s="113">
        <f>S8-S9</f>
        <v/>
      </c>
      <c r="T10" s="113">
        <f>T8-T9</f>
        <v/>
      </c>
      <c r="U10" s="113">
        <f>U8-U9</f>
        <v/>
      </c>
      <c r="V10" s="113">
        <f>V8-V9</f>
        <v/>
      </c>
      <c r="W10" s="113">
        <f>W8-W9</f>
        <v/>
      </c>
      <c r="X10" s="113">
        <f>X8-X9</f>
        <v/>
      </c>
      <c r="Y10" s="113">
        <f>Y8-Y9</f>
        <v/>
      </c>
      <c r="Z10" s="113">
        <f>Z8-Z9</f>
        <v/>
      </c>
      <c r="AA10" s="113">
        <f>AA8-AA9</f>
        <v/>
      </c>
      <c r="AB10" s="113">
        <f>AB8-AB9</f>
        <v/>
      </c>
      <c r="AC10" s="113">
        <f>AC8-AC9</f>
        <v/>
      </c>
      <c r="AD10" s="113">
        <f>AD8-AD9</f>
        <v/>
      </c>
      <c r="AE10" s="113">
        <f>AE8-AE9</f>
        <v/>
      </c>
      <c r="AF10" s="113">
        <f>AF8-AF9</f>
        <v/>
      </c>
      <c r="AG10" s="113">
        <f>AG8-AG9</f>
        <v/>
      </c>
      <c r="AH10" s="113">
        <f>AH8-AH9</f>
        <v/>
      </c>
      <c r="AI10" s="9" t="n"/>
    </row>
    <row r="11"/>
    <row r="12"/>
    <row r="13">
      <c r="B13" s="118" t="inlineStr">
        <is>
          <t>Facebook Billing</t>
        </is>
      </c>
      <c r="D13" s="118" t="n"/>
    </row>
    <row r="14" ht="15.75" customHeight="1" s="405">
      <c r="B14" s="119" t="inlineStr">
        <is>
          <t>Ngày thanh toán</t>
        </is>
      </c>
      <c r="C14" s="119" t="inlineStr">
        <is>
          <t>Phương thức TT</t>
        </is>
      </c>
      <c r="D14" s="119" t="inlineStr">
        <is>
          <t>Số tham chiếu thẻ</t>
        </is>
      </c>
      <c r="E14" s="120" t="inlineStr">
        <is>
          <t>Số tiền</t>
        </is>
      </c>
      <c r="G14" s="419" t="inlineStr">
        <is>
          <t xml:space="preserve">Link thư mục ảnh hóa đơn </t>
        </is>
      </c>
      <c r="J14" t="inlineStr">
        <is>
          <t>Ten tab nguon</t>
        </is>
      </c>
    </row>
    <row r="15">
      <c r="B15" s="377" t="n">
        <v>46204</v>
      </c>
      <c r="C15" s="94" t="inlineStr">
        <is>
          <t>Visa ···· 1695</t>
        </is>
      </c>
      <c r="D15" s="94" t="inlineStr">
        <is>
          <t>BH9QKV9HX2</t>
        </is>
      </c>
      <c r="E15" s="378" t="n">
        <v>3094859</v>
      </c>
      <c r="F15" s="473" t="inlineStr">
        <is>
          <t>1 Tháng 7, 2026</t>
        </is>
      </c>
      <c r="G15" s="474" t="n">
        <v>3094859</v>
      </c>
      <c r="H15" s="197" t="inlineStr">
        <is>
          <t>Visa ···· 1695</t>
        </is>
      </c>
      <c r="I15" s="197" t="inlineStr">
        <is>
          <t>BH9QKV9HX2</t>
        </is>
      </c>
      <c r="J15" s="197" t="inlineStr">
        <is>
          <t>Trang tính6</t>
        </is>
      </c>
    </row>
    <row r="16" ht="13.2" customHeight="1" s="405">
      <c r="B16" s="377" t="n">
        <v>46205</v>
      </c>
      <c r="C16" s="94" t="inlineStr">
        <is>
          <t>Visa ···· 1695</t>
        </is>
      </c>
      <c r="D16" s="94" t="inlineStr">
        <is>
          <t>GLQJYWHHX2</t>
        </is>
      </c>
      <c r="E16" s="378" t="n">
        <v>2603569</v>
      </c>
      <c r="F16" s="473" t="inlineStr">
        <is>
          <t>2 Tháng 7, 2026</t>
        </is>
      </c>
      <c r="G16" s="474" t="n">
        <v>2603569</v>
      </c>
      <c r="H16" s="197" t="inlineStr">
        <is>
          <t>Visa ···· 1695</t>
        </is>
      </c>
      <c r="I16" s="197" t="inlineStr">
        <is>
          <t>GLQJYWHHX2</t>
        </is>
      </c>
      <c r="J16" s="197" t="inlineStr">
        <is>
          <t>Trang tính6</t>
        </is>
      </c>
    </row>
    <row r="17" ht="13.2" customHeight="1" s="405">
      <c r="B17" s="377" t="n">
        <v>46205</v>
      </c>
      <c r="C17" s="94" t="inlineStr">
        <is>
          <t>Visa ···· 1695</t>
        </is>
      </c>
      <c r="D17" s="94" t="inlineStr">
        <is>
          <t>35Z5NYRHX2</t>
        </is>
      </c>
      <c r="E17" s="378" t="n">
        <v>3094859</v>
      </c>
      <c r="F17" s="473" t="inlineStr">
        <is>
          <t>2 Tháng 7, 2026</t>
        </is>
      </c>
      <c r="G17" s="474" t="n">
        <v>3094859</v>
      </c>
      <c r="H17" s="197" t="inlineStr">
        <is>
          <t>Visa ···· 1695</t>
        </is>
      </c>
      <c r="I17" s="197" t="inlineStr">
        <is>
          <t>35Z5NYRHX2</t>
        </is>
      </c>
      <c r="J17" s="197" t="inlineStr">
        <is>
          <t>Trang tính6</t>
        </is>
      </c>
    </row>
    <row r="18" ht="13.2" customHeight="1" s="405">
      <c r="B18" s="377" t="n">
        <v>46207</v>
      </c>
      <c r="C18" s="94" t="inlineStr">
        <is>
          <t>Visa ···· 1695</t>
        </is>
      </c>
      <c r="D18" s="94" t="inlineStr">
        <is>
          <t>GBQSSV5HX2</t>
        </is>
      </c>
      <c r="E18" s="378" t="n">
        <v>6387087</v>
      </c>
      <c r="F18" s="473" t="inlineStr">
        <is>
          <t>4 Tháng 7, 2026</t>
        </is>
      </c>
      <c r="G18" s="474" t="n">
        <v>6387087</v>
      </c>
      <c r="H18" s="197" t="inlineStr">
        <is>
          <t>Visa ···· 1695</t>
        </is>
      </c>
      <c r="I18" s="197" t="inlineStr">
        <is>
          <t>GBQSSV5HX2</t>
        </is>
      </c>
      <c r="J18" s="197" t="inlineStr">
        <is>
          <t>Trang tính6</t>
        </is>
      </c>
    </row>
    <row r="19" ht="13.2" customHeight="1" s="405">
      <c r="B19" s="377" t="n">
        <v>46209</v>
      </c>
      <c r="C19" s="94" t="inlineStr">
        <is>
          <t>Visa ···· 1695</t>
        </is>
      </c>
      <c r="D19" s="94" t="inlineStr">
        <is>
          <t>NJHUZV5HX2</t>
        </is>
      </c>
      <c r="E19" s="378" t="n">
        <v>7606052</v>
      </c>
      <c r="F19" s="473" t="inlineStr">
        <is>
          <t>6 Tháng 7, 2026</t>
        </is>
      </c>
      <c r="G19" s="474" t="n">
        <v>7606052</v>
      </c>
      <c r="H19" s="197" t="inlineStr">
        <is>
          <t>Visa ···· 1695</t>
        </is>
      </c>
      <c r="I19" s="197" t="inlineStr">
        <is>
          <t>NJHUZV5HX2</t>
        </is>
      </c>
      <c r="J19" s="197" t="inlineStr">
        <is>
          <t>Trang tính6</t>
        </is>
      </c>
    </row>
    <row r="20" ht="13.2" customHeight="1" s="405">
      <c r="B20" s="377" t="n">
        <v>46211</v>
      </c>
      <c r="C20" s="94" t="inlineStr">
        <is>
          <t>Visa ···· 1695</t>
        </is>
      </c>
      <c r="D20" s="94" t="inlineStr">
        <is>
          <t>KGZ7GWDHX2</t>
        </is>
      </c>
      <c r="E20" s="378" t="n">
        <v>8284958</v>
      </c>
      <c r="F20" s="473" t="inlineStr">
        <is>
          <t>8 Tháng 7, 2026</t>
        </is>
      </c>
      <c r="G20" s="474" t="n">
        <v>8284958</v>
      </c>
      <c r="H20" s="197" t="inlineStr">
        <is>
          <t>Visa ···· 1695</t>
        </is>
      </c>
      <c r="I20" s="197" t="inlineStr">
        <is>
          <t>KGZ7GWDHX2</t>
        </is>
      </c>
      <c r="J20" s="197" t="inlineStr">
        <is>
          <t>Trang tính6</t>
        </is>
      </c>
    </row>
    <row r="21" ht="13.2" customHeight="1" s="405">
      <c r="B21" s="377" t="n">
        <v>46213</v>
      </c>
      <c r="C21" s="94" t="inlineStr">
        <is>
          <t>Visa ···· 1695</t>
        </is>
      </c>
      <c r="D21" s="94" t="inlineStr">
        <is>
          <t>J2K6PWVGX2</t>
        </is>
      </c>
      <c r="E21" s="378" t="n">
        <v>8095570</v>
      </c>
      <c r="F21" s="473" t="inlineStr">
        <is>
          <t>10 Tháng 7, 2026</t>
        </is>
      </c>
      <c r="G21" s="474" t="n">
        <v>8095570</v>
      </c>
      <c r="H21" s="197" t="inlineStr">
        <is>
          <t>Visa ···· 1695</t>
        </is>
      </c>
      <c r="I21" s="197" t="inlineStr">
        <is>
          <t>J2K6PWVGX2</t>
        </is>
      </c>
      <c r="J21" s="197" t="inlineStr">
        <is>
          <t>Trang tính6</t>
        </is>
      </c>
    </row>
    <row r="22" ht="13.2" customHeight="1" s="405">
      <c r="B22" s="377" t="n">
        <v>46217</v>
      </c>
      <c r="C22" s="94" t="inlineStr">
        <is>
          <t>Visa ···· 1695</t>
        </is>
      </c>
      <c r="D22" s="94" t="inlineStr">
        <is>
          <t>6TCGVZRHX2</t>
        </is>
      </c>
      <c r="E22" s="378" t="n">
        <v>8636605</v>
      </c>
      <c r="F22" s="473" t="inlineStr">
        <is>
          <t>14 Tháng 7, 2026</t>
        </is>
      </c>
      <c r="G22" s="474" t="n">
        <v>8636605</v>
      </c>
      <c r="H22" s="197" t="inlineStr">
        <is>
          <t>Visa ···· 1695</t>
        </is>
      </c>
      <c r="I22" s="197" t="inlineStr">
        <is>
          <t>6TCGVZRHX2</t>
        </is>
      </c>
      <c r="J22" s="197" t="inlineStr">
        <is>
          <t>Trang tính6</t>
        </is>
      </c>
    </row>
    <row r="23" ht="13.2" customHeight="1" s="405">
      <c r="B23" s="377" t="n">
        <v>46207</v>
      </c>
      <c r="C23" s="94" t="inlineStr">
        <is>
          <t>Visa ···· 1695</t>
        </is>
      </c>
      <c r="D23" s="94" t="inlineStr">
        <is>
          <t>UQEQKVZEC2</t>
        </is>
      </c>
      <c r="E23" s="378" t="n">
        <v>98747</v>
      </c>
      <c r="F23" s="473" t="inlineStr">
        <is>
          <t>4 Tháng 7, 2026</t>
        </is>
      </c>
      <c r="G23" s="474" t="n">
        <v>98747</v>
      </c>
      <c r="H23" s="197" t="inlineStr">
        <is>
          <t>Visa ···· 1695</t>
        </is>
      </c>
      <c r="I23" s="197" t="inlineStr">
        <is>
          <t>UQEQKVZEC2</t>
        </is>
      </c>
      <c r="J23" s="197" t="inlineStr">
        <is>
          <t>Lý ADS - Green Vita 01 (1507622</t>
        </is>
      </c>
    </row>
    <row r="24" ht="13.2" customHeight="1" s="405">
      <c r="B24" s="94" t="n"/>
      <c r="C24" s="94" t="n"/>
      <c r="D24" s="94" t="n"/>
      <c r="E24" s="94" t="n"/>
    </row>
    <row r="25" ht="13.2" customHeight="1" s="405">
      <c r="B25" s="94" t="n"/>
      <c r="C25" s="94" t="n"/>
      <c r="D25" s="94" t="n"/>
      <c r="E25" s="94" t="n"/>
    </row>
    <row r="26" ht="13.2" customHeight="1" s="405">
      <c r="B26" s="94" t="n"/>
      <c r="C26" s="94" t="n"/>
      <c r="D26" s="94" t="n"/>
      <c r="E26" s="94" t="n"/>
    </row>
    <row r="27" ht="13.2" customHeight="1" s="405">
      <c r="B27" s="94" t="n"/>
      <c r="C27" s="94" t="n"/>
      <c r="D27" s="94" t="n"/>
      <c r="E27" s="94" t="n"/>
    </row>
    <row r="28" ht="13.2" customHeight="1" s="405">
      <c r="B28" s="94" t="n"/>
      <c r="C28" s="94" t="n"/>
      <c r="D28" s="94" t="n"/>
      <c r="E28" s="94" t="n"/>
    </row>
    <row r="29" ht="13.2" customHeight="1" s="405">
      <c r="B29" s="94" t="n"/>
      <c r="C29" s="94" t="n"/>
      <c r="D29" s="94" t="n"/>
      <c r="E29" s="94" t="n"/>
    </row>
    <row r="30" ht="13.2" customHeight="1" s="405">
      <c r="B30" s="94" t="n"/>
      <c r="C30" s="94" t="n"/>
      <c r="D30" s="94" t="n"/>
      <c r="E30" s="94" t="n"/>
    </row>
    <row r="31" ht="13.2" customHeight="1" s="405">
      <c r="B31" s="94" t="n"/>
      <c r="C31" s="94" t="n"/>
      <c r="D31" s="94" t="n"/>
      <c r="E31" s="94" t="n"/>
    </row>
    <row r="32" ht="13.2" customHeight="1" s="405">
      <c r="B32" s="94" t="n"/>
      <c r="C32" s="94" t="n"/>
      <c r="D32" s="94" t="n"/>
      <c r="E32" s="94" t="n"/>
    </row>
  </sheetData>
  <mergeCells count="3">
    <mergeCell ref="C2:C3"/>
    <mergeCell ref="A2:A3"/>
    <mergeCell ref="B2:B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0" summaryRight="0"/>
    <pageSetUpPr/>
  </sheetPr>
  <dimension ref="A1:I999"/>
  <sheetViews>
    <sheetView workbookViewId="0">
      <selection activeCell="A1" sqref="A1"/>
    </sheetView>
  </sheetViews>
  <sheetFormatPr baseColWidth="8" defaultColWidth="12.6640625" defaultRowHeight="15.75" customHeight="1"/>
  <cols>
    <col width="4.33203125" customWidth="1" style="405" min="1" max="1"/>
  </cols>
  <sheetData>
    <row r="1" ht="15.75" customHeight="1" s="405">
      <c r="A1" s="429" t="n"/>
      <c r="B1" s="430" t="n"/>
      <c r="C1" s="430" t="n"/>
      <c r="D1" s="431" t="n"/>
      <c r="E1" s="5" t="n"/>
      <c r="F1" s="5" t="n"/>
      <c r="G1" s="5" t="n"/>
    </row>
    <row r="2">
      <c r="A2" s="208" t="inlineStr">
        <is>
          <t>STT</t>
        </is>
      </c>
      <c r="B2" s="432" t="inlineStr">
        <is>
          <t>Ngày/tháng</t>
        </is>
      </c>
      <c r="C2" s="10" t="inlineStr">
        <is>
          <t xml:space="preserve">Ngân sách cấp 
</t>
        </is>
      </c>
      <c r="D2" s="26" t="inlineStr">
        <is>
          <t>Tổng đã tiêu</t>
        </is>
      </c>
      <c r="E2" s="208" t="inlineStr">
        <is>
          <t>Số đơn</t>
        </is>
      </c>
      <c r="F2" s="208" t="inlineStr">
        <is>
          <t>Doanh số</t>
        </is>
      </c>
      <c r="G2" s="208" t="inlineStr">
        <is>
          <t>Tỷ lệ CP</t>
        </is>
      </c>
      <c r="H2" s="298" t="inlineStr">
        <is>
          <t>Hoàn - Hủy</t>
        </is>
      </c>
      <c r="I2" s="299" t="inlineStr">
        <is>
          <t>DS trước HH</t>
        </is>
      </c>
    </row>
    <row r="3">
      <c r="A3" s="433" t="n"/>
      <c r="B3" s="433" t="n"/>
      <c r="C3" s="17">
        <f>+SUM(C4:C34)</f>
        <v/>
      </c>
      <c r="D3" s="21">
        <f>SUM(D4:D34)</f>
        <v/>
      </c>
      <c r="E3" s="26">
        <f>SUM(E4:E34)</f>
        <v/>
      </c>
      <c r="F3" s="21">
        <f>SUM(F4:F36)</f>
        <v/>
      </c>
      <c r="G3" s="31">
        <f>IFERROR(D3/F3,0)</f>
        <v/>
      </c>
    </row>
    <row r="4" ht="15.75" customHeight="1" s="405">
      <c r="A4" s="33" t="n">
        <v>1</v>
      </c>
      <c r="B4" s="35" t="n">
        <v>46204</v>
      </c>
      <c r="C4" s="300" t="n">
        <v>5000000</v>
      </c>
      <c r="D4" s="370">
        <f>'ĐQ Anh CT'!D8</f>
        <v/>
      </c>
      <c r="E4" s="330" t="n">
        <v>5</v>
      </c>
      <c r="F4" s="313" t="n">
        <v>16280000</v>
      </c>
      <c r="G4" s="50">
        <f>IFERROR(D4/F4,0)</f>
        <v/>
      </c>
    </row>
    <row r="5" ht="15.75" customHeight="1" s="405">
      <c r="A5" s="52" t="n">
        <v>2</v>
      </c>
      <c r="B5" s="54" t="n">
        <v>46205</v>
      </c>
      <c r="C5" s="307" t="n">
        <v>5000000</v>
      </c>
      <c r="D5" s="371">
        <f>'ĐQ Anh CT'!E8</f>
        <v/>
      </c>
      <c r="E5" s="332" t="n">
        <v>2</v>
      </c>
      <c r="F5" s="311" t="n">
        <v>6400000</v>
      </c>
      <c r="G5" s="62">
        <f>IFERROR(D5/F5,0)</f>
        <v/>
      </c>
      <c r="H5" s="372" t="n"/>
      <c r="I5" s="373" t="n"/>
    </row>
    <row r="6" ht="15.75" customHeight="1" s="405">
      <c r="A6" s="33" t="n">
        <v>3</v>
      </c>
      <c r="B6" s="35" t="n">
        <v>46206</v>
      </c>
      <c r="C6" s="300" t="n">
        <v>5000000</v>
      </c>
      <c r="D6" s="370">
        <f>'ĐQ Anh CT'!F8</f>
        <v/>
      </c>
      <c r="E6" s="330" t="n">
        <v>4</v>
      </c>
      <c r="F6" s="313" t="n">
        <v>12645000</v>
      </c>
      <c r="G6" s="50">
        <f>IFERROR(D6/F6,0)</f>
        <v/>
      </c>
      <c r="H6" s="372" t="n"/>
      <c r="I6" s="373" t="n"/>
    </row>
    <row r="7" ht="15.75" customHeight="1" s="405">
      <c r="A7" s="52" t="n">
        <v>4</v>
      </c>
      <c r="B7" s="54" t="n">
        <v>46207</v>
      </c>
      <c r="C7" s="307" t="n">
        <v>5000000</v>
      </c>
      <c r="D7" s="371">
        <f>'ĐQ Anh CT'!G8</f>
        <v/>
      </c>
      <c r="E7" s="332" t="n">
        <v>0</v>
      </c>
      <c r="F7" s="311" t="n">
        <v>0</v>
      </c>
      <c r="G7" s="62">
        <f>IFERROR(D7/F7,0)</f>
        <v/>
      </c>
      <c r="H7" s="372" t="n"/>
      <c r="I7" s="373" t="n"/>
    </row>
    <row r="8" ht="15.75" customHeight="1" s="405">
      <c r="A8" s="33" t="n">
        <v>5</v>
      </c>
      <c r="B8" s="35" t="n">
        <v>46208</v>
      </c>
      <c r="C8" s="300" t="n">
        <v>5000000</v>
      </c>
      <c r="D8" s="370">
        <f>'ĐQ Anh CT'!H8</f>
        <v/>
      </c>
      <c r="E8" s="330" t="n">
        <v>0</v>
      </c>
      <c r="F8" s="313" t="n">
        <v>2530000</v>
      </c>
      <c r="G8" s="50">
        <f>IFERROR(D8/F8,0)</f>
        <v/>
      </c>
      <c r="H8" s="372" t="n"/>
      <c r="I8" s="373" t="n"/>
    </row>
    <row r="9" ht="15.75" customHeight="1" s="405">
      <c r="A9" s="52" t="n">
        <v>6</v>
      </c>
      <c r="B9" s="54" t="n">
        <v>46209</v>
      </c>
      <c r="C9" s="307" t="n">
        <v>5000000</v>
      </c>
      <c r="D9" s="371">
        <f>'ĐQ Anh CT'!I8</f>
        <v/>
      </c>
      <c r="E9" s="332" t="n">
        <v>4</v>
      </c>
      <c r="F9" s="311" t="n">
        <v>16050000</v>
      </c>
      <c r="G9" s="62">
        <f>IFERROR(D9/F9,0)</f>
        <v/>
      </c>
      <c r="H9" s="372" t="n"/>
      <c r="I9" s="373" t="n"/>
    </row>
    <row r="10" ht="15.75" customHeight="1" s="405">
      <c r="A10" s="33" t="n">
        <v>7</v>
      </c>
      <c r="B10" s="35" t="n">
        <v>46210</v>
      </c>
      <c r="C10" s="300" t="n">
        <v>5000000</v>
      </c>
      <c r="D10" s="370">
        <f>'ĐQ Anh CT'!J8</f>
        <v/>
      </c>
      <c r="E10" s="330" t="n">
        <v>3</v>
      </c>
      <c r="F10" s="313" t="n">
        <v>10080000</v>
      </c>
      <c r="G10" s="50">
        <f>IFERROR(D10/F10,0)</f>
        <v/>
      </c>
      <c r="H10" s="372" t="n"/>
      <c r="I10" s="373" t="n"/>
    </row>
    <row r="11" ht="15.75" customHeight="1" s="405">
      <c r="A11" s="52" t="n">
        <v>8</v>
      </c>
      <c r="B11" s="54" t="n">
        <v>46211</v>
      </c>
      <c r="C11" s="307" t="n">
        <v>5000000</v>
      </c>
      <c r="D11" s="371">
        <f>'ĐQ Anh CT'!K8</f>
        <v/>
      </c>
      <c r="E11" s="332" t="n">
        <v>2</v>
      </c>
      <c r="F11" s="311" t="n">
        <v>9125000</v>
      </c>
      <c r="G11" s="62">
        <f>IFERROR(D11/F11,0)</f>
        <v/>
      </c>
      <c r="H11" s="372" t="n"/>
      <c r="I11" s="373" t="n"/>
    </row>
    <row r="12" ht="15.75" customHeight="1" s="405">
      <c r="A12" s="33" t="n">
        <v>9</v>
      </c>
      <c r="B12" s="35" t="n">
        <v>46212</v>
      </c>
      <c r="C12" s="300" t="n">
        <v>5000000</v>
      </c>
      <c r="D12" s="370">
        <f>'ĐQ Anh CT'!L8</f>
        <v/>
      </c>
      <c r="E12" s="330" t="n">
        <v>3</v>
      </c>
      <c r="F12" s="313" t="n">
        <v>8455000</v>
      </c>
      <c r="G12" s="50">
        <f>IFERROR(D12/F12,0)</f>
        <v/>
      </c>
      <c r="H12" s="372" t="n"/>
      <c r="I12" s="373" t="n"/>
    </row>
    <row r="13" ht="15.75" customHeight="1" s="405">
      <c r="A13" s="52" t="n">
        <v>10</v>
      </c>
      <c r="B13" s="54" t="n">
        <v>46213</v>
      </c>
      <c r="C13" s="307" t="n">
        <v>5000000</v>
      </c>
      <c r="D13" s="371">
        <f>'ĐQ Anh CT'!M8</f>
        <v/>
      </c>
      <c r="E13" s="332" t="n">
        <v>0</v>
      </c>
      <c r="F13" s="311" t="n">
        <v>0</v>
      </c>
      <c r="G13" s="62">
        <f>IFERROR(D13/F13,0)</f>
        <v/>
      </c>
      <c r="H13" s="372" t="n"/>
      <c r="I13" s="373" t="n"/>
    </row>
    <row r="14" ht="15.75" customHeight="1" s="405">
      <c r="A14" s="33" t="n">
        <v>11</v>
      </c>
      <c r="B14" s="35" t="n">
        <v>46214</v>
      </c>
      <c r="C14" s="300" t="n">
        <v>5000000</v>
      </c>
      <c r="D14" s="370">
        <f>'ĐQ Anh CT'!N8</f>
        <v/>
      </c>
      <c r="E14" s="330" t="n"/>
      <c r="F14" s="313" t="n"/>
      <c r="G14" s="50">
        <f>IFERROR(D14/F14,0)</f>
        <v/>
      </c>
      <c r="H14" s="372" t="n"/>
      <c r="I14" s="373" t="n"/>
    </row>
    <row r="15" ht="15.75" customHeight="1" s="405">
      <c r="A15" s="52" t="n">
        <v>12</v>
      </c>
      <c r="B15" s="54" t="n">
        <v>46215</v>
      </c>
      <c r="C15" s="300" t="n">
        <v>5000000</v>
      </c>
      <c r="D15" s="371">
        <f>'ĐQ Anh CT'!O8</f>
        <v/>
      </c>
      <c r="E15" s="332" t="n">
        <v>1</v>
      </c>
      <c r="F15" s="311" t="n">
        <v>3330000</v>
      </c>
      <c r="G15" s="62">
        <f>IFERROR(D15/F15,0)</f>
        <v/>
      </c>
      <c r="H15" s="372" t="n"/>
      <c r="I15" s="373" t="n"/>
    </row>
    <row r="16" ht="14.4" customHeight="1" s="405">
      <c r="A16" s="33" t="n">
        <v>13</v>
      </c>
      <c r="B16" s="35" t="n">
        <v>46216</v>
      </c>
      <c r="C16" s="300" t="n">
        <v>4000000</v>
      </c>
      <c r="D16" s="370">
        <f>'ĐQ Anh CT'!P8</f>
        <v/>
      </c>
      <c r="E16" s="330" t="n">
        <v>2</v>
      </c>
      <c r="F16" s="313" t="n">
        <v>9380000</v>
      </c>
      <c r="G16" s="50">
        <f>IFERROR(D16/F16,0)</f>
        <v/>
      </c>
      <c r="H16" s="372" t="n"/>
      <c r="I16" s="373" t="n"/>
    </row>
    <row r="17" ht="14.4" customHeight="1" s="405">
      <c r="A17" s="52" t="n">
        <v>14</v>
      </c>
      <c r="B17" s="54" t="n">
        <v>46217</v>
      </c>
      <c r="C17" s="300" t="n">
        <v>4000000</v>
      </c>
      <c r="D17" s="371">
        <f>'ĐQ Anh CT'!Q8</f>
        <v/>
      </c>
      <c r="E17" s="332" t="n">
        <v>1</v>
      </c>
      <c r="F17" s="311" t="n">
        <v>3830000</v>
      </c>
      <c r="G17" s="50">
        <f>IFERROR(D17/F17,0)</f>
        <v/>
      </c>
      <c r="H17" s="372" t="n"/>
      <c r="I17" s="373" t="n"/>
    </row>
    <row r="18" ht="14.4" customHeight="1" s="405">
      <c r="A18" s="33" t="n">
        <v>15</v>
      </c>
      <c r="B18" s="35" t="n">
        <v>46218</v>
      </c>
      <c r="C18" s="300" t="n">
        <v>4000000</v>
      </c>
      <c r="D18" s="370">
        <f>'ĐQ Anh CT'!R8</f>
        <v/>
      </c>
      <c r="E18" s="330" t="n">
        <v>2</v>
      </c>
      <c r="F18" s="313" t="n">
        <v>6810000</v>
      </c>
      <c r="G18" s="50">
        <f>IFERROR(D18/F18,0)</f>
        <v/>
      </c>
      <c r="H18" s="372" t="n"/>
      <c r="I18" s="373" t="n"/>
    </row>
    <row r="19" ht="14.4" customHeight="1" s="405">
      <c r="A19" s="52" t="n">
        <v>16</v>
      </c>
      <c r="B19" s="54" t="n">
        <v>46219</v>
      </c>
      <c r="C19" s="300" t="n">
        <v>4000000</v>
      </c>
      <c r="D19" s="371">
        <f>'ĐQ Anh CT'!S8</f>
        <v/>
      </c>
      <c r="E19" s="332" t="n"/>
      <c r="F19" s="311" t="n"/>
      <c r="G19" s="62">
        <f>IFERROR(D19/F19,0)</f>
        <v/>
      </c>
      <c r="H19" s="372" t="n"/>
      <c r="I19" s="373" t="n"/>
    </row>
    <row r="20" ht="14.4" customHeight="1" s="405">
      <c r="A20" s="33" t="n">
        <v>17</v>
      </c>
      <c r="B20" s="35" t="n">
        <v>46220</v>
      </c>
      <c r="C20" s="300" t="n">
        <v>4000000</v>
      </c>
      <c r="D20" s="80">
        <f>'ĐQ Anh CT'!T8</f>
        <v/>
      </c>
      <c r="E20" s="330" t="n">
        <v>2</v>
      </c>
      <c r="F20" s="313" t="n">
        <v>5680000</v>
      </c>
      <c r="G20" s="50">
        <f>IFERROR(#REF!/F20,0)</f>
        <v/>
      </c>
      <c r="H20" s="372" t="n"/>
      <c r="I20" s="373" t="n"/>
    </row>
    <row r="21" ht="14.4" customHeight="1" s="405">
      <c r="A21" s="52" t="n">
        <v>18</v>
      </c>
      <c r="B21" s="54" t="n">
        <v>46221</v>
      </c>
      <c r="C21" s="300" t="n">
        <v>4000000</v>
      </c>
      <c r="D21" s="371">
        <f>'ĐQ Anh CT'!U8</f>
        <v/>
      </c>
      <c r="E21" s="332" t="n">
        <v>3</v>
      </c>
      <c r="F21" s="311" t="n">
        <v>7660000</v>
      </c>
      <c r="G21" s="50">
        <f>IFERROR(D21/F21,0)</f>
        <v/>
      </c>
      <c r="H21" s="372" t="n"/>
      <c r="I21" s="376" t="n"/>
    </row>
    <row r="22" ht="14.4" customHeight="1" s="405">
      <c r="A22" s="33" t="n">
        <v>19</v>
      </c>
      <c r="B22" s="35" t="n">
        <v>46222</v>
      </c>
      <c r="C22" s="300" t="n">
        <v>4000000</v>
      </c>
      <c r="D22" s="370">
        <f>'ĐQ Anh CT'!V8</f>
        <v/>
      </c>
      <c r="E22" s="330" t="n"/>
      <c r="F22" s="313" t="n">
        <v>2910000</v>
      </c>
      <c r="G22" s="50">
        <f>IFERROR(D22/F22,0)</f>
        <v/>
      </c>
      <c r="H22" s="372" t="n"/>
      <c r="I22" s="376" t="n"/>
    </row>
    <row r="23" ht="14.4" customHeight="1" s="405">
      <c r="A23" s="52" t="n">
        <v>20</v>
      </c>
      <c r="B23" s="54" t="n">
        <v>46223</v>
      </c>
      <c r="C23" s="300" t="n">
        <v>4000000</v>
      </c>
      <c r="D23" s="371">
        <f>'ĐQ Anh CT'!W8</f>
        <v/>
      </c>
      <c r="E23" s="332" t="n">
        <v>2</v>
      </c>
      <c r="F23" s="313" t="n">
        <v>6390000</v>
      </c>
      <c r="G23" s="50">
        <f>IFERROR(D23/#REF!,0)</f>
        <v/>
      </c>
      <c r="H23" s="372" t="n"/>
      <c r="I23" s="376" t="n"/>
    </row>
    <row r="24" ht="14.4" customHeight="1" s="405">
      <c r="A24" s="33" t="n">
        <v>21</v>
      </c>
      <c r="B24" s="35" t="n">
        <v>46224</v>
      </c>
      <c r="C24" s="300" t="n">
        <v>4000000</v>
      </c>
      <c r="D24" s="370">
        <f>'ĐQ Anh CT'!X8</f>
        <v/>
      </c>
      <c r="E24" s="337" t="n">
        <v>2</v>
      </c>
      <c r="F24" s="313" t="n">
        <v>5880000</v>
      </c>
      <c r="G24" s="50">
        <f>IFERROR(D24/F23,0)</f>
        <v/>
      </c>
      <c r="H24" s="372" t="n"/>
      <c r="I24" s="373" t="n"/>
    </row>
    <row r="25" ht="14.4" customHeight="1" s="405">
      <c r="A25" s="52" t="n">
        <v>22</v>
      </c>
      <c r="B25" s="54" t="n">
        <v>46225</v>
      </c>
      <c r="C25" s="300" t="n">
        <v>4000000</v>
      </c>
      <c r="D25" s="371">
        <f>'ĐQ Anh CT'!Y8</f>
        <v/>
      </c>
      <c r="E25" s="332" t="n">
        <v>1</v>
      </c>
      <c r="F25" s="311" t="n">
        <v>2420000</v>
      </c>
      <c r="G25" s="50">
        <f>IFERROR(D25/F25,0)</f>
        <v/>
      </c>
      <c r="H25" s="372" t="n"/>
      <c r="I25" s="376" t="n"/>
    </row>
    <row r="26" ht="14.4" customHeight="1" s="405">
      <c r="A26" s="33" t="n">
        <v>23</v>
      </c>
      <c r="B26" s="35" t="n">
        <v>46226</v>
      </c>
      <c r="C26" s="300" t="n"/>
      <c r="D26" s="370">
        <f>'ĐQ Anh CT'!Z8</f>
        <v/>
      </c>
      <c r="E26" s="330" t="n">
        <v>3</v>
      </c>
      <c r="F26" s="311" t="n">
        <v>9500000</v>
      </c>
      <c r="G26" s="62">
        <f>IFERROR(D26/F26,0)</f>
        <v/>
      </c>
      <c r="H26" s="372" t="n"/>
      <c r="I26" s="376" t="n"/>
    </row>
    <row r="27" ht="14.4" customHeight="1" s="405">
      <c r="A27" s="52" t="n">
        <v>24</v>
      </c>
      <c r="B27" s="54" t="n">
        <v>46227</v>
      </c>
      <c r="C27" s="307" t="n"/>
      <c r="D27" s="371">
        <f>'ĐQ Anh CT'!AA8</f>
        <v/>
      </c>
      <c r="E27" s="332" t="n"/>
      <c r="F27" s="311" t="n"/>
      <c r="G27" s="50">
        <f>IFERROR(D27/F27,0)</f>
        <v/>
      </c>
      <c r="H27" s="372" t="n"/>
      <c r="I27" s="376" t="n"/>
    </row>
    <row r="28" ht="14.4" customHeight="1" s="405">
      <c r="A28" s="33" t="n">
        <v>25</v>
      </c>
      <c r="B28" s="35" t="n">
        <v>46228</v>
      </c>
      <c r="C28" s="300" t="n"/>
      <c r="D28" s="370">
        <f>'ĐQ Anh CT'!AB8</f>
        <v/>
      </c>
      <c r="E28" s="330" t="n"/>
      <c r="F28" s="311" t="n">
        <v>7250000</v>
      </c>
      <c r="G28" s="50">
        <f>IFERROR(D28/F28,0)</f>
        <v/>
      </c>
      <c r="H28" s="372" t="n"/>
      <c r="I28" s="376" t="n"/>
    </row>
    <row r="29" ht="14.4" customHeight="1" s="405">
      <c r="A29" s="52" t="n">
        <v>26</v>
      </c>
      <c r="B29" s="54" t="n">
        <v>46229</v>
      </c>
      <c r="C29" s="307" t="n"/>
      <c r="D29" s="371">
        <f>'ĐQ Anh CT'!AC8</f>
        <v/>
      </c>
      <c r="E29" s="332" t="n"/>
      <c r="F29" s="311" t="n">
        <v>3330000</v>
      </c>
      <c r="G29" s="62">
        <f>IFERROR(D29/F29,0)</f>
        <v/>
      </c>
      <c r="H29" s="372" t="n"/>
      <c r="I29" s="376" t="n"/>
    </row>
    <row r="30" ht="14.4" customHeight="1" s="405">
      <c r="A30" s="33" t="n">
        <v>27</v>
      </c>
      <c r="B30" s="35" t="n">
        <v>46230</v>
      </c>
      <c r="C30" s="300" t="n"/>
      <c r="D30" s="371" t="n"/>
      <c r="E30" s="330" t="n"/>
      <c r="F30" s="311" t="n"/>
      <c r="G30" s="50">
        <f>IFERROR(D30/F30,0)</f>
        <v/>
      </c>
      <c r="H30" s="372" t="n"/>
      <c r="I30" s="376" t="n"/>
    </row>
    <row r="31" ht="14.4" customHeight="1" s="405">
      <c r="A31" s="52" t="n">
        <v>28</v>
      </c>
      <c r="B31" s="54" t="n">
        <v>46231</v>
      </c>
      <c r="C31" s="307" t="n"/>
      <c r="D31" s="371">
        <f>'ĐQ Anh CT'!AE8</f>
        <v/>
      </c>
      <c r="E31" s="332" t="n"/>
      <c r="F31" s="311" t="n"/>
      <c r="G31" s="62">
        <f>IFERROR(D31/F31,0)</f>
        <v/>
      </c>
      <c r="H31" s="372" t="n"/>
      <c r="I31" s="376" t="n"/>
    </row>
    <row r="32" ht="14.4" customHeight="1" s="405">
      <c r="A32" s="33" t="n">
        <v>29</v>
      </c>
      <c r="B32" s="35" t="n">
        <v>46232</v>
      </c>
      <c r="C32" s="300" t="n"/>
      <c r="D32" s="370">
        <f>'ĐQ Anh CT'!AF8</f>
        <v/>
      </c>
      <c r="E32" s="330" t="n"/>
      <c r="F32" s="313" t="n">
        <v>7395000</v>
      </c>
      <c r="G32" s="50">
        <f>IFERROR(D32/F32,0)</f>
        <v/>
      </c>
      <c r="H32" s="372" t="n"/>
      <c r="I32" s="376" t="n"/>
    </row>
    <row r="33" ht="14.4" customHeight="1" s="405">
      <c r="A33" s="52" t="n">
        <v>30</v>
      </c>
      <c r="B33" s="54" t="n">
        <v>46233</v>
      </c>
      <c r="C33" s="307" t="n"/>
      <c r="D33" s="371">
        <f>'ĐQ Anh CT'!AG8</f>
        <v/>
      </c>
      <c r="E33" s="332" t="n"/>
      <c r="F33" s="311" t="n">
        <v>3330000</v>
      </c>
      <c r="G33" s="62">
        <f>IFERROR(D33/F33,0)</f>
        <v/>
      </c>
      <c r="H33" s="372" t="n"/>
      <c r="I33" s="376" t="n"/>
    </row>
    <row r="34" ht="14.4" customHeight="1" s="405">
      <c r="A34" s="33" t="n">
        <v>31</v>
      </c>
      <c r="B34" s="35" t="n">
        <v>46234</v>
      </c>
      <c r="C34" s="300" t="n"/>
      <c r="D34" s="370">
        <f>'ĐQ Anh CT'!AH8</f>
        <v/>
      </c>
      <c r="E34" s="330" t="n"/>
      <c r="F34" s="313" t="n">
        <v>3545000</v>
      </c>
      <c r="G34" s="50">
        <f>IFERROR(D34/F34,0)</f>
        <v/>
      </c>
      <c r="H34" s="372" t="n"/>
      <c r="I34" s="376" t="n"/>
    </row>
    <row r="35" ht="14.4" customHeight="1" s="405">
      <c r="A35" s="325" t="n"/>
      <c r="B35" s="54" t="n"/>
      <c r="C35" s="116" t="n"/>
      <c r="D35" s="307" t="n"/>
      <c r="E35" s="325" t="n"/>
      <c r="F35" s="311" t="n"/>
      <c r="G35" s="265" t="n"/>
    </row>
    <row r="36" ht="13.2" customHeight="1" s="405">
      <c r="B36" s="117" t="n"/>
    </row>
    <row r="37" ht="13.2" customHeight="1" s="405">
      <c r="B37" s="117" t="n"/>
    </row>
    <row r="38" ht="13.2" customHeight="1" s="405">
      <c r="B38" s="117" t="n"/>
    </row>
    <row r="39" ht="13.2" customHeight="1" s="405">
      <c r="B39" s="117" t="n"/>
    </row>
    <row r="40" ht="13.2" customHeight="1" s="405">
      <c r="B40" s="117" t="n"/>
    </row>
    <row r="41" ht="13.2" customHeight="1" s="405">
      <c r="B41" s="117" t="n"/>
    </row>
    <row r="42" ht="13.2" customHeight="1" s="405">
      <c r="B42" s="117" t="n"/>
    </row>
    <row r="43" ht="13.2" customHeight="1" s="405">
      <c r="B43" s="117" t="n"/>
    </row>
    <row r="44" ht="13.2" customHeight="1" s="405">
      <c r="B44" s="117" t="n"/>
    </row>
    <row r="45" ht="13.2" customHeight="1" s="405">
      <c r="B45" s="117" t="n"/>
    </row>
    <row r="46" ht="13.2" customHeight="1" s="405">
      <c r="B46" s="117" t="n"/>
    </row>
    <row r="47" ht="13.2" customHeight="1" s="405">
      <c r="B47" s="117" t="n"/>
    </row>
    <row r="48" ht="13.2" customHeight="1" s="405">
      <c r="B48" s="117" t="n"/>
    </row>
    <row r="49" ht="13.2" customHeight="1" s="405">
      <c r="B49" s="117" t="n"/>
    </row>
    <row r="50" ht="13.2" customHeight="1" s="405">
      <c r="B50" s="117" t="n"/>
    </row>
    <row r="51" ht="13.2" customHeight="1" s="405">
      <c r="B51" s="117" t="n"/>
    </row>
    <row r="52" ht="13.2" customHeight="1" s="405">
      <c r="B52" s="117" t="n"/>
    </row>
    <row r="53" ht="13.2" customHeight="1" s="405">
      <c r="B53" s="117" t="n"/>
    </row>
    <row r="54" ht="13.2" customHeight="1" s="405">
      <c r="B54" s="117" t="n"/>
    </row>
    <row r="55" ht="13.2" customHeight="1" s="405">
      <c r="B55" s="117" t="n"/>
    </row>
    <row r="56" ht="13.2" customHeight="1" s="405">
      <c r="B56" s="117" t="n"/>
    </row>
    <row r="57" ht="13.2" customHeight="1" s="405">
      <c r="B57" s="117" t="n"/>
    </row>
    <row r="58" ht="13.2" customHeight="1" s="405">
      <c r="B58" s="117" t="n"/>
    </row>
    <row r="59" ht="13.2" customHeight="1" s="405">
      <c r="B59" s="117" t="n"/>
    </row>
    <row r="60" ht="13.2" customHeight="1" s="405">
      <c r="B60" s="117" t="n"/>
    </row>
    <row r="61" ht="13.2" customHeight="1" s="405">
      <c r="B61" s="117" t="n"/>
    </row>
    <row r="62" ht="13.2" customHeight="1" s="405">
      <c r="B62" s="117" t="n"/>
    </row>
    <row r="63" ht="13.2" customHeight="1" s="405">
      <c r="B63" s="117" t="n"/>
    </row>
    <row r="64" ht="13.2" customHeight="1" s="405">
      <c r="B64" s="117" t="n"/>
    </row>
    <row r="65" ht="13.2" customHeight="1" s="405">
      <c r="B65" s="117" t="n"/>
    </row>
    <row r="66" ht="13.2" customHeight="1" s="405">
      <c r="B66" s="117" t="n"/>
    </row>
    <row r="67" ht="13.2" customHeight="1" s="405">
      <c r="B67" s="117" t="n"/>
    </row>
    <row r="68" ht="13.2" customHeight="1" s="405">
      <c r="B68" s="117" t="n"/>
    </row>
    <row r="69" ht="13.2" customHeight="1" s="405">
      <c r="B69" s="117" t="n"/>
    </row>
    <row r="70" ht="13.2" customHeight="1" s="405">
      <c r="B70" s="117" t="n"/>
    </row>
    <row r="71" ht="13.2" customHeight="1" s="405">
      <c r="B71" s="117" t="n"/>
    </row>
    <row r="72" ht="13.2" customHeight="1" s="405">
      <c r="B72" s="117" t="n"/>
    </row>
    <row r="73" ht="13.2" customHeight="1" s="405">
      <c r="B73" s="117" t="n"/>
    </row>
    <row r="74" ht="13.2" customHeight="1" s="405">
      <c r="B74" s="117" t="n"/>
    </row>
    <row r="75" ht="13.2" customHeight="1" s="405">
      <c r="B75" s="117" t="n"/>
    </row>
    <row r="76" ht="13.2" customHeight="1" s="405">
      <c r="B76" s="117" t="n"/>
    </row>
    <row r="77" ht="13.2" customHeight="1" s="405">
      <c r="B77" s="117" t="n"/>
    </row>
    <row r="78" ht="13.2" customHeight="1" s="405">
      <c r="B78" s="117" t="n"/>
    </row>
    <row r="79" ht="13.2" customHeight="1" s="405">
      <c r="B79" s="117" t="n"/>
    </row>
    <row r="80" ht="13.2" customHeight="1" s="405">
      <c r="B80" s="117" t="n"/>
    </row>
    <row r="81" ht="13.2" customHeight="1" s="405">
      <c r="B81" s="117" t="n"/>
    </row>
    <row r="82" ht="13.2" customHeight="1" s="405">
      <c r="B82" s="117" t="n"/>
    </row>
    <row r="83" ht="13.2" customHeight="1" s="405">
      <c r="B83" s="117" t="n"/>
    </row>
    <row r="84" ht="13.2" customHeight="1" s="405">
      <c r="B84" s="117" t="n"/>
    </row>
    <row r="85" ht="13.2" customHeight="1" s="405">
      <c r="B85" s="117" t="n"/>
    </row>
    <row r="86" ht="13.2" customHeight="1" s="405">
      <c r="B86" s="117" t="n"/>
    </row>
    <row r="87" ht="13.2" customHeight="1" s="405">
      <c r="B87" s="117" t="n"/>
    </row>
    <row r="88" ht="13.2" customHeight="1" s="405">
      <c r="B88" s="117" t="n"/>
    </row>
    <row r="89" ht="13.2" customHeight="1" s="405">
      <c r="B89" s="117" t="n"/>
    </row>
    <row r="90" ht="13.2" customHeight="1" s="405">
      <c r="B90" s="117" t="n"/>
    </row>
    <row r="91" ht="13.2" customHeight="1" s="405">
      <c r="B91" s="117" t="n"/>
    </row>
    <row r="92" ht="13.2" customHeight="1" s="405">
      <c r="B92" s="117" t="n"/>
    </row>
    <row r="93" ht="13.2" customHeight="1" s="405">
      <c r="B93" s="117" t="n"/>
    </row>
    <row r="94" ht="13.2" customHeight="1" s="405">
      <c r="B94" s="117" t="n"/>
    </row>
    <row r="95" ht="13.2" customHeight="1" s="405">
      <c r="B95" s="117" t="n"/>
    </row>
    <row r="96" ht="13.2" customHeight="1" s="405">
      <c r="B96" s="117" t="n"/>
    </row>
    <row r="97" ht="13.2" customHeight="1" s="405">
      <c r="B97" s="117" t="n"/>
    </row>
    <row r="98" ht="13.2" customHeight="1" s="405">
      <c r="B98" s="117" t="n"/>
    </row>
    <row r="99" ht="13.2" customHeight="1" s="405">
      <c r="B99" s="117" t="n"/>
    </row>
    <row r="100" ht="13.2" customHeight="1" s="405">
      <c r="B100" s="117" t="n"/>
    </row>
    <row r="101" ht="13.2" customHeight="1" s="405">
      <c r="B101" s="117" t="n"/>
    </row>
    <row r="102" ht="13.2" customHeight="1" s="405">
      <c r="B102" s="117" t="n"/>
    </row>
    <row r="103" ht="13.2" customHeight="1" s="405">
      <c r="B103" s="117" t="n"/>
    </row>
    <row r="104" ht="13.2" customHeight="1" s="405">
      <c r="B104" s="117" t="n"/>
    </row>
    <row r="105" ht="13.2" customHeight="1" s="405">
      <c r="B105" s="117" t="n"/>
    </row>
    <row r="106" ht="13.2" customHeight="1" s="405">
      <c r="B106" s="117" t="n"/>
    </row>
    <row r="107" ht="13.2" customHeight="1" s="405">
      <c r="B107" s="117" t="n"/>
    </row>
    <row r="108" ht="13.2" customHeight="1" s="405">
      <c r="B108" s="117" t="n"/>
    </row>
    <row r="109" ht="13.2" customHeight="1" s="405">
      <c r="B109" s="117" t="n"/>
    </row>
    <row r="110" ht="13.2" customHeight="1" s="405">
      <c r="B110" s="117" t="n"/>
    </row>
    <row r="111" ht="13.2" customHeight="1" s="405">
      <c r="B111" s="117" t="n"/>
    </row>
    <row r="112" ht="13.2" customHeight="1" s="405">
      <c r="B112" s="117" t="n"/>
    </row>
    <row r="113" ht="13.2" customHeight="1" s="405">
      <c r="B113" s="117" t="n"/>
    </row>
    <row r="114" ht="13.2" customHeight="1" s="405">
      <c r="B114" s="117" t="n"/>
    </row>
    <row r="115" ht="13.2" customHeight="1" s="405">
      <c r="B115" s="117" t="n"/>
    </row>
    <row r="116" ht="13.2" customHeight="1" s="405">
      <c r="B116" s="117" t="n"/>
    </row>
    <row r="117" ht="13.2" customHeight="1" s="405">
      <c r="B117" s="117" t="n"/>
    </row>
    <row r="118" ht="13.2" customHeight="1" s="405">
      <c r="B118" s="117" t="n"/>
    </row>
    <row r="119" ht="13.2" customHeight="1" s="405">
      <c r="B119" s="117" t="n"/>
    </row>
    <row r="120" ht="13.2" customHeight="1" s="405">
      <c r="B120" s="117" t="n"/>
    </row>
    <row r="121" ht="13.2" customHeight="1" s="405">
      <c r="B121" s="117" t="n"/>
    </row>
    <row r="122" ht="13.2" customHeight="1" s="405">
      <c r="B122" s="117" t="n"/>
    </row>
    <row r="123" ht="13.2" customHeight="1" s="405">
      <c r="B123" s="117" t="n"/>
    </row>
    <row r="124" ht="13.2" customHeight="1" s="405">
      <c r="B124" s="117" t="n"/>
    </row>
    <row r="125" ht="13.2" customHeight="1" s="405">
      <c r="B125" s="117" t="n"/>
    </row>
    <row r="126" ht="13.2" customHeight="1" s="405">
      <c r="B126" s="117" t="n"/>
    </row>
    <row r="127" ht="13.2" customHeight="1" s="405">
      <c r="B127" s="117" t="n"/>
    </row>
    <row r="128" ht="13.2" customHeight="1" s="405">
      <c r="B128" s="117" t="n"/>
    </row>
    <row r="129" ht="13.2" customHeight="1" s="405">
      <c r="B129" s="117" t="n"/>
    </row>
    <row r="130" ht="13.2" customHeight="1" s="405">
      <c r="B130" s="117" t="n"/>
    </row>
    <row r="131" ht="13.2" customHeight="1" s="405">
      <c r="B131" s="117" t="n"/>
    </row>
    <row r="132" ht="13.2" customHeight="1" s="405">
      <c r="B132" s="117" t="n"/>
    </row>
    <row r="133" ht="13.2" customHeight="1" s="405">
      <c r="B133" s="117" t="n"/>
    </row>
    <row r="134" ht="13.2" customHeight="1" s="405">
      <c r="B134" s="117" t="n"/>
    </row>
    <row r="135" ht="13.2" customHeight="1" s="405">
      <c r="B135" s="117" t="n"/>
    </row>
    <row r="136" ht="13.2" customHeight="1" s="405">
      <c r="B136" s="117" t="n"/>
    </row>
    <row r="137" ht="13.2" customHeight="1" s="405">
      <c r="B137" s="117" t="n"/>
    </row>
    <row r="138" ht="13.2" customHeight="1" s="405">
      <c r="B138" s="117" t="n"/>
    </row>
    <row r="139" ht="13.2" customHeight="1" s="405">
      <c r="B139" s="117" t="n"/>
    </row>
    <row r="140" ht="13.2" customHeight="1" s="405">
      <c r="B140" s="117" t="n"/>
    </row>
    <row r="141" ht="13.2" customHeight="1" s="405">
      <c r="B141" s="117" t="n"/>
    </row>
    <row r="142" ht="13.2" customHeight="1" s="405">
      <c r="B142" s="117" t="n"/>
    </row>
    <row r="143" ht="13.2" customHeight="1" s="405">
      <c r="B143" s="117" t="n"/>
    </row>
    <row r="144" ht="13.2" customHeight="1" s="405">
      <c r="B144" s="117" t="n"/>
    </row>
    <row r="145" ht="13.2" customHeight="1" s="405">
      <c r="B145" s="117" t="n"/>
    </row>
    <row r="146" ht="13.2" customHeight="1" s="405">
      <c r="B146" s="117" t="n"/>
    </row>
    <row r="147" ht="13.2" customHeight="1" s="405">
      <c r="B147" s="117" t="n"/>
    </row>
    <row r="148" ht="13.2" customHeight="1" s="405">
      <c r="B148" s="117" t="n"/>
    </row>
    <row r="149" ht="13.2" customHeight="1" s="405">
      <c r="B149" s="117" t="n"/>
    </row>
    <row r="150" ht="13.2" customHeight="1" s="405">
      <c r="B150" s="117" t="n"/>
    </row>
    <row r="151" ht="13.2" customHeight="1" s="405">
      <c r="B151" s="117" t="n"/>
    </row>
    <row r="152" ht="13.2" customHeight="1" s="405">
      <c r="B152" s="117" t="n"/>
    </row>
    <row r="153" ht="13.2" customHeight="1" s="405">
      <c r="B153" s="117" t="n"/>
    </row>
    <row r="154" ht="13.2" customHeight="1" s="405">
      <c r="B154" s="117" t="n"/>
    </row>
    <row r="155" ht="13.2" customHeight="1" s="405">
      <c r="B155" s="117" t="n"/>
    </row>
    <row r="156" ht="13.2" customHeight="1" s="405">
      <c r="B156" s="117" t="n"/>
    </row>
    <row r="157" ht="13.2" customHeight="1" s="405">
      <c r="B157" s="117" t="n"/>
    </row>
    <row r="158" ht="13.2" customHeight="1" s="405">
      <c r="B158" s="117" t="n"/>
    </row>
    <row r="159" ht="13.2" customHeight="1" s="405">
      <c r="B159" s="117" t="n"/>
    </row>
    <row r="160" ht="13.2" customHeight="1" s="405">
      <c r="B160" s="117" t="n"/>
    </row>
    <row r="161" ht="13.2" customHeight="1" s="405">
      <c r="B161" s="117" t="n"/>
    </row>
    <row r="162" ht="13.2" customHeight="1" s="405">
      <c r="B162" s="117" t="n"/>
    </row>
    <row r="163" ht="13.2" customHeight="1" s="405">
      <c r="B163" s="117" t="n"/>
    </row>
    <row r="164" ht="13.2" customHeight="1" s="405">
      <c r="B164" s="117" t="n"/>
    </row>
    <row r="165" ht="13.2" customHeight="1" s="405">
      <c r="B165" s="117" t="n"/>
    </row>
    <row r="166" ht="13.2" customHeight="1" s="405">
      <c r="B166" s="117" t="n"/>
    </row>
    <row r="167" ht="13.2" customHeight="1" s="405">
      <c r="B167" s="117" t="n"/>
    </row>
    <row r="168" ht="13.2" customHeight="1" s="405">
      <c r="B168" s="117" t="n"/>
    </row>
    <row r="169" ht="13.2" customHeight="1" s="405">
      <c r="B169" s="117" t="n"/>
    </row>
    <row r="170" ht="13.2" customHeight="1" s="405">
      <c r="B170" s="117" t="n"/>
    </row>
    <row r="171" ht="13.2" customHeight="1" s="405">
      <c r="B171" s="117" t="n"/>
    </row>
    <row r="172" ht="13.2" customHeight="1" s="405">
      <c r="B172" s="117" t="n"/>
    </row>
    <row r="173" ht="13.2" customHeight="1" s="405">
      <c r="B173" s="117" t="n"/>
    </row>
    <row r="174" ht="13.2" customHeight="1" s="405">
      <c r="B174" s="117" t="n"/>
    </row>
    <row r="175" ht="13.2" customHeight="1" s="405">
      <c r="B175" s="117" t="n"/>
    </row>
    <row r="176" ht="13.2" customHeight="1" s="405">
      <c r="B176" s="117" t="n"/>
    </row>
    <row r="177" ht="13.2" customHeight="1" s="405">
      <c r="B177" s="117" t="n"/>
    </row>
    <row r="178" ht="13.2" customHeight="1" s="405">
      <c r="B178" s="117" t="n"/>
    </row>
    <row r="179" ht="13.2" customHeight="1" s="405">
      <c r="B179" s="117" t="n"/>
    </row>
    <row r="180" ht="13.2" customHeight="1" s="405">
      <c r="B180" s="117" t="n"/>
    </row>
    <row r="181" ht="13.2" customHeight="1" s="405">
      <c r="B181" s="117" t="n"/>
    </row>
    <row r="182" ht="13.2" customHeight="1" s="405">
      <c r="B182" s="117" t="n"/>
    </row>
    <row r="183" ht="13.2" customHeight="1" s="405">
      <c r="B183" s="117" t="n"/>
    </row>
    <row r="184" ht="13.2" customHeight="1" s="405">
      <c r="B184" s="117" t="n"/>
    </row>
    <row r="185" ht="13.2" customHeight="1" s="405">
      <c r="B185" s="117" t="n"/>
    </row>
    <row r="186" ht="13.2" customHeight="1" s="405">
      <c r="B186" s="117" t="n"/>
    </row>
    <row r="187" ht="13.2" customHeight="1" s="405">
      <c r="B187" s="117" t="n"/>
    </row>
    <row r="188" ht="13.2" customHeight="1" s="405">
      <c r="B188" s="117" t="n"/>
    </row>
    <row r="189" ht="13.2" customHeight="1" s="405">
      <c r="B189" s="117" t="n"/>
    </row>
    <row r="190" ht="13.2" customHeight="1" s="405">
      <c r="B190" s="117" t="n"/>
    </row>
    <row r="191" ht="13.2" customHeight="1" s="405">
      <c r="B191" s="117" t="n"/>
    </row>
    <row r="192" ht="13.2" customHeight="1" s="405">
      <c r="B192" s="117" t="n"/>
    </row>
    <row r="193" ht="13.2" customHeight="1" s="405">
      <c r="B193" s="117" t="n"/>
    </row>
    <row r="194" ht="13.2" customHeight="1" s="405">
      <c r="B194" s="117" t="n"/>
    </row>
    <row r="195" ht="13.2" customHeight="1" s="405">
      <c r="B195" s="117" t="n"/>
    </row>
    <row r="196" ht="13.2" customHeight="1" s="405">
      <c r="B196" s="117" t="n"/>
    </row>
    <row r="197" ht="13.2" customHeight="1" s="405">
      <c r="B197" s="117" t="n"/>
    </row>
    <row r="198" ht="13.2" customHeight="1" s="405">
      <c r="B198" s="117" t="n"/>
    </row>
    <row r="199" ht="13.2" customHeight="1" s="405">
      <c r="B199" s="117" t="n"/>
    </row>
    <row r="200" ht="13.2" customHeight="1" s="405">
      <c r="B200" s="117" t="n"/>
    </row>
    <row r="201" ht="13.2" customHeight="1" s="405">
      <c r="B201" s="117" t="n"/>
    </row>
    <row r="202" ht="13.2" customHeight="1" s="405">
      <c r="B202" s="117" t="n"/>
    </row>
    <row r="203" ht="13.2" customHeight="1" s="405">
      <c r="B203" s="117" t="n"/>
    </row>
    <row r="204" ht="13.2" customHeight="1" s="405">
      <c r="B204" s="117" t="n"/>
    </row>
    <row r="205" ht="13.2" customHeight="1" s="405">
      <c r="B205" s="117" t="n"/>
    </row>
    <row r="206" ht="13.2" customHeight="1" s="405">
      <c r="B206" s="117" t="n"/>
    </row>
    <row r="207" ht="13.2" customHeight="1" s="405">
      <c r="B207" s="117" t="n"/>
    </row>
    <row r="208" ht="13.2" customHeight="1" s="405">
      <c r="B208" s="117" t="n"/>
    </row>
    <row r="209" ht="13.2" customHeight="1" s="405">
      <c r="B209" s="117" t="n"/>
    </row>
    <row r="210" ht="13.2" customHeight="1" s="405">
      <c r="B210" s="117" t="n"/>
    </row>
    <row r="211" ht="13.2" customHeight="1" s="405">
      <c r="B211" s="117" t="n"/>
    </row>
    <row r="212" ht="13.2" customHeight="1" s="405">
      <c r="B212" s="117" t="n"/>
    </row>
    <row r="213" ht="13.2" customHeight="1" s="405">
      <c r="B213" s="117" t="n"/>
    </row>
    <row r="214" ht="13.2" customHeight="1" s="405">
      <c r="B214" s="117" t="n"/>
    </row>
    <row r="215" ht="13.2" customHeight="1" s="405">
      <c r="B215" s="117" t="n"/>
    </row>
    <row r="216" ht="13.2" customHeight="1" s="405">
      <c r="B216" s="117" t="n"/>
    </row>
    <row r="217" ht="13.2" customHeight="1" s="405">
      <c r="B217" s="117" t="n"/>
    </row>
    <row r="218" ht="13.2" customHeight="1" s="405">
      <c r="B218" s="117" t="n"/>
    </row>
    <row r="219" ht="13.2" customHeight="1" s="405">
      <c r="B219" s="117" t="n"/>
    </row>
    <row r="220" ht="13.2" customHeight="1" s="405">
      <c r="B220" s="117" t="n"/>
    </row>
    <row r="221" ht="13.2" customHeight="1" s="405">
      <c r="B221" s="117" t="n"/>
    </row>
    <row r="222" ht="13.2" customHeight="1" s="405">
      <c r="B222" s="117" t="n"/>
    </row>
    <row r="223" ht="13.2" customHeight="1" s="405">
      <c r="B223" s="117" t="n"/>
    </row>
    <row r="224" ht="13.2" customHeight="1" s="405">
      <c r="B224" s="117" t="n"/>
    </row>
    <row r="225" ht="13.2" customHeight="1" s="405">
      <c r="B225" s="117" t="n"/>
    </row>
    <row r="226" ht="13.2" customHeight="1" s="405">
      <c r="B226" s="117" t="n"/>
    </row>
    <row r="227" ht="13.2" customHeight="1" s="405">
      <c r="B227" s="117" t="n"/>
    </row>
    <row r="228" ht="13.2" customHeight="1" s="405">
      <c r="B228" s="117" t="n"/>
    </row>
    <row r="229" ht="13.2" customHeight="1" s="405">
      <c r="B229" s="117" t="n"/>
    </row>
    <row r="230" ht="13.2" customHeight="1" s="405">
      <c r="B230" s="117" t="n"/>
    </row>
    <row r="231" ht="13.2" customHeight="1" s="405">
      <c r="B231" s="117" t="n"/>
    </row>
    <row r="232" ht="13.2" customHeight="1" s="405">
      <c r="B232" s="117" t="n"/>
    </row>
    <row r="233" ht="13.2" customHeight="1" s="405">
      <c r="B233" s="117" t="n"/>
    </row>
    <row r="234" ht="13.2" customHeight="1" s="405">
      <c r="B234" s="117" t="n"/>
    </row>
    <row r="235" ht="13.2" customHeight="1" s="405">
      <c r="B235" s="117" t="n"/>
    </row>
    <row r="236" ht="13.2" customHeight="1" s="405">
      <c r="B236" s="117" t="n"/>
    </row>
    <row r="237" ht="13.2" customHeight="1" s="405">
      <c r="B237" s="117" t="n"/>
    </row>
    <row r="238" ht="13.2" customHeight="1" s="405">
      <c r="B238" s="117" t="n"/>
    </row>
    <row r="239" ht="13.2" customHeight="1" s="405">
      <c r="B239" s="117" t="n"/>
    </row>
    <row r="240" ht="13.2" customHeight="1" s="405">
      <c r="B240" s="117" t="n"/>
    </row>
    <row r="241" ht="13.2" customHeight="1" s="405">
      <c r="B241" s="117" t="n"/>
    </row>
    <row r="242" ht="13.2" customHeight="1" s="405">
      <c r="B242" s="117" t="n"/>
    </row>
    <row r="243" ht="13.2" customHeight="1" s="405">
      <c r="B243" s="117" t="n"/>
    </row>
    <row r="244" ht="13.2" customHeight="1" s="405">
      <c r="B244" s="117" t="n"/>
    </row>
    <row r="245" ht="13.2" customHeight="1" s="405">
      <c r="B245" s="117" t="n"/>
    </row>
    <row r="246" ht="13.2" customHeight="1" s="405">
      <c r="B246" s="117" t="n"/>
    </row>
    <row r="247" ht="13.2" customHeight="1" s="405">
      <c r="B247" s="117" t="n"/>
    </row>
    <row r="248" ht="13.2" customHeight="1" s="405">
      <c r="B248" s="117" t="n"/>
    </row>
    <row r="249" ht="13.2" customHeight="1" s="405">
      <c r="B249" s="117" t="n"/>
    </row>
    <row r="250" ht="13.2" customHeight="1" s="405">
      <c r="B250" s="117" t="n"/>
    </row>
    <row r="251" ht="13.2" customHeight="1" s="405">
      <c r="B251" s="117" t="n"/>
    </row>
    <row r="252" ht="13.2" customHeight="1" s="405">
      <c r="B252" s="117" t="n"/>
    </row>
    <row r="253" ht="13.2" customHeight="1" s="405">
      <c r="B253" s="117" t="n"/>
    </row>
    <row r="254" ht="13.2" customHeight="1" s="405">
      <c r="B254" s="117" t="n"/>
    </row>
    <row r="255" ht="13.2" customHeight="1" s="405">
      <c r="B255" s="117" t="n"/>
    </row>
    <row r="256" ht="13.2" customHeight="1" s="405">
      <c r="B256" s="117" t="n"/>
    </row>
    <row r="257" ht="13.2" customHeight="1" s="405">
      <c r="B257" s="117" t="n"/>
    </row>
    <row r="258" ht="13.2" customHeight="1" s="405">
      <c r="B258" s="117" t="n"/>
    </row>
    <row r="259" ht="13.2" customHeight="1" s="405">
      <c r="B259" s="117" t="n"/>
    </row>
    <row r="260" ht="13.2" customHeight="1" s="405">
      <c r="B260" s="117" t="n"/>
    </row>
    <row r="261" ht="13.2" customHeight="1" s="405">
      <c r="B261" s="117" t="n"/>
    </row>
    <row r="262" ht="13.2" customHeight="1" s="405">
      <c r="B262" s="117" t="n"/>
    </row>
    <row r="263" ht="13.2" customHeight="1" s="405">
      <c r="B263" s="117" t="n"/>
    </row>
    <row r="264" ht="13.2" customHeight="1" s="405">
      <c r="B264" s="117" t="n"/>
    </row>
    <row r="265" ht="13.2" customHeight="1" s="405">
      <c r="B265" s="117" t="n"/>
    </row>
    <row r="266" ht="13.2" customHeight="1" s="405">
      <c r="B266" s="117" t="n"/>
    </row>
    <row r="267" ht="13.2" customHeight="1" s="405">
      <c r="B267" s="117" t="n"/>
    </row>
    <row r="268" ht="13.2" customHeight="1" s="405">
      <c r="B268" s="117" t="n"/>
    </row>
    <row r="269" ht="13.2" customHeight="1" s="405">
      <c r="B269" s="117" t="n"/>
    </row>
    <row r="270" ht="13.2" customHeight="1" s="405">
      <c r="B270" s="117" t="n"/>
    </row>
    <row r="271" ht="13.2" customHeight="1" s="405">
      <c r="B271" s="117" t="n"/>
    </row>
    <row r="272" ht="13.2" customHeight="1" s="405">
      <c r="B272" s="117" t="n"/>
    </row>
    <row r="273" ht="13.2" customHeight="1" s="405">
      <c r="B273" s="117" t="n"/>
    </row>
    <row r="274" ht="13.2" customHeight="1" s="405">
      <c r="B274" s="117" t="n"/>
    </row>
    <row r="275" ht="13.2" customHeight="1" s="405">
      <c r="B275" s="117" t="n"/>
    </row>
    <row r="276" ht="13.2" customHeight="1" s="405">
      <c r="B276" s="117" t="n"/>
    </row>
    <row r="277" ht="13.2" customHeight="1" s="405">
      <c r="B277" s="117" t="n"/>
    </row>
    <row r="278" ht="13.2" customHeight="1" s="405">
      <c r="B278" s="117" t="n"/>
    </row>
    <row r="279" ht="13.2" customHeight="1" s="405">
      <c r="B279" s="117" t="n"/>
    </row>
    <row r="280" ht="13.2" customHeight="1" s="405">
      <c r="B280" s="117" t="n"/>
    </row>
    <row r="281" ht="13.2" customHeight="1" s="405">
      <c r="B281" s="117" t="n"/>
    </row>
    <row r="282" ht="13.2" customHeight="1" s="405">
      <c r="B282" s="117" t="n"/>
    </row>
    <row r="283" ht="13.2" customHeight="1" s="405">
      <c r="B283" s="117" t="n"/>
    </row>
    <row r="284" ht="13.2" customHeight="1" s="405">
      <c r="B284" s="117" t="n"/>
    </row>
    <row r="285" ht="13.2" customHeight="1" s="405">
      <c r="B285" s="117" t="n"/>
    </row>
    <row r="286" ht="13.2" customHeight="1" s="405">
      <c r="B286" s="117" t="n"/>
    </row>
    <row r="287" ht="13.2" customHeight="1" s="405">
      <c r="B287" s="117" t="n"/>
    </row>
    <row r="288" ht="13.2" customHeight="1" s="405">
      <c r="B288" s="117" t="n"/>
    </row>
    <row r="289" ht="13.2" customHeight="1" s="405">
      <c r="B289" s="117" t="n"/>
    </row>
    <row r="290" ht="13.2" customHeight="1" s="405">
      <c r="B290" s="117" t="n"/>
    </row>
    <row r="291" ht="13.2" customHeight="1" s="405">
      <c r="B291" s="117" t="n"/>
    </row>
    <row r="292" ht="13.2" customHeight="1" s="405">
      <c r="B292" s="117" t="n"/>
    </row>
    <row r="293" ht="13.2" customHeight="1" s="405">
      <c r="B293" s="117" t="n"/>
    </row>
    <row r="294" ht="13.2" customHeight="1" s="405">
      <c r="B294" s="117" t="n"/>
    </row>
    <row r="295" ht="13.2" customHeight="1" s="405">
      <c r="B295" s="117" t="n"/>
    </row>
    <row r="296" ht="13.2" customHeight="1" s="405">
      <c r="B296" s="117" t="n"/>
    </row>
    <row r="297" ht="13.2" customHeight="1" s="405">
      <c r="B297" s="117" t="n"/>
    </row>
    <row r="298" ht="13.2" customHeight="1" s="405">
      <c r="B298" s="117" t="n"/>
    </row>
    <row r="299" ht="13.2" customHeight="1" s="405">
      <c r="B299" s="117" t="n"/>
    </row>
    <row r="300" ht="13.2" customHeight="1" s="405">
      <c r="B300" s="117" t="n"/>
    </row>
    <row r="301" ht="13.2" customHeight="1" s="405">
      <c r="B301" s="117" t="n"/>
    </row>
    <row r="302" ht="13.2" customHeight="1" s="405">
      <c r="B302" s="117" t="n"/>
    </row>
    <row r="303" ht="13.2" customHeight="1" s="405">
      <c r="B303" s="117" t="n"/>
    </row>
    <row r="304" ht="13.2" customHeight="1" s="405">
      <c r="B304" s="117" t="n"/>
    </row>
    <row r="305" ht="13.2" customHeight="1" s="405">
      <c r="B305" s="117" t="n"/>
    </row>
    <row r="306" ht="13.2" customHeight="1" s="405">
      <c r="B306" s="117" t="n"/>
    </row>
    <row r="307" ht="13.2" customHeight="1" s="405">
      <c r="B307" s="117" t="n"/>
    </row>
    <row r="308" ht="13.2" customHeight="1" s="405">
      <c r="B308" s="117" t="n"/>
    </row>
    <row r="309" ht="13.2" customHeight="1" s="405">
      <c r="B309" s="117" t="n"/>
    </row>
    <row r="310" ht="13.2" customHeight="1" s="405">
      <c r="B310" s="117" t="n"/>
    </row>
    <row r="311" ht="13.2" customHeight="1" s="405">
      <c r="B311" s="117" t="n"/>
    </row>
    <row r="312" ht="13.2" customHeight="1" s="405">
      <c r="B312" s="117" t="n"/>
    </row>
    <row r="313" ht="13.2" customHeight="1" s="405">
      <c r="B313" s="117" t="n"/>
    </row>
    <row r="314" ht="13.2" customHeight="1" s="405">
      <c r="B314" s="117" t="n"/>
    </row>
    <row r="315" ht="13.2" customHeight="1" s="405">
      <c r="B315" s="117" t="n"/>
    </row>
    <row r="316" ht="13.2" customHeight="1" s="405">
      <c r="B316" s="117" t="n"/>
    </row>
    <row r="317" ht="13.2" customHeight="1" s="405">
      <c r="B317" s="117" t="n"/>
    </row>
    <row r="318" ht="13.2" customHeight="1" s="405">
      <c r="B318" s="117" t="n"/>
    </row>
    <row r="319" ht="13.2" customHeight="1" s="405">
      <c r="B319" s="117" t="n"/>
    </row>
    <row r="320" ht="13.2" customHeight="1" s="405">
      <c r="B320" s="117" t="n"/>
    </row>
    <row r="321" ht="13.2" customHeight="1" s="405">
      <c r="B321" s="117" t="n"/>
    </row>
    <row r="322" ht="13.2" customHeight="1" s="405">
      <c r="B322" s="117" t="n"/>
    </row>
    <row r="323" ht="13.2" customHeight="1" s="405">
      <c r="B323" s="117" t="n"/>
    </row>
    <row r="324" ht="13.2" customHeight="1" s="405">
      <c r="B324" s="117" t="n"/>
    </row>
    <row r="325" ht="13.2" customHeight="1" s="405">
      <c r="B325" s="117" t="n"/>
    </row>
    <row r="326" ht="13.2" customHeight="1" s="405">
      <c r="B326" s="117" t="n"/>
    </row>
    <row r="327" ht="13.2" customHeight="1" s="405">
      <c r="B327" s="117" t="n"/>
    </row>
    <row r="328" ht="13.2" customHeight="1" s="405">
      <c r="B328" s="117" t="n"/>
    </row>
    <row r="329" ht="13.2" customHeight="1" s="405">
      <c r="B329" s="117" t="n"/>
    </row>
    <row r="330" ht="13.2" customHeight="1" s="405">
      <c r="B330" s="117" t="n"/>
    </row>
    <row r="331" ht="13.2" customHeight="1" s="405">
      <c r="B331" s="117" t="n"/>
    </row>
    <row r="332" ht="13.2" customHeight="1" s="405">
      <c r="B332" s="117" t="n"/>
    </row>
    <row r="333" ht="13.2" customHeight="1" s="405">
      <c r="B333" s="117" t="n"/>
    </row>
    <row r="334" ht="13.2" customHeight="1" s="405">
      <c r="B334" s="117" t="n"/>
    </row>
    <row r="335" ht="13.2" customHeight="1" s="405">
      <c r="B335" s="117" t="n"/>
    </row>
    <row r="336" ht="13.2" customHeight="1" s="405">
      <c r="B336" s="117" t="n"/>
    </row>
    <row r="337" ht="13.2" customHeight="1" s="405">
      <c r="B337" s="117" t="n"/>
    </row>
    <row r="338" ht="13.2" customHeight="1" s="405">
      <c r="B338" s="117" t="n"/>
    </row>
    <row r="339" ht="13.2" customHeight="1" s="405">
      <c r="B339" s="117" t="n"/>
    </row>
    <row r="340" ht="13.2" customHeight="1" s="405">
      <c r="B340" s="117" t="n"/>
    </row>
    <row r="341" ht="13.2" customHeight="1" s="405">
      <c r="B341" s="117" t="n"/>
    </row>
    <row r="342" ht="13.2" customHeight="1" s="405">
      <c r="B342" s="117" t="n"/>
    </row>
    <row r="343" ht="13.2" customHeight="1" s="405">
      <c r="B343" s="117" t="n"/>
    </row>
    <row r="344" ht="13.2" customHeight="1" s="405">
      <c r="B344" s="117" t="n"/>
    </row>
    <row r="345" ht="13.2" customHeight="1" s="405">
      <c r="B345" s="117" t="n"/>
    </row>
    <row r="346" ht="13.2" customHeight="1" s="405">
      <c r="B346" s="117" t="n"/>
    </row>
    <row r="347" ht="13.2" customHeight="1" s="405">
      <c r="B347" s="117" t="n"/>
    </row>
    <row r="348" ht="13.2" customHeight="1" s="405">
      <c r="B348" s="117" t="n"/>
    </row>
    <row r="349" ht="13.2" customHeight="1" s="405">
      <c r="B349" s="117" t="n"/>
    </row>
    <row r="350" ht="13.2" customHeight="1" s="405">
      <c r="B350" s="117" t="n"/>
    </row>
    <row r="351" ht="13.2" customHeight="1" s="405">
      <c r="B351" s="117" t="n"/>
    </row>
    <row r="352" ht="13.2" customHeight="1" s="405">
      <c r="B352" s="117" t="n"/>
    </row>
    <row r="353" ht="13.2" customHeight="1" s="405">
      <c r="B353" s="117" t="n"/>
    </row>
    <row r="354" ht="13.2" customHeight="1" s="405">
      <c r="B354" s="117" t="n"/>
    </row>
    <row r="355" ht="13.2" customHeight="1" s="405">
      <c r="B355" s="117" t="n"/>
    </row>
    <row r="356" ht="13.2" customHeight="1" s="405">
      <c r="B356" s="117" t="n"/>
    </row>
    <row r="357" ht="13.2" customHeight="1" s="405">
      <c r="B357" s="117" t="n"/>
    </row>
    <row r="358" ht="13.2" customHeight="1" s="405">
      <c r="B358" s="117" t="n"/>
    </row>
    <row r="359" ht="13.2" customHeight="1" s="405">
      <c r="B359" s="117" t="n"/>
    </row>
    <row r="360" ht="13.2" customHeight="1" s="405">
      <c r="B360" s="117" t="n"/>
    </row>
    <row r="361" ht="13.2" customHeight="1" s="405">
      <c r="B361" s="117" t="n"/>
    </row>
    <row r="362" ht="13.2" customHeight="1" s="405">
      <c r="B362" s="117" t="n"/>
    </row>
    <row r="363" ht="13.2" customHeight="1" s="405">
      <c r="B363" s="117" t="n"/>
    </row>
    <row r="364" ht="13.2" customHeight="1" s="405">
      <c r="B364" s="117" t="n"/>
    </row>
    <row r="365" ht="13.2" customHeight="1" s="405">
      <c r="B365" s="117" t="n"/>
    </row>
    <row r="366" ht="13.2" customHeight="1" s="405">
      <c r="B366" s="117" t="n"/>
    </row>
    <row r="367" ht="13.2" customHeight="1" s="405">
      <c r="B367" s="117" t="n"/>
    </row>
    <row r="368" ht="13.2" customHeight="1" s="405">
      <c r="B368" s="117" t="n"/>
    </row>
    <row r="369" ht="13.2" customHeight="1" s="405">
      <c r="B369" s="117" t="n"/>
    </row>
    <row r="370" ht="13.2" customHeight="1" s="405">
      <c r="B370" s="117" t="n"/>
    </row>
    <row r="371" ht="13.2" customHeight="1" s="405">
      <c r="B371" s="117" t="n"/>
    </row>
    <row r="372" ht="13.2" customHeight="1" s="405">
      <c r="B372" s="117" t="n"/>
    </row>
    <row r="373" ht="13.2" customHeight="1" s="405">
      <c r="B373" s="117" t="n"/>
    </row>
    <row r="374" ht="13.2" customHeight="1" s="405">
      <c r="B374" s="117" t="n"/>
    </row>
    <row r="375" ht="13.2" customHeight="1" s="405">
      <c r="B375" s="117" t="n"/>
    </row>
    <row r="376" ht="13.2" customHeight="1" s="405">
      <c r="B376" s="117" t="n"/>
    </row>
    <row r="377" ht="13.2" customHeight="1" s="405">
      <c r="B377" s="117" t="n"/>
    </row>
    <row r="378" ht="13.2" customHeight="1" s="405">
      <c r="B378" s="117" t="n"/>
    </row>
    <row r="379" ht="13.2" customHeight="1" s="405">
      <c r="B379" s="117" t="n"/>
    </row>
    <row r="380" ht="13.2" customHeight="1" s="405">
      <c r="B380" s="117" t="n"/>
    </row>
    <row r="381" ht="13.2" customHeight="1" s="405">
      <c r="B381" s="117" t="n"/>
    </row>
    <row r="382" ht="13.2" customHeight="1" s="405">
      <c r="B382" s="117" t="n"/>
    </row>
    <row r="383" ht="13.2" customHeight="1" s="405">
      <c r="B383" s="117" t="n"/>
    </row>
    <row r="384" ht="13.2" customHeight="1" s="405">
      <c r="B384" s="117" t="n"/>
    </row>
    <row r="385" ht="13.2" customHeight="1" s="405">
      <c r="B385" s="117" t="n"/>
    </row>
    <row r="386" ht="13.2" customHeight="1" s="405">
      <c r="B386" s="117" t="n"/>
    </row>
    <row r="387" ht="13.2" customHeight="1" s="405">
      <c r="B387" s="117" t="n"/>
    </row>
    <row r="388" ht="13.2" customHeight="1" s="405">
      <c r="B388" s="117" t="n"/>
    </row>
    <row r="389" ht="13.2" customHeight="1" s="405">
      <c r="B389" s="117" t="n"/>
    </row>
    <row r="390" ht="13.2" customHeight="1" s="405">
      <c r="B390" s="117" t="n"/>
    </row>
    <row r="391" ht="13.2" customHeight="1" s="405">
      <c r="B391" s="117" t="n"/>
    </row>
    <row r="392" ht="13.2" customHeight="1" s="405">
      <c r="B392" s="117" t="n"/>
    </row>
    <row r="393" ht="13.2" customHeight="1" s="405">
      <c r="B393" s="117" t="n"/>
    </row>
    <row r="394" ht="13.2" customHeight="1" s="405">
      <c r="B394" s="117" t="n"/>
    </row>
    <row r="395" ht="13.2" customHeight="1" s="405">
      <c r="B395" s="117" t="n"/>
    </row>
    <row r="396" ht="13.2" customHeight="1" s="405">
      <c r="B396" s="117" t="n"/>
    </row>
    <row r="397" ht="13.2" customHeight="1" s="405">
      <c r="B397" s="117" t="n"/>
    </row>
    <row r="398" ht="13.2" customHeight="1" s="405">
      <c r="B398" s="117" t="n"/>
    </row>
    <row r="399" ht="13.2" customHeight="1" s="405">
      <c r="B399" s="117" t="n"/>
    </row>
    <row r="400" ht="13.2" customHeight="1" s="405">
      <c r="B400" s="117" t="n"/>
    </row>
    <row r="401" ht="13.2" customHeight="1" s="405">
      <c r="B401" s="117" t="n"/>
    </row>
    <row r="402" ht="13.2" customHeight="1" s="405">
      <c r="B402" s="117" t="n"/>
    </row>
    <row r="403" ht="13.2" customHeight="1" s="405">
      <c r="B403" s="117" t="n"/>
    </row>
    <row r="404" ht="13.2" customHeight="1" s="405">
      <c r="B404" s="117" t="n"/>
    </row>
    <row r="405" ht="13.2" customHeight="1" s="405">
      <c r="B405" s="117" t="n"/>
    </row>
    <row r="406" ht="13.2" customHeight="1" s="405">
      <c r="B406" s="117" t="n"/>
    </row>
    <row r="407" ht="13.2" customHeight="1" s="405">
      <c r="B407" s="117" t="n"/>
    </row>
    <row r="408" ht="13.2" customHeight="1" s="405">
      <c r="B408" s="117" t="n"/>
    </row>
    <row r="409" ht="13.2" customHeight="1" s="405">
      <c r="B409" s="117" t="n"/>
    </row>
    <row r="410" ht="13.2" customHeight="1" s="405">
      <c r="B410" s="117" t="n"/>
    </row>
    <row r="411" ht="13.2" customHeight="1" s="405">
      <c r="B411" s="117" t="n"/>
    </row>
    <row r="412" ht="13.2" customHeight="1" s="405">
      <c r="B412" s="117" t="n"/>
    </row>
    <row r="413" ht="13.2" customHeight="1" s="405">
      <c r="B413" s="117" t="n"/>
    </row>
    <row r="414" ht="13.2" customHeight="1" s="405">
      <c r="B414" s="117" t="n"/>
    </row>
    <row r="415" ht="13.2" customHeight="1" s="405">
      <c r="B415" s="117" t="n"/>
    </row>
    <row r="416" ht="13.2" customHeight="1" s="405">
      <c r="B416" s="117" t="n"/>
    </row>
    <row r="417" ht="13.2" customHeight="1" s="405">
      <c r="B417" s="117" t="n"/>
    </row>
    <row r="418" ht="13.2" customHeight="1" s="405">
      <c r="B418" s="117" t="n"/>
    </row>
    <row r="419" ht="13.2" customHeight="1" s="405">
      <c r="B419" s="117" t="n"/>
    </row>
    <row r="420" ht="13.2" customHeight="1" s="405">
      <c r="B420" s="117" t="n"/>
    </row>
    <row r="421" ht="13.2" customHeight="1" s="405">
      <c r="B421" s="117" t="n"/>
    </row>
    <row r="422" ht="13.2" customHeight="1" s="405">
      <c r="B422" s="117" t="n"/>
    </row>
    <row r="423" ht="13.2" customHeight="1" s="405">
      <c r="B423" s="117" t="n"/>
    </row>
    <row r="424" ht="13.2" customHeight="1" s="405">
      <c r="B424" s="117" t="n"/>
    </row>
    <row r="425" ht="13.2" customHeight="1" s="405">
      <c r="B425" s="117" t="n"/>
    </row>
    <row r="426" ht="13.2" customHeight="1" s="405">
      <c r="B426" s="117" t="n"/>
    </row>
    <row r="427" ht="13.2" customHeight="1" s="405">
      <c r="B427" s="117" t="n"/>
    </row>
    <row r="428" ht="13.2" customHeight="1" s="405">
      <c r="B428" s="117" t="n"/>
    </row>
    <row r="429" ht="13.2" customHeight="1" s="405">
      <c r="B429" s="117" t="n"/>
    </row>
    <row r="430" ht="13.2" customHeight="1" s="405">
      <c r="B430" s="117" t="n"/>
    </row>
    <row r="431" ht="13.2" customHeight="1" s="405">
      <c r="B431" s="117" t="n"/>
    </row>
    <row r="432" ht="13.2" customHeight="1" s="405">
      <c r="B432" s="117" t="n"/>
    </row>
    <row r="433" ht="13.2" customHeight="1" s="405">
      <c r="B433" s="117" t="n"/>
    </row>
    <row r="434" ht="13.2" customHeight="1" s="405">
      <c r="B434" s="117" t="n"/>
    </row>
    <row r="435" ht="13.2" customHeight="1" s="405">
      <c r="B435" s="117" t="n"/>
    </row>
    <row r="436" ht="13.2" customHeight="1" s="405">
      <c r="B436" s="117" t="n"/>
    </row>
    <row r="437" ht="13.2" customHeight="1" s="405">
      <c r="B437" s="117" t="n"/>
    </row>
    <row r="438" ht="13.2" customHeight="1" s="405">
      <c r="B438" s="117" t="n"/>
    </row>
    <row r="439" ht="13.2" customHeight="1" s="405">
      <c r="B439" s="117" t="n"/>
    </row>
    <row r="440" ht="13.2" customHeight="1" s="405">
      <c r="B440" s="117" t="n"/>
    </row>
    <row r="441" ht="13.2" customHeight="1" s="405">
      <c r="B441" s="117" t="n"/>
    </row>
    <row r="442" ht="13.2" customHeight="1" s="405">
      <c r="B442" s="117" t="n"/>
    </row>
    <row r="443" ht="13.2" customHeight="1" s="405">
      <c r="B443" s="117" t="n"/>
    </row>
    <row r="444" ht="13.2" customHeight="1" s="405">
      <c r="B444" s="117" t="n"/>
    </row>
    <row r="445" ht="13.2" customHeight="1" s="405">
      <c r="B445" s="117" t="n"/>
    </row>
    <row r="446" ht="13.2" customHeight="1" s="405">
      <c r="B446" s="117" t="n"/>
    </row>
    <row r="447" ht="13.2" customHeight="1" s="405">
      <c r="B447" s="117" t="n"/>
    </row>
    <row r="448" ht="13.2" customHeight="1" s="405">
      <c r="B448" s="117" t="n"/>
    </row>
    <row r="449" ht="13.2" customHeight="1" s="405">
      <c r="B449" s="117" t="n"/>
    </row>
    <row r="450" ht="13.2" customHeight="1" s="405">
      <c r="B450" s="117" t="n"/>
    </row>
    <row r="451" ht="13.2" customHeight="1" s="405">
      <c r="B451" s="117" t="n"/>
    </row>
    <row r="452" ht="13.2" customHeight="1" s="405">
      <c r="B452" s="117" t="n"/>
    </row>
    <row r="453" ht="13.2" customHeight="1" s="405">
      <c r="B453" s="117" t="n"/>
    </row>
    <row r="454" ht="13.2" customHeight="1" s="405">
      <c r="B454" s="117" t="n"/>
    </row>
    <row r="455" ht="13.2" customHeight="1" s="405">
      <c r="B455" s="117" t="n"/>
    </row>
    <row r="456" ht="13.2" customHeight="1" s="405">
      <c r="B456" s="117" t="n"/>
    </row>
    <row r="457" ht="13.2" customHeight="1" s="405">
      <c r="B457" s="117" t="n"/>
    </row>
    <row r="458" ht="13.2" customHeight="1" s="405">
      <c r="B458" s="117" t="n"/>
    </row>
    <row r="459" ht="13.2" customHeight="1" s="405">
      <c r="B459" s="117" t="n"/>
    </row>
    <row r="460" ht="13.2" customHeight="1" s="405">
      <c r="B460" s="117" t="n"/>
    </row>
    <row r="461" ht="13.2" customHeight="1" s="405">
      <c r="B461" s="117" t="n"/>
    </row>
    <row r="462" ht="13.2" customHeight="1" s="405">
      <c r="B462" s="117" t="n"/>
    </row>
    <row r="463" ht="13.2" customHeight="1" s="405">
      <c r="B463" s="117" t="n"/>
    </row>
    <row r="464" ht="13.2" customHeight="1" s="405">
      <c r="B464" s="117" t="n"/>
    </row>
    <row r="465" ht="13.2" customHeight="1" s="405">
      <c r="B465" s="117" t="n"/>
    </row>
    <row r="466" ht="13.2" customHeight="1" s="405">
      <c r="B466" s="117" t="n"/>
    </row>
    <row r="467" ht="13.2" customHeight="1" s="405">
      <c r="B467" s="117" t="n"/>
    </row>
    <row r="468" ht="13.2" customHeight="1" s="405">
      <c r="B468" s="117" t="n"/>
    </row>
    <row r="469" ht="13.2" customHeight="1" s="405">
      <c r="B469" s="117" t="n"/>
    </row>
    <row r="470" ht="13.2" customHeight="1" s="405">
      <c r="B470" s="117" t="n"/>
    </row>
    <row r="471" ht="13.2" customHeight="1" s="405">
      <c r="B471" s="117" t="n"/>
    </row>
    <row r="472" ht="13.2" customHeight="1" s="405">
      <c r="B472" s="117" t="n"/>
    </row>
    <row r="473" ht="13.2" customHeight="1" s="405">
      <c r="B473" s="117" t="n"/>
    </row>
    <row r="474" ht="13.2" customHeight="1" s="405">
      <c r="B474" s="117" t="n"/>
    </row>
    <row r="475" ht="13.2" customHeight="1" s="405">
      <c r="B475" s="117" t="n"/>
    </row>
    <row r="476" ht="13.2" customHeight="1" s="405">
      <c r="B476" s="117" t="n"/>
    </row>
    <row r="477" ht="13.2" customHeight="1" s="405">
      <c r="B477" s="117" t="n"/>
    </row>
    <row r="478" ht="13.2" customHeight="1" s="405">
      <c r="B478" s="117" t="n"/>
    </row>
    <row r="479" ht="13.2" customHeight="1" s="405">
      <c r="B479" s="117" t="n"/>
    </row>
    <row r="480" ht="13.2" customHeight="1" s="405">
      <c r="B480" s="117" t="n"/>
    </row>
    <row r="481" ht="13.2" customHeight="1" s="405">
      <c r="B481" s="117" t="n"/>
    </row>
    <row r="482" ht="13.2" customHeight="1" s="405">
      <c r="B482" s="117" t="n"/>
    </row>
    <row r="483" ht="13.2" customHeight="1" s="405">
      <c r="B483" s="117" t="n"/>
    </row>
    <row r="484" ht="13.2" customHeight="1" s="405">
      <c r="B484" s="117" t="n"/>
    </row>
    <row r="485" ht="13.2" customHeight="1" s="405">
      <c r="B485" s="117" t="n"/>
    </row>
    <row r="486" ht="13.2" customHeight="1" s="405">
      <c r="B486" s="117" t="n"/>
    </row>
    <row r="487" ht="13.2" customHeight="1" s="405">
      <c r="B487" s="117" t="n"/>
    </row>
    <row r="488" ht="13.2" customHeight="1" s="405">
      <c r="B488" s="117" t="n"/>
    </row>
    <row r="489" ht="13.2" customHeight="1" s="405">
      <c r="B489" s="117" t="n"/>
    </row>
    <row r="490" ht="13.2" customHeight="1" s="405">
      <c r="B490" s="117" t="n"/>
    </row>
    <row r="491" ht="13.2" customHeight="1" s="405">
      <c r="B491" s="117" t="n"/>
    </row>
    <row r="492" ht="13.2" customHeight="1" s="405">
      <c r="B492" s="117" t="n"/>
    </row>
    <row r="493" ht="13.2" customHeight="1" s="405">
      <c r="B493" s="117" t="n"/>
    </row>
    <row r="494" ht="13.2" customHeight="1" s="405">
      <c r="B494" s="117" t="n"/>
    </row>
    <row r="495" ht="13.2" customHeight="1" s="405">
      <c r="B495" s="117" t="n"/>
    </row>
    <row r="496" ht="13.2" customHeight="1" s="405">
      <c r="B496" s="117" t="n"/>
    </row>
    <row r="497" ht="13.2" customHeight="1" s="405">
      <c r="B497" s="117" t="n"/>
    </row>
    <row r="498" ht="13.2" customHeight="1" s="405">
      <c r="B498" s="117" t="n"/>
    </row>
    <row r="499" ht="13.2" customHeight="1" s="405">
      <c r="B499" s="117" t="n"/>
    </row>
    <row r="500" ht="13.2" customHeight="1" s="405">
      <c r="B500" s="117" t="n"/>
    </row>
    <row r="501" ht="13.2" customHeight="1" s="405">
      <c r="B501" s="117" t="n"/>
    </row>
    <row r="502" ht="13.2" customHeight="1" s="405">
      <c r="B502" s="117" t="n"/>
    </row>
    <row r="503" ht="13.2" customHeight="1" s="405">
      <c r="B503" s="117" t="n"/>
    </row>
    <row r="504" ht="13.2" customHeight="1" s="405">
      <c r="B504" s="117" t="n"/>
    </row>
    <row r="505" ht="13.2" customHeight="1" s="405">
      <c r="B505" s="117" t="n"/>
    </row>
    <row r="506" ht="13.2" customHeight="1" s="405">
      <c r="B506" s="117" t="n"/>
    </row>
    <row r="507" ht="13.2" customHeight="1" s="405">
      <c r="B507" s="117" t="n"/>
    </row>
    <row r="508" ht="13.2" customHeight="1" s="405">
      <c r="B508" s="117" t="n"/>
    </row>
    <row r="509" ht="13.2" customHeight="1" s="405">
      <c r="B509" s="117" t="n"/>
    </row>
    <row r="510" ht="13.2" customHeight="1" s="405">
      <c r="B510" s="117" t="n"/>
    </row>
    <row r="511" ht="13.2" customHeight="1" s="405">
      <c r="B511" s="117" t="n"/>
    </row>
    <row r="512" ht="13.2" customHeight="1" s="405">
      <c r="B512" s="117" t="n"/>
    </row>
    <row r="513" ht="13.2" customHeight="1" s="405">
      <c r="B513" s="117" t="n"/>
    </row>
    <row r="514" ht="13.2" customHeight="1" s="405">
      <c r="B514" s="117" t="n"/>
    </row>
    <row r="515" ht="13.2" customHeight="1" s="405">
      <c r="B515" s="117" t="n"/>
    </row>
    <row r="516" ht="13.2" customHeight="1" s="405">
      <c r="B516" s="117" t="n"/>
    </row>
    <row r="517" ht="13.2" customHeight="1" s="405">
      <c r="B517" s="117" t="n"/>
    </row>
    <row r="518" ht="13.2" customHeight="1" s="405">
      <c r="B518" s="117" t="n"/>
    </row>
    <row r="519" ht="13.2" customHeight="1" s="405">
      <c r="B519" s="117" t="n"/>
    </row>
    <row r="520" ht="13.2" customHeight="1" s="405">
      <c r="B520" s="117" t="n"/>
    </row>
    <row r="521" ht="13.2" customHeight="1" s="405">
      <c r="B521" s="117" t="n"/>
    </row>
    <row r="522" ht="13.2" customHeight="1" s="405">
      <c r="B522" s="117" t="n"/>
    </row>
    <row r="523" ht="13.2" customHeight="1" s="405">
      <c r="B523" s="117" t="n"/>
    </row>
    <row r="524" ht="13.2" customHeight="1" s="405">
      <c r="B524" s="117" t="n"/>
    </row>
    <row r="525" ht="13.2" customHeight="1" s="405">
      <c r="B525" s="117" t="n"/>
    </row>
    <row r="526" ht="13.2" customHeight="1" s="405">
      <c r="B526" s="117" t="n"/>
    </row>
    <row r="527" ht="13.2" customHeight="1" s="405">
      <c r="B527" s="117" t="n"/>
    </row>
    <row r="528" ht="13.2" customHeight="1" s="405">
      <c r="B528" s="117" t="n"/>
    </row>
    <row r="529" ht="13.2" customHeight="1" s="405">
      <c r="B529" s="117" t="n"/>
    </row>
    <row r="530" ht="13.2" customHeight="1" s="405">
      <c r="B530" s="117" t="n"/>
    </row>
    <row r="531" ht="13.2" customHeight="1" s="405">
      <c r="B531" s="117" t="n"/>
    </row>
    <row r="532" ht="13.2" customHeight="1" s="405">
      <c r="B532" s="117" t="n"/>
    </row>
    <row r="533" ht="13.2" customHeight="1" s="405">
      <c r="B533" s="117" t="n"/>
    </row>
    <row r="534" ht="13.2" customHeight="1" s="405">
      <c r="B534" s="117" t="n"/>
    </row>
    <row r="535" ht="13.2" customHeight="1" s="405">
      <c r="B535" s="117" t="n"/>
    </row>
    <row r="536" ht="13.2" customHeight="1" s="405">
      <c r="B536" s="117" t="n"/>
    </row>
    <row r="537" ht="13.2" customHeight="1" s="405">
      <c r="B537" s="117" t="n"/>
    </row>
    <row r="538" ht="13.2" customHeight="1" s="405">
      <c r="B538" s="117" t="n"/>
    </row>
    <row r="539" ht="13.2" customHeight="1" s="405">
      <c r="B539" s="117" t="n"/>
    </row>
    <row r="540" ht="13.2" customHeight="1" s="405">
      <c r="B540" s="117" t="n"/>
    </row>
    <row r="541" ht="13.2" customHeight="1" s="405">
      <c r="B541" s="117" t="n"/>
    </row>
    <row r="542" ht="13.2" customHeight="1" s="405">
      <c r="B542" s="117" t="n"/>
    </row>
    <row r="543" ht="13.2" customHeight="1" s="405">
      <c r="B543" s="117" t="n"/>
    </row>
    <row r="544" ht="13.2" customHeight="1" s="405">
      <c r="B544" s="117" t="n"/>
    </row>
    <row r="545" ht="13.2" customHeight="1" s="405">
      <c r="B545" s="117" t="n"/>
    </row>
    <row r="546" ht="13.2" customHeight="1" s="405">
      <c r="B546" s="117" t="n"/>
    </row>
    <row r="547" ht="13.2" customHeight="1" s="405">
      <c r="B547" s="117" t="n"/>
    </row>
    <row r="548" ht="13.2" customHeight="1" s="405">
      <c r="B548" s="117" t="n"/>
    </row>
    <row r="549" ht="13.2" customHeight="1" s="405">
      <c r="B549" s="117" t="n"/>
    </row>
    <row r="550" ht="13.2" customHeight="1" s="405">
      <c r="B550" s="117" t="n"/>
    </row>
    <row r="551" ht="13.2" customHeight="1" s="405">
      <c r="B551" s="117" t="n"/>
    </row>
    <row r="552" ht="13.2" customHeight="1" s="405">
      <c r="B552" s="117" t="n"/>
    </row>
    <row r="553" ht="13.2" customHeight="1" s="405">
      <c r="B553" s="117" t="n"/>
    </row>
    <row r="554" ht="13.2" customHeight="1" s="405">
      <c r="B554" s="117" t="n"/>
    </row>
    <row r="555" ht="13.2" customHeight="1" s="405">
      <c r="B555" s="117" t="n"/>
    </row>
    <row r="556" ht="13.2" customHeight="1" s="405">
      <c r="B556" s="117" t="n"/>
    </row>
    <row r="557" ht="13.2" customHeight="1" s="405">
      <c r="B557" s="117" t="n"/>
    </row>
    <row r="558" ht="13.2" customHeight="1" s="405">
      <c r="B558" s="117" t="n"/>
    </row>
    <row r="559" ht="13.2" customHeight="1" s="405">
      <c r="B559" s="117" t="n"/>
    </row>
    <row r="560" ht="13.2" customHeight="1" s="405">
      <c r="B560" s="117" t="n"/>
    </row>
    <row r="561" ht="13.2" customHeight="1" s="405">
      <c r="B561" s="117" t="n"/>
    </row>
    <row r="562" ht="13.2" customHeight="1" s="405">
      <c r="B562" s="117" t="n"/>
    </row>
    <row r="563" ht="13.2" customHeight="1" s="405">
      <c r="B563" s="117" t="n"/>
    </row>
    <row r="564" ht="13.2" customHeight="1" s="405">
      <c r="B564" s="117" t="n"/>
    </row>
    <row r="565" ht="13.2" customHeight="1" s="405">
      <c r="B565" s="117" t="n"/>
    </row>
    <row r="566" ht="13.2" customHeight="1" s="405">
      <c r="B566" s="117" t="n"/>
    </row>
    <row r="567" ht="13.2" customHeight="1" s="405">
      <c r="B567" s="117" t="n"/>
    </row>
    <row r="568" ht="13.2" customHeight="1" s="405">
      <c r="B568" s="117" t="n"/>
    </row>
    <row r="569" ht="13.2" customHeight="1" s="405">
      <c r="B569" s="117" t="n"/>
    </row>
    <row r="570" ht="13.2" customHeight="1" s="405">
      <c r="B570" s="117" t="n"/>
    </row>
    <row r="571" ht="13.2" customHeight="1" s="405">
      <c r="B571" s="117" t="n"/>
    </row>
    <row r="572" ht="13.2" customHeight="1" s="405">
      <c r="B572" s="117" t="n"/>
    </row>
    <row r="573" ht="13.2" customHeight="1" s="405">
      <c r="B573" s="117" t="n"/>
    </row>
    <row r="574" ht="13.2" customHeight="1" s="405">
      <c r="B574" s="117" t="n"/>
    </row>
    <row r="575" ht="13.2" customHeight="1" s="405">
      <c r="B575" s="117" t="n"/>
    </row>
    <row r="576" ht="13.2" customHeight="1" s="405">
      <c r="B576" s="117" t="n"/>
    </row>
    <row r="577" ht="13.2" customHeight="1" s="405">
      <c r="B577" s="117" t="n"/>
    </row>
    <row r="578" ht="13.2" customHeight="1" s="405">
      <c r="B578" s="117" t="n"/>
    </row>
    <row r="579" ht="13.2" customHeight="1" s="405">
      <c r="B579" s="117" t="n"/>
    </row>
    <row r="580" ht="13.2" customHeight="1" s="405">
      <c r="B580" s="117" t="n"/>
    </row>
    <row r="581" ht="13.2" customHeight="1" s="405">
      <c r="B581" s="117" t="n"/>
    </row>
    <row r="582" ht="13.2" customHeight="1" s="405">
      <c r="B582" s="117" t="n"/>
    </row>
    <row r="583" ht="13.2" customHeight="1" s="405">
      <c r="B583" s="117" t="n"/>
    </row>
    <row r="584" ht="13.2" customHeight="1" s="405">
      <c r="B584" s="117" t="n"/>
    </row>
    <row r="585" ht="13.2" customHeight="1" s="405">
      <c r="B585" s="117" t="n"/>
    </row>
    <row r="586" ht="13.2" customHeight="1" s="405">
      <c r="B586" s="117" t="n"/>
    </row>
    <row r="587" ht="13.2" customHeight="1" s="405">
      <c r="B587" s="117" t="n"/>
    </row>
    <row r="588" ht="13.2" customHeight="1" s="405">
      <c r="B588" s="117" t="n"/>
    </row>
    <row r="589" ht="13.2" customHeight="1" s="405">
      <c r="B589" s="117" t="n"/>
    </row>
    <row r="590" ht="13.2" customHeight="1" s="405">
      <c r="B590" s="117" t="n"/>
    </row>
    <row r="591" ht="13.2" customHeight="1" s="405">
      <c r="B591" s="117" t="n"/>
    </row>
    <row r="592" ht="13.2" customHeight="1" s="405">
      <c r="B592" s="117" t="n"/>
    </row>
    <row r="593" ht="13.2" customHeight="1" s="405">
      <c r="B593" s="117" t="n"/>
    </row>
    <row r="594" ht="13.2" customHeight="1" s="405">
      <c r="B594" s="117" t="n"/>
    </row>
    <row r="595" ht="13.2" customHeight="1" s="405">
      <c r="B595" s="117" t="n"/>
    </row>
    <row r="596" ht="13.2" customHeight="1" s="405">
      <c r="B596" s="117" t="n"/>
    </row>
    <row r="597" ht="13.2" customHeight="1" s="405">
      <c r="B597" s="117" t="n"/>
    </row>
    <row r="598" ht="13.2" customHeight="1" s="405">
      <c r="B598" s="117" t="n"/>
    </row>
    <row r="599" ht="13.2" customHeight="1" s="405">
      <c r="B599" s="117" t="n"/>
    </row>
    <row r="600" ht="13.2" customHeight="1" s="405">
      <c r="B600" s="117" t="n"/>
    </row>
    <row r="601" ht="13.2" customHeight="1" s="405">
      <c r="B601" s="117" t="n"/>
    </row>
    <row r="602" ht="13.2" customHeight="1" s="405">
      <c r="B602" s="117" t="n"/>
    </row>
    <row r="603" ht="13.2" customHeight="1" s="405">
      <c r="B603" s="117" t="n"/>
    </row>
    <row r="604" ht="13.2" customHeight="1" s="405">
      <c r="B604" s="117" t="n"/>
    </row>
    <row r="605" ht="13.2" customHeight="1" s="405">
      <c r="B605" s="117" t="n"/>
    </row>
    <row r="606" ht="13.2" customHeight="1" s="405">
      <c r="B606" s="117" t="n"/>
    </row>
    <row r="607" ht="13.2" customHeight="1" s="405">
      <c r="B607" s="117" t="n"/>
    </row>
    <row r="608" ht="13.2" customHeight="1" s="405">
      <c r="B608" s="117" t="n"/>
    </row>
    <row r="609" ht="13.2" customHeight="1" s="405">
      <c r="B609" s="117" t="n"/>
    </row>
    <row r="610" ht="13.2" customHeight="1" s="405">
      <c r="B610" s="117" t="n"/>
    </row>
    <row r="611" ht="13.2" customHeight="1" s="405">
      <c r="B611" s="117" t="n"/>
    </row>
    <row r="612" ht="13.2" customHeight="1" s="405">
      <c r="B612" s="117" t="n"/>
    </row>
    <row r="613" ht="13.2" customHeight="1" s="405">
      <c r="B613" s="117" t="n"/>
    </row>
    <row r="614" ht="13.2" customHeight="1" s="405">
      <c r="B614" s="117" t="n"/>
    </row>
    <row r="615" ht="13.2" customHeight="1" s="405">
      <c r="B615" s="117" t="n"/>
    </row>
    <row r="616" ht="13.2" customHeight="1" s="405">
      <c r="B616" s="117" t="n"/>
    </row>
    <row r="617" ht="13.2" customHeight="1" s="405">
      <c r="B617" s="117" t="n"/>
    </row>
    <row r="618" ht="13.2" customHeight="1" s="405">
      <c r="B618" s="117" t="n"/>
    </row>
    <row r="619" ht="13.2" customHeight="1" s="405">
      <c r="B619" s="117" t="n"/>
    </row>
    <row r="620" ht="13.2" customHeight="1" s="405">
      <c r="B620" s="117" t="n"/>
    </row>
    <row r="621" ht="13.2" customHeight="1" s="405">
      <c r="B621" s="117" t="n"/>
    </row>
    <row r="622" ht="13.2" customHeight="1" s="405">
      <c r="B622" s="117" t="n"/>
    </row>
    <row r="623" ht="13.2" customHeight="1" s="405">
      <c r="B623" s="117" t="n"/>
    </row>
    <row r="624" ht="13.2" customHeight="1" s="405">
      <c r="B624" s="117" t="n"/>
    </row>
    <row r="625" ht="13.2" customHeight="1" s="405">
      <c r="B625" s="117" t="n"/>
    </row>
    <row r="626" ht="13.2" customHeight="1" s="405">
      <c r="B626" s="117" t="n"/>
    </row>
    <row r="627" ht="13.2" customHeight="1" s="405">
      <c r="B627" s="117" t="n"/>
    </row>
    <row r="628" ht="13.2" customHeight="1" s="405">
      <c r="B628" s="117" t="n"/>
    </row>
    <row r="629" ht="13.2" customHeight="1" s="405">
      <c r="B629" s="117" t="n"/>
    </row>
    <row r="630" ht="13.2" customHeight="1" s="405">
      <c r="B630" s="117" t="n"/>
    </row>
    <row r="631" ht="13.2" customHeight="1" s="405">
      <c r="B631" s="117" t="n"/>
    </row>
    <row r="632" ht="13.2" customHeight="1" s="405">
      <c r="B632" s="117" t="n"/>
    </row>
    <row r="633" ht="13.2" customHeight="1" s="405">
      <c r="B633" s="117" t="n"/>
    </row>
    <row r="634" ht="13.2" customHeight="1" s="405">
      <c r="B634" s="117" t="n"/>
    </row>
    <row r="635" ht="13.2" customHeight="1" s="405">
      <c r="B635" s="117" t="n"/>
    </row>
    <row r="636" ht="13.2" customHeight="1" s="405">
      <c r="B636" s="117" t="n"/>
    </row>
    <row r="637" ht="13.2" customHeight="1" s="405">
      <c r="B637" s="117" t="n"/>
    </row>
    <row r="638" ht="13.2" customHeight="1" s="405">
      <c r="B638" s="117" t="n"/>
    </row>
    <row r="639" ht="13.2" customHeight="1" s="405">
      <c r="B639" s="117" t="n"/>
    </row>
    <row r="640" ht="13.2" customHeight="1" s="405">
      <c r="B640" s="117" t="n"/>
    </row>
    <row r="641" ht="13.2" customHeight="1" s="405">
      <c r="B641" s="117" t="n"/>
    </row>
    <row r="642" ht="13.2" customHeight="1" s="405">
      <c r="B642" s="117" t="n"/>
    </row>
    <row r="643" ht="13.2" customHeight="1" s="405">
      <c r="B643" s="117" t="n"/>
    </row>
    <row r="644" ht="13.2" customHeight="1" s="405">
      <c r="B644" s="117" t="n"/>
    </row>
    <row r="645" ht="13.2" customHeight="1" s="405">
      <c r="B645" s="117" t="n"/>
    </row>
    <row r="646" ht="13.2" customHeight="1" s="405">
      <c r="B646" s="117" t="n"/>
    </row>
    <row r="647" ht="13.2" customHeight="1" s="405">
      <c r="B647" s="117" t="n"/>
    </row>
    <row r="648" ht="13.2" customHeight="1" s="405">
      <c r="B648" s="117" t="n"/>
    </row>
    <row r="649" ht="13.2" customHeight="1" s="405">
      <c r="B649" s="117" t="n"/>
    </row>
    <row r="650" ht="13.2" customHeight="1" s="405">
      <c r="B650" s="117" t="n"/>
    </row>
    <row r="651" ht="13.2" customHeight="1" s="405">
      <c r="B651" s="117" t="n"/>
    </row>
    <row r="652" ht="13.2" customHeight="1" s="405">
      <c r="B652" s="117" t="n"/>
    </row>
    <row r="653" ht="13.2" customHeight="1" s="405">
      <c r="B653" s="117" t="n"/>
    </row>
    <row r="654" ht="13.2" customHeight="1" s="405">
      <c r="B654" s="117" t="n"/>
    </row>
    <row r="655" ht="13.2" customHeight="1" s="405">
      <c r="B655" s="117" t="n"/>
    </row>
    <row r="656" ht="13.2" customHeight="1" s="405">
      <c r="B656" s="117" t="n"/>
    </row>
    <row r="657" ht="13.2" customHeight="1" s="405">
      <c r="B657" s="117" t="n"/>
    </row>
    <row r="658" ht="13.2" customHeight="1" s="405">
      <c r="B658" s="117" t="n"/>
    </row>
    <row r="659" ht="13.2" customHeight="1" s="405">
      <c r="B659" s="117" t="n"/>
    </row>
    <row r="660" ht="13.2" customHeight="1" s="405">
      <c r="B660" s="117" t="n"/>
    </row>
    <row r="661" ht="13.2" customHeight="1" s="405">
      <c r="B661" s="117" t="n"/>
    </row>
    <row r="662" ht="13.2" customHeight="1" s="405">
      <c r="B662" s="117" t="n"/>
    </row>
    <row r="663" ht="13.2" customHeight="1" s="405">
      <c r="B663" s="117" t="n"/>
    </row>
    <row r="664" ht="13.2" customHeight="1" s="405">
      <c r="B664" s="117" t="n"/>
    </row>
    <row r="665" ht="13.2" customHeight="1" s="405">
      <c r="B665" s="117" t="n"/>
    </row>
    <row r="666" ht="13.2" customHeight="1" s="405">
      <c r="B666" s="117" t="n"/>
    </row>
    <row r="667" ht="13.2" customHeight="1" s="405">
      <c r="B667" s="117" t="n"/>
    </row>
    <row r="668" ht="13.2" customHeight="1" s="405">
      <c r="B668" s="117" t="n"/>
    </row>
    <row r="669" ht="13.2" customHeight="1" s="405">
      <c r="B669" s="117" t="n"/>
    </row>
    <row r="670" ht="13.2" customHeight="1" s="405">
      <c r="B670" s="117" t="n"/>
    </row>
    <row r="671" ht="13.2" customHeight="1" s="405">
      <c r="B671" s="117" t="n"/>
    </row>
    <row r="672" ht="13.2" customHeight="1" s="405">
      <c r="B672" s="117" t="n"/>
    </row>
    <row r="673" ht="13.2" customHeight="1" s="405">
      <c r="B673" s="117" t="n"/>
    </row>
    <row r="674" ht="13.2" customHeight="1" s="405">
      <c r="B674" s="117" t="n"/>
    </row>
    <row r="675" ht="13.2" customHeight="1" s="405">
      <c r="B675" s="117" t="n"/>
    </row>
    <row r="676" ht="13.2" customHeight="1" s="405">
      <c r="B676" s="117" t="n"/>
    </row>
    <row r="677" ht="13.2" customHeight="1" s="405">
      <c r="B677" s="117" t="n"/>
    </row>
    <row r="678" ht="13.2" customHeight="1" s="405">
      <c r="B678" s="117" t="n"/>
    </row>
    <row r="679" ht="13.2" customHeight="1" s="405">
      <c r="B679" s="117" t="n"/>
    </row>
    <row r="680" ht="13.2" customHeight="1" s="405">
      <c r="B680" s="117" t="n"/>
    </row>
    <row r="681" ht="13.2" customHeight="1" s="405">
      <c r="B681" s="117" t="n"/>
    </row>
    <row r="682" ht="13.2" customHeight="1" s="405">
      <c r="B682" s="117" t="n"/>
    </row>
    <row r="683" ht="13.2" customHeight="1" s="405">
      <c r="B683" s="117" t="n"/>
    </row>
    <row r="684" ht="13.2" customHeight="1" s="405">
      <c r="B684" s="117" t="n"/>
    </row>
    <row r="685" ht="13.2" customHeight="1" s="405">
      <c r="B685" s="117" t="n"/>
    </row>
    <row r="686" ht="13.2" customHeight="1" s="405">
      <c r="B686" s="117" t="n"/>
    </row>
    <row r="687" ht="13.2" customHeight="1" s="405">
      <c r="B687" s="117" t="n"/>
    </row>
    <row r="688" ht="13.2" customHeight="1" s="405">
      <c r="B688" s="117" t="n"/>
    </row>
    <row r="689" ht="13.2" customHeight="1" s="405">
      <c r="B689" s="117" t="n"/>
    </row>
    <row r="690" ht="13.2" customHeight="1" s="405">
      <c r="B690" s="117" t="n"/>
    </row>
    <row r="691" ht="13.2" customHeight="1" s="405">
      <c r="B691" s="117" t="n"/>
    </row>
    <row r="692" ht="13.2" customHeight="1" s="405">
      <c r="B692" s="117" t="n"/>
    </row>
    <row r="693" ht="13.2" customHeight="1" s="405">
      <c r="B693" s="117" t="n"/>
    </row>
    <row r="694" ht="13.2" customHeight="1" s="405">
      <c r="B694" s="117" t="n"/>
    </row>
    <row r="695" ht="13.2" customHeight="1" s="405">
      <c r="B695" s="117" t="n"/>
    </row>
    <row r="696" ht="13.2" customHeight="1" s="405">
      <c r="B696" s="117" t="n"/>
    </row>
    <row r="697" ht="13.2" customHeight="1" s="405">
      <c r="B697" s="117" t="n"/>
    </row>
    <row r="698" ht="13.2" customHeight="1" s="405">
      <c r="B698" s="117" t="n"/>
    </row>
    <row r="699" ht="13.2" customHeight="1" s="405">
      <c r="B699" s="117" t="n"/>
    </row>
    <row r="700" ht="13.2" customHeight="1" s="405">
      <c r="B700" s="117" t="n"/>
    </row>
    <row r="701" ht="13.2" customHeight="1" s="405">
      <c r="B701" s="117" t="n"/>
    </row>
    <row r="702" ht="13.2" customHeight="1" s="405">
      <c r="B702" s="117" t="n"/>
    </row>
    <row r="703" ht="13.2" customHeight="1" s="405">
      <c r="B703" s="117" t="n"/>
    </row>
    <row r="704" ht="13.2" customHeight="1" s="405">
      <c r="B704" s="117" t="n"/>
    </row>
    <row r="705" ht="13.2" customHeight="1" s="405">
      <c r="B705" s="117" t="n"/>
    </row>
    <row r="706" ht="13.2" customHeight="1" s="405">
      <c r="B706" s="117" t="n"/>
    </row>
    <row r="707" ht="13.2" customHeight="1" s="405">
      <c r="B707" s="117" t="n"/>
    </row>
    <row r="708" ht="13.2" customHeight="1" s="405">
      <c r="B708" s="117" t="n"/>
    </row>
    <row r="709" ht="13.2" customHeight="1" s="405">
      <c r="B709" s="117" t="n"/>
    </row>
    <row r="710" ht="13.2" customHeight="1" s="405">
      <c r="B710" s="117" t="n"/>
    </row>
    <row r="711" ht="13.2" customHeight="1" s="405">
      <c r="B711" s="117" t="n"/>
    </row>
    <row r="712" ht="13.2" customHeight="1" s="405">
      <c r="B712" s="117" t="n"/>
    </row>
    <row r="713" ht="13.2" customHeight="1" s="405">
      <c r="B713" s="117" t="n"/>
    </row>
    <row r="714" ht="13.2" customHeight="1" s="405">
      <c r="B714" s="117" t="n"/>
    </row>
    <row r="715" ht="13.2" customHeight="1" s="405">
      <c r="B715" s="117" t="n"/>
    </row>
    <row r="716" ht="13.2" customHeight="1" s="405">
      <c r="B716" s="117" t="n"/>
    </row>
    <row r="717" ht="13.2" customHeight="1" s="405">
      <c r="B717" s="117" t="n"/>
    </row>
    <row r="718" ht="13.2" customHeight="1" s="405">
      <c r="B718" s="117" t="n"/>
    </row>
    <row r="719" ht="13.2" customHeight="1" s="405">
      <c r="B719" s="117" t="n"/>
    </row>
    <row r="720" ht="13.2" customHeight="1" s="405">
      <c r="B720" s="117" t="n"/>
    </row>
    <row r="721" ht="13.2" customHeight="1" s="405">
      <c r="B721" s="117" t="n"/>
    </row>
    <row r="722" ht="13.2" customHeight="1" s="405">
      <c r="B722" s="117" t="n"/>
    </row>
    <row r="723" ht="13.2" customHeight="1" s="405">
      <c r="B723" s="117" t="n"/>
    </row>
    <row r="724" ht="13.2" customHeight="1" s="405">
      <c r="B724" s="117" t="n"/>
    </row>
    <row r="725" ht="13.2" customHeight="1" s="405">
      <c r="B725" s="117" t="n"/>
    </row>
    <row r="726" ht="13.2" customHeight="1" s="405">
      <c r="B726" s="117" t="n"/>
    </row>
    <row r="727" ht="13.2" customHeight="1" s="405">
      <c r="B727" s="117" t="n"/>
    </row>
    <row r="728" ht="13.2" customHeight="1" s="405">
      <c r="B728" s="117" t="n"/>
    </row>
    <row r="729" ht="13.2" customHeight="1" s="405">
      <c r="B729" s="117" t="n"/>
    </row>
    <row r="730" ht="13.2" customHeight="1" s="405">
      <c r="B730" s="117" t="n"/>
    </row>
    <row r="731" ht="13.2" customHeight="1" s="405">
      <c r="B731" s="117" t="n"/>
    </row>
    <row r="732" ht="13.2" customHeight="1" s="405">
      <c r="B732" s="117" t="n"/>
    </row>
    <row r="733" ht="13.2" customHeight="1" s="405">
      <c r="B733" s="117" t="n"/>
    </row>
    <row r="734" ht="13.2" customHeight="1" s="405">
      <c r="B734" s="117" t="n"/>
    </row>
    <row r="735" ht="13.2" customHeight="1" s="405">
      <c r="B735" s="117" t="n"/>
    </row>
    <row r="736" ht="13.2" customHeight="1" s="405">
      <c r="B736" s="117" t="n"/>
    </row>
    <row r="737" ht="13.2" customHeight="1" s="405">
      <c r="B737" s="117" t="n"/>
    </row>
    <row r="738" ht="13.2" customHeight="1" s="405">
      <c r="B738" s="117" t="n"/>
    </row>
    <row r="739" ht="13.2" customHeight="1" s="405">
      <c r="B739" s="117" t="n"/>
    </row>
    <row r="740" ht="13.2" customHeight="1" s="405">
      <c r="B740" s="117" t="n"/>
    </row>
    <row r="741" ht="13.2" customHeight="1" s="405">
      <c r="B741" s="117" t="n"/>
    </row>
    <row r="742" ht="13.2" customHeight="1" s="405">
      <c r="B742" s="117" t="n"/>
    </row>
    <row r="743" ht="13.2" customHeight="1" s="405">
      <c r="B743" s="117" t="n"/>
    </row>
    <row r="744" ht="13.2" customHeight="1" s="405">
      <c r="B744" s="117" t="n"/>
    </row>
    <row r="745" ht="13.2" customHeight="1" s="405">
      <c r="B745" s="117" t="n"/>
    </row>
    <row r="746" ht="13.2" customHeight="1" s="405">
      <c r="B746" s="117" t="n"/>
    </row>
    <row r="747" ht="13.2" customHeight="1" s="405">
      <c r="B747" s="117" t="n"/>
    </row>
    <row r="748" ht="13.2" customHeight="1" s="405">
      <c r="B748" s="117" t="n"/>
    </row>
    <row r="749" ht="13.2" customHeight="1" s="405">
      <c r="B749" s="117" t="n"/>
    </row>
    <row r="750" ht="13.2" customHeight="1" s="405">
      <c r="B750" s="117" t="n"/>
    </row>
    <row r="751" ht="13.2" customHeight="1" s="405">
      <c r="B751" s="117" t="n"/>
    </row>
    <row r="752" ht="13.2" customHeight="1" s="405">
      <c r="B752" s="117" t="n"/>
    </row>
    <row r="753" ht="13.2" customHeight="1" s="405">
      <c r="B753" s="117" t="n"/>
    </row>
    <row r="754" ht="13.2" customHeight="1" s="405">
      <c r="B754" s="117" t="n"/>
    </row>
    <row r="755" ht="13.2" customHeight="1" s="405">
      <c r="B755" s="117" t="n"/>
    </row>
    <row r="756" ht="13.2" customHeight="1" s="405">
      <c r="B756" s="117" t="n"/>
    </row>
    <row r="757" ht="13.2" customHeight="1" s="405">
      <c r="B757" s="117" t="n"/>
    </row>
    <row r="758" ht="13.2" customHeight="1" s="405">
      <c r="B758" s="117" t="n"/>
    </row>
    <row r="759" ht="13.2" customHeight="1" s="405">
      <c r="B759" s="117" t="n"/>
    </row>
    <row r="760" ht="13.2" customHeight="1" s="405">
      <c r="B760" s="117" t="n"/>
    </row>
    <row r="761" ht="13.2" customHeight="1" s="405">
      <c r="B761" s="117" t="n"/>
    </row>
    <row r="762" ht="13.2" customHeight="1" s="405">
      <c r="B762" s="117" t="n"/>
    </row>
    <row r="763" ht="13.2" customHeight="1" s="405">
      <c r="B763" s="117" t="n"/>
    </row>
    <row r="764" ht="13.2" customHeight="1" s="405">
      <c r="B764" s="117" t="n"/>
    </row>
    <row r="765" ht="13.2" customHeight="1" s="405">
      <c r="B765" s="117" t="n"/>
    </row>
    <row r="766" ht="13.2" customHeight="1" s="405">
      <c r="B766" s="117" t="n"/>
    </row>
    <row r="767" ht="13.2" customHeight="1" s="405">
      <c r="B767" s="117" t="n"/>
    </row>
    <row r="768" ht="13.2" customHeight="1" s="405">
      <c r="B768" s="117" t="n"/>
    </row>
    <row r="769" ht="13.2" customHeight="1" s="405">
      <c r="B769" s="117" t="n"/>
    </row>
    <row r="770" ht="13.2" customHeight="1" s="405">
      <c r="B770" s="117" t="n"/>
    </row>
    <row r="771" ht="13.2" customHeight="1" s="405">
      <c r="B771" s="117" t="n"/>
    </row>
    <row r="772" ht="13.2" customHeight="1" s="405">
      <c r="B772" s="117" t="n"/>
    </row>
    <row r="773" ht="13.2" customHeight="1" s="405">
      <c r="B773" s="117" t="n"/>
    </row>
    <row r="774" ht="13.2" customHeight="1" s="405">
      <c r="B774" s="117" t="n"/>
    </row>
    <row r="775" ht="13.2" customHeight="1" s="405">
      <c r="B775" s="117" t="n"/>
    </row>
    <row r="776" ht="13.2" customHeight="1" s="405">
      <c r="B776" s="117" t="n"/>
    </row>
    <row r="777" ht="13.2" customHeight="1" s="405">
      <c r="B777" s="117" t="n"/>
    </row>
    <row r="778" ht="13.2" customHeight="1" s="405">
      <c r="B778" s="117" t="n"/>
    </row>
    <row r="779" ht="13.2" customHeight="1" s="405">
      <c r="B779" s="117" t="n"/>
    </row>
    <row r="780" ht="13.2" customHeight="1" s="405">
      <c r="B780" s="117" t="n"/>
    </row>
    <row r="781" ht="13.2" customHeight="1" s="405">
      <c r="B781" s="117" t="n"/>
    </row>
    <row r="782" ht="13.2" customHeight="1" s="405">
      <c r="B782" s="117" t="n"/>
    </row>
    <row r="783" ht="13.2" customHeight="1" s="405">
      <c r="B783" s="117" t="n"/>
    </row>
    <row r="784" ht="13.2" customHeight="1" s="405">
      <c r="B784" s="117" t="n"/>
    </row>
    <row r="785" ht="13.2" customHeight="1" s="405">
      <c r="B785" s="117" t="n"/>
    </row>
    <row r="786" ht="13.2" customHeight="1" s="405">
      <c r="B786" s="117" t="n"/>
    </row>
    <row r="787" ht="13.2" customHeight="1" s="405">
      <c r="B787" s="117" t="n"/>
    </row>
    <row r="788" ht="13.2" customHeight="1" s="405">
      <c r="B788" s="117" t="n"/>
    </row>
    <row r="789" ht="13.2" customHeight="1" s="405">
      <c r="B789" s="117" t="n"/>
    </row>
    <row r="790" ht="13.2" customHeight="1" s="405">
      <c r="B790" s="117" t="n"/>
    </row>
    <row r="791" ht="13.2" customHeight="1" s="405">
      <c r="B791" s="117" t="n"/>
    </row>
    <row r="792" ht="13.2" customHeight="1" s="405">
      <c r="B792" s="117" t="n"/>
    </row>
    <row r="793" ht="13.2" customHeight="1" s="405">
      <c r="B793" s="117" t="n"/>
    </row>
    <row r="794" ht="13.2" customHeight="1" s="405">
      <c r="B794" s="117" t="n"/>
    </row>
    <row r="795" ht="13.2" customHeight="1" s="405">
      <c r="B795" s="117" t="n"/>
    </row>
    <row r="796" ht="13.2" customHeight="1" s="405">
      <c r="B796" s="117" t="n"/>
    </row>
    <row r="797" ht="13.2" customHeight="1" s="405">
      <c r="B797" s="117" t="n"/>
    </row>
    <row r="798" ht="13.2" customHeight="1" s="405">
      <c r="B798" s="117" t="n"/>
    </row>
    <row r="799" ht="13.2" customHeight="1" s="405">
      <c r="B799" s="117" t="n"/>
    </row>
    <row r="800" ht="13.2" customHeight="1" s="405">
      <c r="B800" s="117" t="n"/>
    </row>
    <row r="801" ht="13.2" customHeight="1" s="405">
      <c r="B801" s="117" t="n"/>
    </row>
    <row r="802" ht="13.2" customHeight="1" s="405">
      <c r="B802" s="117" t="n"/>
    </row>
    <row r="803" ht="13.2" customHeight="1" s="405">
      <c r="B803" s="117" t="n"/>
    </row>
    <row r="804" ht="13.2" customHeight="1" s="405">
      <c r="B804" s="117" t="n"/>
    </row>
    <row r="805" ht="13.2" customHeight="1" s="405">
      <c r="B805" s="117" t="n"/>
    </row>
    <row r="806" ht="13.2" customHeight="1" s="405">
      <c r="B806" s="117" t="n"/>
    </row>
    <row r="807" ht="13.2" customHeight="1" s="405">
      <c r="B807" s="117" t="n"/>
    </row>
    <row r="808" ht="13.2" customHeight="1" s="405">
      <c r="B808" s="117" t="n"/>
    </row>
    <row r="809" ht="13.2" customHeight="1" s="405">
      <c r="B809" s="117" t="n"/>
    </row>
    <row r="810" ht="13.2" customHeight="1" s="405">
      <c r="B810" s="117" t="n"/>
    </row>
    <row r="811" ht="13.2" customHeight="1" s="405">
      <c r="B811" s="117" t="n"/>
    </row>
    <row r="812" ht="13.2" customHeight="1" s="405">
      <c r="B812" s="117" t="n"/>
    </row>
    <row r="813" ht="13.2" customHeight="1" s="405">
      <c r="B813" s="117" t="n"/>
    </row>
    <row r="814" ht="13.2" customHeight="1" s="405">
      <c r="B814" s="117" t="n"/>
    </row>
    <row r="815" ht="13.2" customHeight="1" s="405">
      <c r="B815" s="117" t="n"/>
    </row>
    <row r="816" ht="13.2" customHeight="1" s="405">
      <c r="B816" s="117" t="n"/>
    </row>
    <row r="817" ht="13.2" customHeight="1" s="405">
      <c r="B817" s="117" t="n"/>
    </row>
    <row r="818" ht="13.2" customHeight="1" s="405">
      <c r="B818" s="117" t="n"/>
    </row>
    <row r="819" ht="13.2" customHeight="1" s="405">
      <c r="B819" s="117" t="n"/>
    </row>
    <row r="820" ht="13.2" customHeight="1" s="405">
      <c r="B820" s="117" t="n"/>
    </row>
    <row r="821" ht="13.2" customHeight="1" s="405">
      <c r="B821" s="117" t="n"/>
    </row>
    <row r="822" ht="13.2" customHeight="1" s="405">
      <c r="B822" s="117" t="n"/>
    </row>
    <row r="823" ht="13.2" customHeight="1" s="405">
      <c r="B823" s="117" t="n"/>
    </row>
    <row r="824" ht="13.2" customHeight="1" s="405">
      <c r="B824" s="117" t="n"/>
    </row>
    <row r="825" ht="13.2" customHeight="1" s="405">
      <c r="B825" s="117" t="n"/>
    </row>
    <row r="826" ht="13.2" customHeight="1" s="405">
      <c r="B826" s="117" t="n"/>
    </row>
    <row r="827" ht="13.2" customHeight="1" s="405">
      <c r="B827" s="117" t="n"/>
    </row>
    <row r="828" ht="13.2" customHeight="1" s="405">
      <c r="B828" s="117" t="n"/>
    </row>
    <row r="829" ht="13.2" customHeight="1" s="405">
      <c r="B829" s="117" t="n"/>
    </row>
    <row r="830" ht="13.2" customHeight="1" s="405">
      <c r="B830" s="117" t="n"/>
    </row>
    <row r="831" ht="13.2" customHeight="1" s="405">
      <c r="B831" s="117" t="n"/>
    </row>
    <row r="832" ht="13.2" customHeight="1" s="405">
      <c r="B832" s="117" t="n"/>
    </row>
    <row r="833" ht="13.2" customHeight="1" s="405">
      <c r="B833" s="117" t="n"/>
    </row>
    <row r="834" ht="13.2" customHeight="1" s="405">
      <c r="B834" s="117" t="n"/>
    </row>
    <row r="835" ht="13.2" customHeight="1" s="405">
      <c r="B835" s="117" t="n"/>
    </row>
    <row r="836" ht="13.2" customHeight="1" s="405">
      <c r="B836" s="117" t="n"/>
    </row>
    <row r="837" ht="13.2" customHeight="1" s="405">
      <c r="B837" s="117" t="n"/>
    </row>
    <row r="838" ht="13.2" customHeight="1" s="405">
      <c r="B838" s="117" t="n"/>
    </row>
    <row r="839" ht="13.2" customHeight="1" s="405">
      <c r="B839" s="117" t="n"/>
    </row>
    <row r="840" ht="13.2" customHeight="1" s="405">
      <c r="B840" s="117" t="n"/>
    </row>
    <row r="841" ht="13.2" customHeight="1" s="405">
      <c r="B841" s="117" t="n"/>
    </row>
    <row r="842" ht="13.2" customHeight="1" s="405">
      <c r="B842" s="117" t="n"/>
    </row>
    <row r="843" ht="13.2" customHeight="1" s="405">
      <c r="B843" s="117" t="n"/>
    </row>
    <row r="844" ht="13.2" customHeight="1" s="405">
      <c r="B844" s="117" t="n"/>
    </row>
    <row r="845" ht="13.2" customHeight="1" s="405">
      <c r="B845" s="117" t="n"/>
    </row>
    <row r="846" ht="13.2" customHeight="1" s="405">
      <c r="B846" s="117" t="n"/>
    </row>
    <row r="847" ht="13.2" customHeight="1" s="405">
      <c r="B847" s="117" t="n"/>
    </row>
    <row r="848" ht="13.2" customHeight="1" s="405">
      <c r="B848" s="117" t="n"/>
    </row>
    <row r="849" ht="13.2" customHeight="1" s="405">
      <c r="B849" s="117" t="n"/>
    </row>
    <row r="850" ht="13.2" customHeight="1" s="405">
      <c r="B850" s="117" t="n"/>
    </row>
    <row r="851" ht="13.2" customHeight="1" s="405">
      <c r="B851" s="117" t="n"/>
    </row>
    <row r="852" ht="13.2" customHeight="1" s="405">
      <c r="B852" s="117" t="n"/>
    </row>
    <row r="853" ht="13.2" customHeight="1" s="405">
      <c r="B853" s="117" t="n"/>
    </row>
    <row r="854" ht="13.2" customHeight="1" s="405">
      <c r="B854" s="117" t="n"/>
    </row>
    <row r="855" ht="13.2" customHeight="1" s="405">
      <c r="B855" s="117" t="n"/>
    </row>
    <row r="856" ht="13.2" customHeight="1" s="405">
      <c r="B856" s="117" t="n"/>
    </row>
    <row r="857" ht="13.2" customHeight="1" s="405">
      <c r="B857" s="117" t="n"/>
    </row>
    <row r="858" ht="13.2" customHeight="1" s="405">
      <c r="B858" s="117" t="n"/>
    </row>
    <row r="859" ht="13.2" customHeight="1" s="405">
      <c r="B859" s="117" t="n"/>
    </row>
    <row r="860" ht="13.2" customHeight="1" s="405">
      <c r="B860" s="117" t="n"/>
    </row>
    <row r="861" ht="13.2" customHeight="1" s="405">
      <c r="B861" s="117" t="n"/>
    </row>
    <row r="862" ht="13.2" customHeight="1" s="405">
      <c r="B862" s="117" t="n"/>
    </row>
    <row r="863" ht="13.2" customHeight="1" s="405">
      <c r="B863" s="117" t="n"/>
    </row>
    <row r="864" ht="13.2" customHeight="1" s="405">
      <c r="B864" s="117" t="n"/>
    </row>
    <row r="865" ht="13.2" customHeight="1" s="405">
      <c r="B865" s="117" t="n"/>
    </row>
    <row r="866" ht="13.2" customHeight="1" s="405">
      <c r="B866" s="117" t="n"/>
    </row>
    <row r="867" ht="13.2" customHeight="1" s="405">
      <c r="B867" s="117" t="n"/>
    </row>
    <row r="868" ht="13.2" customHeight="1" s="405">
      <c r="B868" s="117" t="n"/>
    </row>
    <row r="869" ht="13.2" customHeight="1" s="405">
      <c r="B869" s="117" t="n"/>
    </row>
    <row r="870" ht="13.2" customHeight="1" s="405">
      <c r="B870" s="117" t="n"/>
    </row>
    <row r="871" ht="13.2" customHeight="1" s="405">
      <c r="B871" s="117" t="n"/>
    </row>
    <row r="872" ht="13.2" customHeight="1" s="405">
      <c r="B872" s="117" t="n"/>
    </row>
    <row r="873" ht="13.2" customHeight="1" s="405">
      <c r="B873" s="117" t="n"/>
    </row>
    <row r="874" ht="13.2" customHeight="1" s="405">
      <c r="B874" s="117" t="n"/>
    </row>
    <row r="875" ht="13.2" customHeight="1" s="405">
      <c r="B875" s="117" t="n"/>
    </row>
    <row r="876" ht="13.2" customHeight="1" s="405">
      <c r="B876" s="117" t="n"/>
    </row>
    <row r="877" ht="13.2" customHeight="1" s="405">
      <c r="B877" s="117" t="n"/>
    </row>
    <row r="878" ht="13.2" customHeight="1" s="405">
      <c r="B878" s="117" t="n"/>
    </row>
    <row r="879" ht="13.2" customHeight="1" s="405">
      <c r="B879" s="117" t="n"/>
    </row>
    <row r="880" ht="13.2" customHeight="1" s="405">
      <c r="B880" s="117" t="n"/>
    </row>
    <row r="881" ht="13.2" customHeight="1" s="405">
      <c r="B881" s="117" t="n"/>
    </row>
    <row r="882" ht="13.2" customHeight="1" s="405">
      <c r="B882" s="117" t="n"/>
    </row>
    <row r="883" ht="13.2" customHeight="1" s="405">
      <c r="B883" s="117" t="n"/>
    </row>
    <row r="884" ht="13.2" customHeight="1" s="405">
      <c r="B884" s="117" t="n"/>
    </row>
    <row r="885" ht="13.2" customHeight="1" s="405">
      <c r="B885" s="117" t="n"/>
    </row>
    <row r="886" ht="13.2" customHeight="1" s="405">
      <c r="B886" s="117" t="n"/>
    </row>
    <row r="887" ht="13.2" customHeight="1" s="405">
      <c r="B887" s="117" t="n"/>
    </row>
    <row r="888" ht="13.2" customHeight="1" s="405">
      <c r="B888" s="117" t="n"/>
    </row>
    <row r="889" ht="13.2" customHeight="1" s="405">
      <c r="B889" s="117" t="n"/>
    </row>
    <row r="890" ht="13.2" customHeight="1" s="405">
      <c r="B890" s="117" t="n"/>
    </row>
    <row r="891" ht="13.2" customHeight="1" s="405">
      <c r="B891" s="117" t="n"/>
    </row>
    <row r="892" ht="13.2" customHeight="1" s="405">
      <c r="B892" s="117" t="n"/>
    </row>
    <row r="893" ht="13.2" customHeight="1" s="405">
      <c r="B893" s="117" t="n"/>
    </row>
    <row r="894" ht="13.2" customHeight="1" s="405">
      <c r="B894" s="117" t="n"/>
    </row>
    <row r="895" ht="13.2" customHeight="1" s="405">
      <c r="B895" s="117" t="n"/>
    </row>
    <row r="896" ht="13.2" customHeight="1" s="405">
      <c r="B896" s="117" t="n"/>
    </row>
    <row r="897" ht="13.2" customHeight="1" s="405">
      <c r="B897" s="117" t="n"/>
    </row>
    <row r="898" ht="13.2" customHeight="1" s="405">
      <c r="B898" s="117" t="n"/>
    </row>
    <row r="899" ht="13.2" customHeight="1" s="405">
      <c r="B899" s="117" t="n"/>
    </row>
    <row r="900" ht="13.2" customHeight="1" s="405">
      <c r="B900" s="117" t="n"/>
    </row>
    <row r="901" ht="13.2" customHeight="1" s="405">
      <c r="B901" s="117" t="n"/>
    </row>
    <row r="902" ht="13.2" customHeight="1" s="405">
      <c r="B902" s="117" t="n"/>
    </row>
    <row r="903" ht="13.2" customHeight="1" s="405">
      <c r="B903" s="117" t="n"/>
    </row>
    <row r="904" ht="13.2" customHeight="1" s="405">
      <c r="B904" s="117" t="n"/>
    </row>
    <row r="905" ht="13.2" customHeight="1" s="405">
      <c r="B905" s="117" t="n"/>
    </row>
    <row r="906" ht="13.2" customHeight="1" s="405">
      <c r="B906" s="117" t="n"/>
    </row>
    <row r="907" ht="13.2" customHeight="1" s="405">
      <c r="B907" s="117" t="n"/>
    </row>
    <row r="908" ht="13.2" customHeight="1" s="405">
      <c r="B908" s="117" t="n"/>
    </row>
    <row r="909" ht="13.2" customHeight="1" s="405">
      <c r="B909" s="117" t="n"/>
    </row>
    <row r="910" ht="13.2" customHeight="1" s="405">
      <c r="B910" s="117" t="n"/>
    </row>
    <row r="911" ht="13.2" customHeight="1" s="405">
      <c r="B911" s="117" t="n"/>
    </row>
    <row r="912" ht="13.2" customHeight="1" s="405">
      <c r="B912" s="117" t="n"/>
    </row>
    <row r="913" ht="13.2" customHeight="1" s="405">
      <c r="B913" s="117" t="n"/>
    </row>
    <row r="914" ht="13.2" customHeight="1" s="405">
      <c r="B914" s="117" t="n"/>
    </row>
    <row r="915" ht="13.2" customHeight="1" s="405">
      <c r="B915" s="117" t="n"/>
    </row>
    <row r="916" ht="13.2" customHeight="1" s="405">
      <c r="B916" s="117" t="n"/>
    </row>
    <row r="917" ht="13.2" customHeight="1" s="405">
      <c r="B917" s="117" t="n"/>
    </row>
    <row r="918" ht="13.2" customHeight="1" s="405">
      <c r="B918" s="117" t="n"/>
    </row>
    <row r="919" ht="13.2" customHeight="1" s="405">
      <c r="B919" s="117" t="n"/>
    </row>
    <row r="920" ht="13.2" customHeight="1" s="405">
      <c r="B920" s="117" t="n"/>
    </row>
    <row r="921" ht="13.2" customHeight="1" s="405">
      <c r="B921" s="117" t="n"/>
    </row>
    <row r="922" ht="13.2" customHeight="1" s="405">
      <c r="B922" s="117" t="n"/>
    </row>
    <row r="923" ht="13.2" customHeight="1" s="405">
      <c r="B923" s="117" t="n"/>
    </row>
    <row r="924" ht="13.2" customHeight="1" s="405">
      <c r="B924" s="117" t="n"/>
    </row>
    <row r="925" ht="13.2" customHeight="1" s="405">
      <c r="B925" s="117" t="n"/>
    </row>
    <row r="926" ht="13.2" customHeight="1" s="405">
      <c r="B926" s="117" t="n"/>
    </row>
    <row r="927" ht="13.2" customHeight="1" s="405">
      <c r="B927" s="117" t="n"/>
    </row>
    <row r="928" ht="13.2" customHeight="1" s="405">
      <c r="B928" s="117" t="n"/>
    </row>
    <row r="929" ht="13.2" customHeight="1" s="405">
      <c r="B929" s="117" t="n"/>
    </row>
    <row r="930" ht="13.2" customHeight="1" s="405">
      <c r="B930" s="117" t="n"/>
    </row>
    <row r="931" ht="13.2" customHeight="1" s="405">
      <c r="B931" s="117" t="n"/>
    </row>
    <row r="932" ht="13.2" customHeight="1" s="405">
      <c r="B932" s="117" t="n"/>
    </row>
    <row r="933" ht="13.2" customHeight="1" s="405">
      <c r="B933" s="117" t="n"/>
    </row>
    <row r="934" ht="13.2" customHeight="1" s="405">
      <c r="B934" s="117" t="n"/>
    </row>
    <row r="935" ht="13.2" customHeight="1" s="405">
      <c r="B935" s="117" t="n"/>
    </row>
    <row r="936" ht="13.2" customHeight="1" s="405">
      <c r="B936" s="117" t="n"/>
    </row>
    <row r="937" ht="13.2" customHeight="1" s="405">
      <c r="B937" s="117" t="n"/>
    </row>
    <row r="938" ht="13.2" customHeight="1" s="405">
      <c r="B938" s="117" t="n"/>
    </row>
    <row r="939" ht="13.2" customHeight="1" s="405">
      <c r="B939" s="117" t="n"/>
    </row>
    <row r="940" ht="13.2" customHeight="1" s="405">
      <c r="B940" s="117" t="n"/>
    </row>
    <row r="941" ht="13.2" customHeight="1" s="405">
      <c r="B941" s="117" t="n"/>
    </row>
    <row r="942" ht="13.2" customHeight="1" s="405">
      <c r="B942" s="117" t="n"/>
    </row>
    <row r="943" ht="13.2" customHeight="1" s="405">
      <c r="B943" s="117" t="n"/>
    </row>
    <row r="944" ht="13.2" customHeight="1" s="405">
      <c r="B944" s="117" t="n"/>
    </row>
    <row r="945" ht="13.2" customHeight="1" s="405">
      <c r="B945" s="117" t="n"/>
    </row>
    <row r="946" ht="13.2" customHeight="1" s="405">
      <c r="B946" s="117" t="n"/>
    </row>
    <row r="947" ht="13.2" customHeight="1" s="405">
      <c r="B947" s="117" t="n"/>
    </row>
    <row r="948" ht="13.2" customHeight="1" s="405">
      <c r="B948" s="117" t="n"/>
    </row>
    <row r="949" ht="13.2" customHeight="1" s="405">
      <c r="B949" s="117" t="n"/>
    </row>
    <row r="950" ht="13.2" customHeight="1" s="405">
      <c r="B950" s="117" t="n"/>
    </row>
    <row r="951" ht="13.2" customHeight="1" s="405">
      <c r="B951" s="117" t="n"/>
    </row>
    <row r="952" ht="13.2" customHeight="1" s="405">
      <c r="B952" s="117" t="n"/>
    </row>
    <row r="953" ht="13.2" customHeight="1" s="405">
      <c r="B953" s="117" t="n"/>
    </row>
    <row r="954" ht="13.2" customHeight="1" s="405">
      <c r="B954" s="117" t="n"/>
    </row>
    <row r="955" ht="13.2" customHeight="1" s="405">
      <c r="B955" s="117" t="n"/>
    </row>
    <row r="956" ht="13.2" customHeight="1" s="405">
      <c r="B956" s="117" t="n"/>
    </row>
    <row r="957" ht="13.2" customHeight="1" s="405">
      <c r="B957" s="117" t="n"/>
    </row>
    <row r="958" ht="13.2" customHeight="1" s="405">
      <c r="B958" s="117" t="n"/>
    </row>
    <row r="959" ht="13.2" customHeight="1" s="405">
      <c r="B959" s="117" t="n"/>
    </row>
    <row r="960" ht="13.2" customHeight="1" s="405">
      <c r="B960" s="117" t="n"/>
    </row>
    <row r="961" ht="13.2" customHeight="1" s="405">
      <c r="B961" s="117" t="n"/>
    </row>
    <row r="962" ht="13.2" customHeight="1" s="405">
      <c r="B962" s="117" t="n"/>
    </row>
    <row r="963" ht="13.2" customHeight="1" s="405">
      <c r="B963" s="117" t="n"/>
    </row>
    <row r="964" ht="13.2" customHeight="1" s="405">
      <c r="B964" s="117" t="n"/>
    </row>
    <row r="965" ht="13.2" customHeight="1" s="405">
      <c r="B965" s="117" t="n"/>
    </row>
    <row r="966" ht="13.2" customHeight="1" s="405">
      <c r="B966" s="117" t="n"/>
    </row>
    <row r="967" ht="13.2" customHeight="1" s="405">
      <c r="B967" s="117" t="n"/>
    </row>
    <row r="968" ht="13.2" customHeight="1" s="405">
      <c r="B968" s="117" t="n"/>
    </row>
    <row r="969" ht="13.2" customHeight="1" s="405">
      <c r="B969" s="117" t="n"/>
    </row>
    <row r="970" ht="13.2" customHeight="1" s="405">
      <c r="B970" s="117" t="n"/>
    </row>
    <row r="971" ht="13.2" customHeight="1" s="405">
      <c r="B971" s="117" t="n"/>
    </row>
    <row r="972" ht="13.2" customHeight="1" s="405">
      <c r="B972" s="117" t="n"/>
    </row>
    <row r="973" ht="13.2" customHeight="1" s="405">
      <c r="B973" s="117" t="n"/>
    </row>
    <row r="974" ht="13.2" customHeight="1" s="405">
      <c r="B974" s="117" t="n"/>
    </row>
    <row r="975" ht="13.2" customHeight="1" s="405">
      <c r="B975" s="117" t="n"/>
    </row>
    <row r="976" ht="13.2" customHeight="1" s="405">
      <c r="B976" s="117" t="n"/>
    </row>
    <row r="977" ht="13.2" customHeight="1" s="405">
      <c r="B977" s="117" t="n"/>
    </row>
    <row r="978" ht="13.2" customHeight="1" s="405">
      <c r="B978" s="117" t="n"/>
    </row>
    <row r="979" ht="13.2" customHeight="1" s="405">
      <c r="B979" s="117" t="n"/>
    </row>
    <row r="980" ht="13.2" customHeight="1" s="405">
      <c r="B980" s="117" t="n"/>
    </row>
    <row r="981" ht="13.2" customHeight="1" s="405">
      <c r="B981" s="117" t="n"/>
    </row>
    <row r="982" ht="13.2" customHeight="1" s="405">
      <c r="B982" s="117" t="n"/>
    </row>
    <row r="983" ht="13.2" customHeight="1" s="405">
      <c r="B983" s="117" t="n"/>
    </row>
    <row r="984" ht="13.2" customHeight="1" s="405">
      <c r="B984" s="117" t="n"/>
    </row>
    <row r="985" ht="13.2" customHeight="1" s="405">
      <c r="B985" s="117" t="n"/>
    </row>
    <row r="986" ht="13.2" customHeight="1" s="405">
      <c r="B986" s="117" t="n"/>
    </row>
    <row r="987" ht="13.2" customHeight="1" s="405">
      <c r="B987" s="117" t="n"/>
    </row>
    <row r="988" ht="13.2" customHeight="1" s="405">
      <c r="B988" s="117" t="n"/>
    </row>
    <row r="989" ht="13.2" customHeight="1" s="405">
      <c r="B989" s="117" t="n"/>
    </row>
    <row r="990" ht="13.2" customHeight="1" s="405">
      <c r="B990" s="117" t="n"/>
    </row>
    <row r="991" ht="13.2" customHeight="1" s="405">
      <c r="B991" s="117" t="n"/>
    </row>
    <row r="992" ht="13.2" customHeight="1" s="405">
      <c r="B992" s="117" t="n"/>
    </row>
    <row r="993" ht="13.2" customHeight="1" s="405">
      <c r="B993" s="117" t="n"/>
    </row>
    <row r="994" ht="13.2" customHeight="1" s="405">
      <c r="B994" s="117" t="n"/>
    </row>
    <row r="995" ht="13.2" customHeight="1" s="405">
      <c r="B995" s="117" t="n"/>
    </row>
    <row r="996" ht="13.2" customHeight="1" s="405">
      <c r="B996" s="117" t="n"/>
    </row>
    <row r="997" ht="13.2" customHeight="1" s="405">
      <c r="B997" s="117" t="n"/>
    </row>
    <row r="998" ht="13.2" customHeight="1" s="405">
      <c r="B998" s="117" t="n"/>
    </row>
    <row r="999" ht="13.2" customHeight="1" s="405">
      <c r="B999" s="117" t="n"/>
    </row>
  </sheetData>
  <mergeCells count="3">
    <mergeCell ref="A1:D1"/>
    <mergeCell ref="A2:A3"/>
    <mergeCell ref="B2:B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0" summaryRight="0"/>
    <pageSetUpPr/>
  </sheetPr>
  <dimension ref="A1:AI57"/>
  <sheetViews>
    <sheetView workbookViewId="0">
      <pane xSplit="3" topLeftCell="D1" activePane="topRight" state="frozen"/>
      <selection pane="topRight" activeCell="E2" sqref="E2"/>
    </sheetView>
  </sheetViews>
  <sheetFormatPr baseColWidth="8" defaultColWidth="12.6640625" defaultRowHeight="15.75" customHeight="1"/>
  <cols>
    <col width="5.33203125" customWidth="1" style="405" min="1" max="1"/>
    <col width="20.109375" customWidth="1" style="405" min="2" max="2"/>
    <col width="34" customWidth="1" style="405" min="10" max="10"/>
  </cols>
  <sheetData>
    <row r="1" ht="15.75" customHeight="1" s="405">
      <c r="A1" s="345" t="n"/>
      <c r="B1" s="345" t="n"/>
      <c r="C1" s="345" t="n"/>
      <c r="D1" s="8" t="n"/>
      <c r="E1" s="345" t="n"/>
      <c r="F1" s="345" t="n"/>
      <c r="G1" s="345" t="n"/>
      <c r="H1" s="345" t="n"/>
      <c r="I1" s="345" t="n"/>
      <c r="J1" s="345" t="n"/>
      <c r="K1" s="345" t="n"/>
      <c r="L1" s="345" t="n"/>
      <c r="M1" s="345" t="n"/>
      <c r="N1" s="345" t="n"/>
      <c r="O1" s="345" t="n"/>
      <c r="P1" s="9" t="n"/>
      <c r="Q1" s="9" t="n"/>
      <c r="R1" s="9" t="n"/>
      <c r="S1" s="9" t="n"/>
      <c r="T1" s="9" t="n"/>
      <c r="U1" s="9" t="n"/>
      <c r="V1" s="9" t="n"/>
      <c r="W1" s="9" t="n"/>
      <c r="X1" s="9" t="n"/>
      <c r="Y1" s="9" t="n"/>
      <c r="Z1" s="9" t="n"/>
      <c r="AA1" s="9" t="n"/>
      <c r="AB1" s="9" t="n"/>
      <c r="AC1" s="9" t="n"/>
      <c r="AD1" s="9" t="n"/>
      <c r="AE1" s="9" t="n"/>
      <c r="AF1" s="9" t="n"/>
      <c r="AG1" s="9" t="n"/>
      <c r="AH1" s="9" t="n"/>
      <c r="AI1" s="9" t="n"/>
    </row>
    <row r="2" ht="15.75" customHeight="1" s="405">
      <c r="A2" s="434" t="inlineStr">
        <is>
          <t>STT</t>
        </is>
      </c>
      <c r="B2" s="22" t="inlineStr">
        <is>
          <t>Số tài khoản</t>
        </is>
      </c>
      <c r="C2" s="212" t="inlineStr">
        <is>
          <t>Số Thẻ</t>
        </is>
      </c>
      <c r="D2" s="19" t="inlineStr">
        <is>
          <t>Số tiền chi tiêu hàng ngày theo đầu thẻ</t>
        </is>
      </c>
      <c r="E2" s="23" t="n"/>
      <c r="F2" s="23" t="n"/>
      <c r="G2" s="23" t="n"/>
      <c r="H2" s="23" t="n"/>
      <c r="I2" s="23" t="n"/>
      <c r="J2" s="23" t="n"/>
      <c r="K2" s="23" t="n"/>
      <c r="L2" s="23" t="n"/>
      <c r="M2" s="23" t="n"/>
      <c r="N2" s="23" t="n"/>
      <c r="O2" s="23" t="n"/>
      <c r="P2" s="23" t="n"/>
      <c r="Q2" s="23" t="n"/>
      <c r="R2" s="23" t="n"/>
      <c r="S2" s="23" t="n"/>
      <c r="T2" s="23" t="n"/>
      <c r="U2" s="23" t="n"/>
      <c r="V2" s="23" t="n"/>
      <c r="W2" s="23" t="n"/>
      <c r="X2" s="23" t="n"/>
      <c r="Y2" s="23" t="n"/>
      <c r="Z2" s="23" t="n"/>
      <c r="AA2" s="23" t="n"/>
      <c r="AB2" s="23" t="n"/>
      <c r="AC2" s="23" t="n"/>
      <c r="AD2" s="23" t="n"/>
      <c r="AE2" s="23" t="n"/>
      <c r="AF2" s="23" t="n"/>
      <c r="AG2" s="23" t="n"/>
      <c r="AH2" s="37" t="n"/>
      <c r="AI2" s="9" t="n"/>
    </row>
    <row r="3" ht="15.75" customHeight="1" s="405">
      <c r="A3" s="433" t="n"/>
      <c r="B3" s="433" t="n"/>
      <c r="C3" s="433" t="n"/>
      <c r="D3" s="41" t="n">
        <v>46204</v>
      </c>
      <c r="E3" s="41" t="n">
        <v>46205</v>
      </c>
      <c r="F3" s="41" t="n">
        <v>46206</v>
      </c>
      <c r="G3" s="41" t="n">
        <v>46207</v>
      </c>
      <c r="H3" s="41" t="n">
        <v>46208</v>
      </c>
      <c r="I3" s="41" t="n">
        <v>46209</v>
      </c>
      <c r="J3" s="41" t="n">
        <v>46210</v>
      </c>
      <c r="K3" s="41" t="n">
        <v>46211</v>
      </c>
      <c r="L3" s="41" t="n">
        <v>46212</v>
      </c>
      <c r="M3" s="41" t="n">
        <v>46213</v>
      </c>
      <c r="N3" s="41" t="n">
        <v>46214</v>
      </c>
      <c r="O3" s="41" t="n">
        <v>46215</v>
      </c>
      <c r="P3" s="41" t="n">
        <v>46216</v>
      </c>
      <c r="Q3" s="41" t="n">
        <v>46217</v>
      </c>
      <c r="R3" s="41" t="n">
        <v>46218</v>
      </c>
      <c r="S3" s="41" t="n">
        <v>46219</v>
      </c>
      <c r="T3" s="41" t="n">
        <v>46220</v>
      </c>
      <c r="U3" s="41" t="n">
        <v>46221</v>
      </c>
      <c r="V3" s="41" t="n">
        <v>46222</v>
      </c>
      <c r="W3" s="41" t="n">
        <v>46223</v>
      </c>
      <c r="X3" s="41" t="n">
        <v>46224</v>
      </c>
      <c r="Y3" s="41" t="n">
        <v>46225</v>
      </c>
      <c r="Z3" s="41" t="n">
        <v>46226</v>
      </c>
      <c r="AA3" s="41" t="n">
        <v>46227</v>
      </c>
      <c r="AB3" s="41" t="n">
        <v>46228</v>
      </c>
      <c r="AC3" s="41" t="n">
        <v>46229</v>
      </c>
      <c r="AD3" s="41" t="n">
        <v>46230</v>
      </c>
      <c r="AE3" s="41" t="n">
        <v>46231</v>
      </c>
      <c r="AF3" s="41" t="n">
        <v>46232</v>
      </c>
      <c r="AG3" s="41" t="n">
        <v>46233</v>
      </c>
      <c r="AH3" s="41" t="n">
        <v>46234</v>
      </c>
      <c r="AI3" s="9" t="n"/>
    </row>
    <row r="4" ht="15.75" customHeight="1" s="405">
      <c r="A4" s="347" t="n">
        <v>1</v>
      </c>
      <c r="B4" s="85" t="inlineStr">
        <is>
          <t>9330 - 091</t>
        </is>
      </c>
      <c r="C4" s="86" t="n">
        <v>9330</v>
      </c>
      <c r="D4" s="255" t="n">
        <v>2184721</v>
      </c>
      <c r="E4" s="257" t="n">
        <v>2892749</v>
      </c>
      <c r="F4" s="255" t="n">
        <v>3409871</v>
      </c>
      <c r="G4" s="344" t="n">
        <v>3302621</v>
      </c>
      <c r="H4" s="258" t="n">
        <v>2965919</v>
      </c>
      <c r="I4" s="259" t="n">
        <v>0</v>
      </c>
      <c r="J4" s="257" t="n">
        <v>4814824</v>
      </c>
      <c r="K4" s="257" t="n">
        <v>4814824</v>
      </c>
      <c r="L4" s="255" t="n">
        <v>323473</v>
      </c>
      <c r="M4" s="257" t="n">
        <v>4958186</v>
      </c>
      <c r="N4" s="255" t="n">
        <v>0</v>
      </c>
      <c r="O4" s="344" t="n">
        <v>4814824</v>
      </c>
      <c r="P4" s="94" t="n"/>
      <c r="Q4" s="257" t="n">
        <v>1317835</v>
      </c>
      <c r="R4" s="342" t="n">
        <v>2263808</v>
      </c>
      <c r="S4" s="257" t="n"/>
      <c r="T4" s="260" t="n">
        <v>0</v>
      </c>
      <c r="U4" s="379" t="n">
        <v>4814824</v>
      </c>
      <c r="V4" s="257" t="n"/>
      <c r="W4" s="344" t="n">
        <v>4814824</v>
      </c>
      <c r="X4" s="261" t="n">
        <v>0</v>
      </c>
      <c r="Z4" s="344" t="n">
        <v>4814824</v>
      </c>
      <c r="AA4" s="262" t="n"/>
      <c r="AB4" s="263" t="n"/>
      <c r="AC4" s="262" t="n">
        <v>4814824</v>
      </c>
      <c r="AD4" s="262" t="n"/>
      <c r="AE4" s="265" t="n"/>
      <c r="AF4" s="262" t="n"/>
      <c r="AG4" s="263" t="n"/>
      <c r="AH4" s="262" t="n"/>
      <c r="AI4" s="76" t="n"/>
    </row>
    <row r="5" ht="15.75" customHeight="1" s="405">
      <c r="A5" s="347" t="n">
        <v>2</v>
      </c>
      <c r="B5" s="325" t="n"/>
      <c r="C5" s="325" t="n"/>
      <c r="D5" s="257" t="n"/>
      <c r="E5" s="257" t="n">
        <v>727341</v>
      </c>
      <c r="F5" s="257" t="n">
        <v>2889377</v>
      </c>
      <c r="G5" s="257" t="n">
        <v>2889377</v>
      </c>
      <c r="H5" s="257" t="n">
        <v>3047760</v>
      </c>
      <c r="I5" s="257" t="n">
        <v>0</v>
      </c>
      <c r="J5" s="257" t="n">
        <v>2889377</v>
      </c>
      <c r="K5" s="257" t="n">
        <v>2131917</v>
      </c>
      <c r="L5" s="257" t="n">
        <v>3662583</v>
      </c>
      <c r="M5" s="344" t="n">
        <v>1082575</v>
      </c>
      <c r="N5" s="257" t="n">
        <v>0</v>
      </c>
      <c r="O5" s="380" t="n">
        <v>2489806</v>
      </c>
      <c r="P5" s="257" t="n">
        <v>2489806</v>
      </c>
      <c r="Q5" s="257" t="n">
        <v>933966</v>
      </c>
      <c r="R5" s="342" t="n">
        <v>1634229</v>
      </c>
      <c r="S5" s="257" t="n">
        <v>2489806</v>
      </c>
      <c r="T5" s="257" t="n">
        <v>0</v>
      </c>
      <c r="U5" s="94" t="n"/>
      <c r="V5" s="342" t="n">
        <v>4703908</v>
      </c>
      <c r="W5" s="257" t="n"/>
      <c r="X5" s="257" t="n">
        <v>0</v>
      </c>
      <c r="Y5" s="342" t="n">
        <v>4703908</v>
      </c>
      <c r="Z5" s="262" t="n"/>
      <c r="AA5" s="262" t="n"/>
      <c r="AB5" s="263" t="n"/>
      <c r="AC5" s="263" t="n">
        <v>4703908</v>
      </c>
      <c r="AD5" s="262" t="n"/>
      <c r="AE5" s="262" t="n"/>
      <c r="AF5" s="262" t="n"/>
      <c r="AG5" s="263" t="n"/>
      <c r="AH5" s="262" t="n"/>
      <c r="AI5" s="76" t="n"/>
    </row>
    <row r="6" ht="15.75" customHeight="1" s="405">
      <c r="A6" s="347" t="n">
        <v>3</v>
      </c>
      <c r="B6" s="325" t="n"/>
      <c r="C6" s="325" t="n"/>
      <c r="D6" s="257" t="n"/>
      <c r="E6" s="257" t="n"/>
      <c r="F6" s="257" t="n"/>
      <c r="G6" s="257" t="n"/>
      <c r="H6" s="257" t="n"/>
      <c r="I6" s="257" t="n"/>
      <c r="J6" s="257" t="n"/>
      <c r="K6" s="257" t="n"/>
      <c r="L6" s="257" t="n"/>
      <c r="M6" s="257" t="n"/>
      <c r="N6" s="257" t="n"/>
      <c r="O6" s="257" t="n"/>
      <c r="P6" s="257" t="n"/>
      <c r="Q6" s="257" t="n"/>
      <c r="R6" s="257" t="n"/>
      <c r="S6" s="257" t="n"/>
      <c r="T6" s="257" t="n"/>
      <c r="U6" s="257" t="n"/>
      <c r="V6" s="257" t="n"/>
      <c r="W6" s="257" t="n"/>
      <c r="X6" s="257" t="n"/>
      <c r="Y6" s="76" t="n"/>
      <c r="Z6" s="265" t="n"/>
      <c r="AA6" s="262" t="n"/>
      <c r="AB6" s="265" t="n"/>
      <c r="AC6" s="267" t="n"/>
      <c r="AD6" s="267" t="n"/>
      <c r="AE6" s="262" t="n"/>
      <c r="AF6" s="265" t="n"/>
      <c r="AG6" s="76" t="n"/>
      <c r="AH6" s="265" t="n"/>
      <c r="AI6" s="76" t="n"/>
    </row>
    <row r="7" ht="15.75" customHeight="1" s="405">
      <c r="A7" s="347" t="n">
        <v>4</v>
      </c>
      <c r="B7" s="325" t="n"/>
      <c r="C7" s="325" t="n"/>
      <c r="D7" s="257" t="n"/>
      <c r="E7" s="257" t="n"/>
      <c r="F7" s="257" t="n"/>
      <c r="G7" s="257" t="n"/>
      <c r="H7" s="257" t="n"/>
      <c r="I7" s="257" t="n"/>
      <c r="J7" s="257" t="n"/>
      <c r="K7" s="257" t="n"/>
      <c r="L7" s="257" t="n"/>
      <c r="M7" s="257" t="n"/>
      <c r="N7" s="257" t="n"/>
      <c r="O7" s="267" t="n"/>
      <c r="P7" s="257" t="n"/>
      <c r="Q7" s="257" t="n"/>
      <c r="R7" s="257" t="n"/>
      <c r="S7" s="257" t="n"/>
      <c r="T7" s="257" t="n"/>
      <c r="U7" s="257" t="n"/>
      <c r="V7" s="257" t="n"/>
      <c r="W7" s="257" t="n"/>
      <c r="X7" s="257" t="n"/>
      <c r="Y7" s="265" t="n"/>
      <c r="Z7" s="265" t="n"/>
      <c r="AA7" s="265" t="n"/>
      <c r="AB7" s="262" t="n"/>
      <c r="AC7" s="265" t="n"/>
      <c r="AD7" s="267" t="n"/>
      <c r="AE7" s="263" t="n"/>
      <c r="AF7" s="265" t="n"/>
      <c r="AG7" s="268" t="n"/>
      <c r="AH7" s="265" t="n"/>
      <c r="AI7" s="76" t="n"/>
    </row>
    <row r="8" ht="15.75" customHeight="1" s="405">
      <c r="A8" s="82" t="inlineStr">
        <is>
          <t>Tổng</t>
        </is>
      </c>
      <c r="B8" s="83" t="n"/>
      <c r="C8" s="83">
        <f>+D8+E8+F8+G8+H8+I8+J8+K8+L8+M8+N8+O8++P8+Q8+R8+S8+T8+U8+V8+W8+X8+Y8+Z8+AA8+AB8+AC8+AD8+AE8+AF8+AG8+AH8</f>
        <v/>
      </c>
      <c r="D8" s="83">
        <f>SUM(D4:D7) /1.1</f>
        <v/>
      </c>
      <c r="E8" s="83">
        <f>SUM(E4:E7) /1.1</f>
        <v/>
      </c>
      <c r="F8" s="83">
        <f>SUM(F4:F7) /1.1</f>
        <v/>
      </c>
      <c r="G8" s="83">
        <f>SUM(G4:G7) /1.1</f>
        <v/>
      </c>
      <c r="H8" s="83">
        <f>SUM(H4:H7) /1.1</f>
        <v/>
      </c>
      <c r="I8" s="83">
        <f>SUM(I5:I7) /1.1</f>
        <v/>
      </c>
      <c r="J8" s="83">
        <f>SUM(J4:J7) /1.1</f>
        <v/>
      </c>
      <c r="K8" s="83">
        <f>SUM(K4:K7) /1.1</f>
        <v/>
      </c>
      <c r="L8" s="83">
        <f>SUM(L4:L7) /1.1</f>
        <v/>
      </c>
      <c r="M8" s="83">
        <f>SUM(M4:M7) /1.1</f>
        <v/>
      </c>
      <c r="N8" s="83">
        <f>SUM(N4:N7) /1.1</f>
        <v/>
      </c>
      <c r="O8" s="83">
        <f>SUM(O4:O7) /1.1</f>
        <v/>
      </c>
      <c r="P8" s="83">
        <f>SUM(P5:P7) /1.1</f>
        <v/>
      </c>
      <c r="Q8" s="83">
        <f>SUM(Q4:Q7) /1.1</f>
        <v/>
      </c>
      <c r="R8" s="83">
        <f>SUM(R4:R7) /1.1</f>
        <v/>
      </c>
      <c r="S8" s="83">
        <f>SUM(S4:S7) /1.1</f>
        <v/>
      </c>
      <c r="T8" s="83">
        <f>SUM(T4:T7) /1.1</f>
        <v/>
      </c>
      <c r="U8" s="83">
        <f>SUM(U4:U7) /1.1</f>
        <v/>
      </c>
      <c r="V8" s="83">
        <f>SUM(V4:V7) /1.1</f>
        <v/>
      </c>
      <c r="W8" s="83">
        <f>SUM(W4:W7) /1.1</f>
        <v/>
      </c>
      <c r="X8" s="83">
        <f>SUM(X4:X7) /1.1</f>
        <v/>
      </c>
      <c r="Y8" s="83">
        <f>SUM(Y5:Y7) /1.1</f>
        <v/>
      </c>
      <c r="Z8" s="83">
        <f>SUM(Z4:Z7) /1.1</f>
        <v/>
      </c>
      <c r="AA8" s="83">
        <f>SUM(AA4:AA7) /1.1</f>
        <v/>
      </c>
      <c r="AB8" s="83">
        <f>SUM(AB4:AB7) /1.1</f>
        <v/>
      </c>
      <c r="AC8" s="83">
        <f>SUM(AC4:AC7) /1.1</f>
        <v/>
      </c>
      <c r="AD8" s="83">
        <f>SUM(AD4:AD7) /1.1</f>
        <v/>
      </c>
      <c r="AE8" s="83">
        <f>SUM(AE5:AE7) /1.1</f>
        <v/>
      </c>
      <c r="AF8" s="83">
        <f>SUM(AF4:AF7) /1.1</f>
        <v/>
      </c>
      <c r="AG8" s="83">
        <f>SUM(AG4:AG7) /1.1</f>
        <v/>
      </c>
      <c r="AH8" s="83">
        <f>SUM(AH4:AH7) /1.1</f>
        <v/>
      </c>
      <c r="AI8" s="76" t="n"/>
    </row>
    <row r="9" ht="15.75" customHeight="1" s="405">
      <c r="A9" s="345" t="inlineStr">
        <is>
          <t>Kế toán check Hóa đơn</t>
        </is>
      </c>
      <c r="B9" s="345" t="n"/>
      <c r="C9" s="345" t="n"/>
      <c r="D9" s="8" t="n"/>
      <c r="E9" s="345" t="n"/>
      <c r="F9" s="345" t="n"/>
      <c r="G9" s="345" t="n"/>
      <c r="H9" s="345" t="n"/>
      <c r="I9" s="345" t="n"/>
      <c r="J9" s="345" t="n"/>
      <c r="K9" s="345" t="n"/>
      <c r="L9" s="345" t="n"/>
      <c r="M9" s="345" t="n"/>
      <c r="N9" s="345" t="n"/>
      <c r="O9" s="345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</row>
    <row r="10" ht="15.75" customHeight="1" s="405">
      <c r="A10" s="110" t="inlineStr">
        <is>
          <t>Chênh lệch</t>
        </is>
      </c>
      <c r="B10" s="345" t="n"/>
      <c r="C10" s="345" t="n"/>
      <c r="D10" s="113">
        <f>D8-D9</f>
        <v/>
      </c>
      <c r="E10" s="113">
        <f>E8-E9</f>
        <v/>
      </c>
      <c r="F10" s="113">
        <f>F8-F9</f>
        <v/>
      </c>
      <c r="G10" s="113">
        <f>G8-G9</f>
        <v/>
      </c>
      <c r="H10" s="113">
        <f>H8-H9</f>
        <v/>
      </c>
      <c r="I10" s="113">
        <f>I8-I9</f>
        <v/>
      </c>
      <c r="J10" s="113">
        <f>J8-J9</f>
        <v/>
      </c>
      <c r="K10" s="113">
        <f>K8-K9</f>
        <v/>
      </c>
      <c r="L10" s="113">
        <f>L8-L9</f>
        <v/>
      </c>
      <c r="M10" s="113">
        <f>M8-M9</f>
        <v/>
      </c>
      <c r="N10" s="113">
        <f>N8-N9</f>
        <v/>
      </c>
      <c r="O10" s="113">
        <f>O8-O9</f>
        <v/>
      </c>
      <c r="P10" s="113">
        <f>P8-P9</f>
        <v/>
      </c>
      <c r="Q10" s="113">
        <f>Q8-Q9</f>
        <v/>
      </c>
      <c r="R10" s="113">
        <f>R8-R9</f>
        <v/>
      </c>
      <c r="S10" s="113">
        <f>S8-S9</f>
        <v/>
      </c>
      <c r="T10" s="113">
        <f>T8-T9</f>
        <v/>
      </c>
      <c r="U10" s="113">
        <f>U8-U9</f>
        <v/>
      </c>
      <c r="V10" s="113">
        <f>V8-V9</f>
        <v/>
      </c>
      <c r="W10" s="113">
        <f>W8-W9</f>
        <v/>
      </c>
      <c r="X10" s="113">
        <f>X8-X9</f>
        <v/>
      </c>
      <c r="Y10" s="113">
        <f>Y8-Y9</f>
        <v/>
      </c>
      <c r="Z10" s="113">
        <f>Z8-Z9</f>
        <v/>
      </c>
      <c r="AA10" s="113">
        <f>AA8-AA9</f>
        <v/>
      </c>
      <c r="AB10" s="113">
        <f>AB8-AB9</f>
        <v/>
      </c>
      <c r="AC10" s="113">
        <f>AC8-AC9</f>
        <v/>
      </c>
      <c r="AD10" s="113">
        <f>AD8-AD9</f>
        <v/>
      </c>
      <c r="AE10" s="113">
        <f>AE8-AE9</f>
        <v/>
      </c>
      <c r="AF10" s="113">
        <f>AF8-AF9</f>
        <v/>
      </c>
      <c r="AG10" s="113">
        <f>AG8-AG9</f>
        <v/>
      </c>
      <c r="AH10" s="113">
        <f>AH8-AH9</f>
        <v/>
      </c>
      <c r="AI10" s="9" t="n"/>
    </row>
    <row r="11"/>
    <row r="12"/>
    <row r="13">
      <c r="B13" s="118" t="inlineStr">
        <is>
          <t>Facebook Billing</t>
        </is>
      </c>
      <c r="D13" s="118" t="n"/>
    </row>
    <row r="14" ht="15.75" customHeight="1" s="405">
      <c r="B14" s="119" t="inlineStr">
        <is>
          <t>Ngày thanh toán</t>
        </is>
      </c>
      <c r="C14" s="119" t="inlineStr">
        <is>
          <t>Phương thức TT</t>
        </is>
      </c>
      <c r="D14" s="119" t="inlineStr">
        <is>
          <t>Số tham chiếu thẻ</t>
        </is>
      </c>
      <c r="E14" s="120" t="inlineStr">
        <is>
          <t>Số tiền</t>
        </is>
      </c>
      <c r="G14" s="419" t="inlineStr">
        <is>
          <t xml:space="preserve">Link thư mục ảnh hóa đơn </t>
        </is>
      </c>
      <c r="I14" s="381" t="inlineStr">
        <is>
          <t>Quốc Anh-BSH Hưng Việt</t>
        </is>
      </c>
      <c r="J14" t="inlineStr">
        <is>
          <t>Ten tab nguon</t>
        </is>
      </c>
    </row>
    <row r="15">
      <c r="B15" s="377" t="n">
        <v>46204</v>
      </c>
      <c r="C15" s="382" t="inlineStr">
        <is>
          <t>Visa ···· 9330</t>
        </is>
      </c>
      <c r="D15" s="94" t="inlineStr">
        <is>
          <t>M2BVLVMJF2</t>
        </is>
      </c>
      <c r="E15" s="255" t="n">
        <v>2184721</v>
      </c>
      <c r="F15" s="473" t="inlineStr">
        <is>
          <t>1 Tháng 7, 2026</t>
        </is>
      </c>
      <c r="G15" s="255" t="n">
        <v>2184721</v>
      </c>
      <c r="H15" s="475" t="inlineStr">
        <is>
          <t>Visa ···· 9330</t>
        </is>
      </c>
      <c r="I15" s="197" t="inlineStr">
        <is>
          <t>M2BVLVMJF2</t>
        </is>
      </c>
      <c r="J15" s="197" t="inlineStr">
        <is>
          <t>Trang tính20</t>
        </is>
      </c>
    </row>
    <row r="16" ht="13.8" customHeight="1" s="405">
      <c r="B16" s="377" t="n">
        <v>46205</v>
      </c>
      <c r="C16" s="382" t="inlineStr">
        <is>
          <t>Visa ···· 9330</t>
        </is>
      </c>
      <c r="D16" s="94" t="inlineStr">
        <is>
          <t>U52CCVDJF2</t>
        </is>
      </c>
      <c r="E16" s="383" t="n">
        <v>727341</v>
      </c>
      <c r="F16" s="473" t="inlineStr">
        <is>
          <t>2 Tháng 7, 2026</t>
        </is>
      </c>
      <c r="G16" s="476" t="n">
        <v>727341</v>
      </c>
      <c r="H16" s="475" t="inlineStr">
        <is>
          <t>Visa ···· 9330</t>
        </is>
      </c>
      <c r="I16" s="197" t="inlineStr">
        <is>
          <t>U52CCVDJF2</t>
        </is>
      </c>
      <c r="J16" s="197" t="inlineStr">
        <is>
          <t>Trang tính20</t>
        </is>
      </c>
    </row>
    <row r="17" ht="13.8" customHeight="1" s="405">
      <c r="B17" s="377" t="n">
        <v>46205</v>
      </c>
      <c r="C17" s="382" t="inlineStr">
        <is>
          <t>Visa ···· 9330</t>
        </is>
      </c>
      <c r="D17" s="94" t="inlineStr">
        <is>
          <t>JHT92VMGF2</t>
        </is>
      </c>
      <c r="E17" s="378" t="n">
        <v>413249</v>
      </c>
      <c r="F17" s="473" t="inlineStr">
        <is>
          <t>2 Tháng 7, 2026</t>
        </is>
      </c>
      <c r="G17" s="474" t="n">
        <v>413249</v>
      </c>
      <c r="H17" s="475" t="inlineStr">
        <is>
          <t>Visa ···· 9330</t>
        </is>
      </c>
      <c r="I17" s="197" t="inlineStr">
        <is>
          <t>JHT92VMGF2</t>
        </is>
      </c>
      <c r="J17" s="197" t="inlineStr">
        <is>
          <t>Trang tính23</t>
        </is>
      </c>
    </row>
    <row r="18" ht="13.8" customHeight="1" s="405">
      <c r="B18" s="377" t="n">
        <v>46205</v>
      </c>
      <c r="C18" s="382" t="inlineStr">
        <is>
          <t>Visa ···· 9330</t>
        </is>
      </c>
      <c r="D18" s="94" t="inlineStr">
        <is>
          <t>8Q7KWV9HF2</t>
        </is>
      </c>
      <c r="E18" s="378" t="n">
        <v>3000000</v>
      </c>
      <c r="F18" s="473" t="inlineStr">
        <is>
          <t>2 Tháng 7, 2026</t>
        </is>
      </c>
      <c r="G18" s="474" t="n">
        <v>3000000</v>
      </c>
      <c r="H18" s="475" t="inlineStr">
        <is>
          <t>Visa ···· 9330</t>
        </is>
      </c>
      <c r="I18" s="197" t="inlineStr">
        <is>
          <t>8Q7KWV9HF2</t>
        </is>
      </c>
      <c r="J18" s="197" t="inlineStr">
        <is>
          <t>Trang tính23</t>
        </is>
      </c>
    </row>
    <row r="19" ht="13.8" customHeight="1" s="405">
      <c r="B19" s="377" t="n">
        <v>46205</v>
      </c>
      <c r="C19" s="382" t="inlineStr">
        <is>
          <t>Visa ···· 9330</t>
        </is>
      </c>
      <c r="D19" s="94" t="inlineStr">
        <is>
          <t>Không cộng</t>
        </is>
      </c>
      <c r="E19" s="378" t="n">
        <v>107250</v>
      </c>
      <c r="F19" s="473" t="n"/>
      <c r="G19" s="474" t="n"/>
      <c r="H19" s="475" t="n"/>
      <c r="I19" s="197" t="n"/>
      <c r="J19" s="197" t="n"/>
    </row>
    <row r="20" ht="13.8" customHeight="1" s="405">
      <c r="B20" s="377" t="n">
        <v>46206</v>
      </c>
      <c r="C20" s="382" t="inlineStr">
        <is>
          <t>Visa ···· 9330</t>
        </is>
      </c>
      <c r="D20" s="94" t="inlineStr">
        <is>
          <t>Không cộng</t>
        </is>
      </c>
      <c r="E20" s="378" t="n">
        <v>2892749</v>
      </c>
      <c r="F20" s="473" t="n"/>
      <c r="G20" s="474" t="n"/>
      <c r="H20" s="475" t="n"/>
      <c r="I20" s="197" t="n"/>
      <c r="J20" s="197" t="n"/>
    </row>
    <row r="21" ht="13.8" customHeight="1" s="405">
      <c r="B21" s="377" t="n">
        <v>46206</v>
      </c>
      <c r="C21" s="382" t="inlineStr">
        <is>
          <t>Visa ···· 9330</t>
        </is>
      </c>
      <c r="D21" s="384" t="inlineStr">
        <is>
          <t>VPJ26VRGF2</t>
        </is>
      </c>
      <c r="E21" s="378" t="n">
        <v>3302621</v>
      </c>
      <c r="F21" s="473" t="inlineStr">
        <is>
          <t>3 Tháng 7, 2026</t>
        </is>
      </c>
      <c r="G21" s="474" t="n">
        <v>3302621</v>
      </c>
      <c r="H21" s="475" t="inlineStr">
        <is>
          <t>Visa ···· 9330</t>
        </is>
      </c>
      <c r="I21" s="477" t="inlineStr">
        <is>
          <t>VPJ26VRGF2</t>
        </is>
      </c>
      <c r="J21" s="477" t="inlineStr">
        <is>
          <t>Trang tính23</t>
        </is>
      </c>
    </row>
    <row r="22" ht="13.8" customHeight="1" s="405">
      <c r="B22" s="377" t="n">
        <v>46206</v>
      </c>
      <c r="C22" s="382" t="inlineStr">
        <is>
          <t>Visa ···· 9330</t>
        </is>
      </c>
      <c r="D22" s="385" t="inlineStr">
        <is>
          <t>9352MVHJF2</t>
        </is>
      </c>
      <c r="E22" s="378" t="n">
        <v>2889377</v>
      </c>
      <c r="F22" s="473" t="inlineStr">
        <is>
          <t>3 Tháng 7, 2026</t>
        </is>
      </c>
      <c r="G22" s="474" t="n">
        <v>2889377</v>
      </c>
      <c r="H22" s="475" t="inlineStr">
        <is>
          <t>Visa ···· 9330</t>
        </is>
      </c>
      <c r="I22" s="478" t="inlineStr">
        <is>
          <t>9352MVHJF2</t>
        </is>
      </c>
      <c r="J22" s="478" t="inlineStr">
        <is>
          <t>Trang tính20</t>
        </is>
      </c>
    </row>
    <row r="23" ht="13.8" customHeight="1" s="405">
      <c r="B23" s="377" t="n">
        <v>46207</v>
      </c>
      <c r="C23" s="382" t="inlineStr">
        <is>
          <t>Visa ···· 9330</t>
        </is>
      </c>
      <c r="D23" s="385" t="inlineStr">
        <is>
          <t>MLN55W9HF2</t>
        </is>
      </c>
      <c r="E23" s="378" t="n">
        <v>3302621</v>
      </c>
      <c r="F23" s="473" t="inlineStr">
        <is>
          <t>4 Tháng 7, 2026</t>
        </is>
      </c>
      <c r="G23" s="474" t="n">
        <v>3302621</v>
      </c>
      <c r="H23" s="475" t="inlineStr">
        <is>
          <t>Visa ···· 9330</t>
        </is>
      </c>
      <c r="I23" s="478" t="inlineStr">
        <is>
          <t>MLN55W9HF2</t>
        </is>
      </c>
      <c r="J23" s="478" t="inlineStr">
        <is>
          <t>Trang tính23</t>
        </is>
      </c>
    </row>
    <row r="24" ht="13.8" customHeight="1" s="405">
      <c r="B24" s="377" t="n">
        <v>46207</v>
      </c>
      <c r="C24" s="382" t="inlineStr">
        <is>
          <t>Visa ···· 9330</t>
        </is>
      </c>
      <c r="D24" s="385" t="inlineStr">
        <is>
          <t>7MDDWVMJF2</t>
        </is>
      </c>
      <c r="E24" s="378" t="n">
        <v>2889377</v>
      </c>
      <c r="F24" s="473" t="inlineStr">
        <is>
          <t>4 Tháng 7, 2026</t>
        </is>
      </c>
      <c r="G24" s="474" t="n">
        <v>2889377</v>
      </c>
      <c r="H24" s="475" t="inlineStr">
        <is>
          <t>Visa ···· 9330</t>
        </is>
      </c>
      <c r="I24" s="478" t="inlineStr">
        <is>
          <t>7MDDWVMJF2</t>
        </is>
      </c>
      <c r="J24" s="478" t="inlineStr">
        <is>
          <t>Trang tính20</t>
        </is>
      </c>
    </row>
    <row r="25" ht="13.8" customHeight="1" s="405">
      <c r="B25" s="377" t="n">
        <v>46208</v>
      </c>
      <c r="C25" s="382" t="inlineStr">
        <is>
          <t>Visa ···· 9330</t>
        </is>
      </c>
      <c r="D25" s="94" t="inlineStr">
        <is>
          <t>WBQA2WMJF2</t>
        </is>
      </c>
      <c r="E25" s="386" t="n">
        <v>361833</v>
      </c>
      <c r="F25" s="473" t="inlineStr">
        <is>
          <t>5 Tháng 7, 2026</t>
        </is>
      </c>
      <c r="G25" s="386" t="n">
        <v>361833</v>
      </c>
      <c r="H25" s="475" t="inlineStr">
        <is>
          <t>Visa ···· 9330</t>
        </is>
      </c>
      <c r="I25" s="197" t="inlineStr">
        <is>
          <t>WBQA2WMJF2</t>
        </is>
      </c>
      <c r="J25" s="197" t="inlineStr">
        <is>
          <t>Trang tính20</t>
        </is>
      </c>
    </row>
    <row r="26" ht="13.8" customHeight="1" s="405">
      <c r="B26" s="377" t="n">
        <v>46208</v>
      </c>
      <c r="C26" s="382" t="inlineStr">
        <is>
          <t>Visa ···· 9330</t>
        </is>
      </c>
      <c r="D26" s="94" t="inlineStr">
        <is>
          <t>PHHTUVHJF2</t>
        </is>
      </c>
      <c r="E26" s="386" t="n">
        <v>723666</v>
      </c>
      <c r="F26" s="473" t="inlineStr">
        <is>
          <t>5 Tháng 7, 2026</t>
        </is>
      </c>
      <c r="G26" s="386" t="n">
        <v>723666</v>
      </c>
      <c r="H26" s="475" t="inlineStr">
        <is>
          <t>Visa ···· 9330</t>
        </is>
      </c>
      <c r="I26" s="197" t="inlineStr">
        <is>
          <t>PHHTUVHJF2</t>
        </is>
      </c>
      <c r="J26" s="197" t="inlineStr">
        <is>
          <t>Trang tính20</t>
        </is>
      </c>
    </row>
    <row r="27" ht="13.8" customHeight="1" s="405">
      <c r="B27" s="377" t="n">
        <v>46208</v>
      </c>
      <c r="C27" s="382" t="inlineStr">
        <is>
          <t>Visa ···· 9330</t>
        </is>
      </c>
      <c r="D27" s="94" t="inlineStr">
        <is>
          <t>9GZX2XZHF2</t>
        </is>
      </c>
      <c r="E27" s="378" t="n">
        <v>1962261</v>
      </c>
      <c r="F27" s="473" t="inlineStr">
        <is>
          <t>5 Tháng 7, 2026</t>
        </is>
      </c>
      <c r="G27" s="474" t="n">
        <v>1962261</v>
      </c>
      <c r="H27" s="475" t="inlineStr">
        <is>
          <t>Visa ···· 9330</t>
        </is>
      </c>
      <c r="I27" s="197" t="inlineStr">
        <is>
          <t>9GZX2XZHF2</t>
        </is>
      </c>
      <c r="J27" s="197" t="inlineStr">
        <is>
          <t>Trang tính20</t>
        </is>
      </c>
    </row>
    <row r="28" ht="13.8" customHeight="1" s="405">
      <c r="B28" s="377" t="n">
        <v>46208</v>
      </c>
      <c r="C28" s="382" t="inlineStr">
        <is>
          <t>Visa ···· 9330</t>
        </is>
      </c>
      <c r="D28" s="94" t="inlineStr">
        <is>
          <t>YVBDDVRGF2</t>
        </is>
      </c>
      <c r="E28" s="378" t="n">
        <v>370740</v>
      </c>
      <c r="F28" s="473" t="inlineStr">
        <is>
          <t>5 Tháng 7, 2026</t>
        </is>
      </c>
      <c r="G28" s="474" t="n">
        <v>370740</v>
      </c>
      <c r="H28" s="475" t="inlineStr">
        <is>
          <t>Visa ···· 9330</t>
        </is>
      </c>
      <c r="I28" s="197" t="inlineStr">
        <is>
          <t>YVBDDVRGF2</t>
        </is>
      </c>
      <c r="J28" s="197" t="inlineStr">
        <is>
          <t>Trang tính23</t>
        </is>
      </c>
    </row>
    <row r="29" ht="13.8" customHeight="1" s="405">
      <c r="B29" s="377" t="n">
        <v>46208</v>
      </c>
      <c r="C29" s="382" t="inlineStr">
        <is>
          <t>Visa ···· 9330</t>
        </is>
      </c>
      <c r="D29" s="385" t="inlineStr">
        <is>
          <t>HS86QVDGF2</t>
        </is>
      </c>
      <c r="E29" s="383" t="n">
        <v>741479</v>
      </c>
      <c r="F29" s="473" t="inlineStr">
        <is>
          <t>5 Tháng 7, 2026</t>
        </is>
      </c>
      <c r="G29" s="476" t="n">
        <v>741479</v>
      </c>
      <c r="H29" s="475" t="inlineStr">
        <is>
          <t>Visa ···· 9330</t>
        </is>
      </c>
      <c r="I29" s="478" t="inlineStr">
        <is>
          <t>HS86QVDGF2</t>
        </is>
      </c>
      <c r="J29" s="478" t="inlineStr">
        <is>
          <t>Trang tính23</t>
        </is>
      </c>
    </row>
    <row r="30" ht="13.8" customHeight="1" s="405">
      <c r="B30" s="377" t="n">
        <v>46208</v>
      </c>
      <c r="C30" s="382" t="inlineStr">
        <is>
          <t>Visa ···· 9330</t>
        </is>
      </c>
      <c r="D30" s="94" t="inlineStr">
        <is>
          <t>WBNTDVRGF2</t>
        </is>
      </c>
      <c r="E30" s="378" t="n">
        <v>1853700</v>
      </c>
      <c r="F30" s="473" t="inlineStr">
        <is>
          <t>5 Tháng 7, 2026</t>
        </is>
      </c>
      <c r="G30" s="474" t="n">
        <v>1853700</v>
      </c>
      <c r="H30" s="475" t="inlineStr">
        <is>
          <t>Visa ···· 9330</t>
        </is>
      </c>
      <c r="I30" s="197" t="inlineStr">
        <is>
          <t>WBNTDVRGF2</t>
        </is>
      </c>
      <c r="J30" s="197" t="inlineStr">
        <is>
          <t>Trang tính23</t>
        </is>
      </c>
    </row>
    <row r="31" ht="13.8" customHeight="1" s="405">
      <c r="B31" s="377" t="n">
        <v>46210</v>
      </c>
      <c r="C31" s="382" t="inlineStr">
        <is>
          <t>Visa ···· 9330</t>
        </is>
      </c>
      <c r="D31" s="94" t="inlineStr">
        <is>
          <t>NNPSKVRGF2</t>
        </is>
      </c>
      <c r="E31" s="378" t="n">
        <v>4814824</v>
      </c>
      <c r="F31" s="473" t="inlineStr">
        <is>
          <t>7 Tháng 7, 2026</t>
        </is>
      </c>
      <c r="G31" s="474" t="n">
        <v>4814824</v>
      </c>
      <c r="H31" s="475" t="inlineStr">
        <is>
          <t>Visa ···· 9330</t>
        </is>
      </c>
      <c r="I31" s="197" t="inlineStr">
        <is>
          <t>NNPSKVRGF2</t>
        </is>
      </c>
      <c r="J31" s="197" t="inlineStr">
        <is>
          <t>Trang tính23</t>
        </is>
      </c>
    </row>
    <row r="32" ht="13.8" customHeight="1" s="405">
      <c r="B32" s="377" t="n">
        <v>46210</v>
      </c>
      <c r="C32" s="382" t="inlineStr">
        <is>
          <t>Visa ···· 9330</t>
        </is>
      </c>
      <c r="D32" s="385" t="inlineStr">
        <is>
          <t>3VT36XVHF2</t>
        </is>
      </c>
      <c r="E32" s="378" t="n">
        <v>2889377</v>
      </c>
      <c r="F32" s="473" t="inlineStr">
        <is>
          <t>7 Tháng 7, 2026</t>
        </is>
      </c>
      <c r="G32" s="474" t="n">
        <v>2889377</v>
      </c>
      <c r="H32" s="475" t="inlineStr">
        <is>
          <t>Visa ···· 9330</t>
        </is>
      </c>
      <c r="I32" s="478" t="inlineStr">
        <is>
          <t>3VT36XVHF2</t>
        </is>
      </c>
      <c r="J32" s="478" t="inlineStr">
        <is>
          <t>Trang tính20</t>
        </is>
      </c>
    </row>
    <row r="33" ht="13.8" customHeight="1" s="405">
      <c r="B33" s="377" t="n">
        <v>46211</v>
      </c>
      <c r="C33" s="382" t="inlineStr">
        <is>
          <t>Visa ···· 9330</t>
        </is>
      </c>
      <c r="D33" s="385" t="inlineStr">
        <is>
          <t>UL86VXZGF2</t>
        </is>
      </c>
      <c r="E33" s="387" t="n">
        <v>4814824</v>
      </c>
      <c r="F33" s="473" t="inlineStr">
        <is>
          <t>8 Tháng 7, 2026</t>
        </is>
      </c>
      <c r="G33" s="479" t="n">
        <v>4814824</v>
      </c>
      <c r="H33" s="475" t="inlineStr">
        <is>
          <t>Visa ···· 9330</t>
        </is>
      </c>
      <c r="I33" s="478" t="inlineStr">
        <is>
          <t>UL86VXZGF2</t>
        </is>
      </c>
      <c r="J33" s="478" t="inlineStr">
        <is>
          <t>Trang tính23</t>
        </is>
      </c>
    </row>
    <row r="34" ht="13.8" customHeight="1" s="405">
      <c r="B34" s="377" t="n">
        <v>46211</v>
      </c>
      <c r="C34" s="382" t="inlineStr">
        <is>
          <t>Visa ···· 9330</t>
        </is>
      </c>
      <c r="D34" s="368" t="inlineStr">
        <is>
          <t>JHYGYWMHF2</t>
        </is>
      </c>
      <c r="E34" s="387" t="n">
        <v>2131917</v>
      </c>
      <c r="F34" s="473" t="inlineStr">
        <is>
          <t>8 Tháng 7, 2026</t>
        </is>
      </c>
      <c r="G34" s="479" t="n">
        <v>2131917</v>
      </c>
      <c r="H34" s="475" t="inlineStr">
        <is>
          <t>Visa ···· 9330</t>
        </is>
      </c>
      <c r="I34" s="471" t="inlineStr">
        <is>
          <t>JHYGYWMHF2</t>
        </is>
      </c>
      <c r="J34" s="471" t="inlineStr">
        <is>
          <t>Trang tính20</t>
        </is>
      </c>
    </row>
    <row r="35" ht="13.8" customHeight="1" s="405">
      <c r="B35" s="377" t="n">
        <v>46212</v>
      </c>
      <c r="C35" s="382" t="inlineStr">
        <is>
          <t>Visa ···· 9330</t>
        </is>
      </c>
      <c r="D35" s="368" t="inlineStr">
        <is>
          <t>NZX9MW9HF2</t>
        </is>
      </c>
      <c r="E35" s="387" t="n">
        <v>323473</v>
      </c>
      <c r="F35" s="473" t="inlineStr">
        <is>
          <t>9 Tháng 7, 2026</t>
        </is>
      </c>
      <c r="G35" s="479" t="n">
        <v>323473</v>
      </c>
      <c r="H35" s="475" t="inlineStr">
        <is>
          <t>Visa ···· 9330</t>
        </is>
      </c>
      <c r="I35" s="471" t="inlineStr">
        <is>
          <t>NZX9MW9HF2</t>
        </is>
      </c>
      <c r="J35" s="471" t="inlineStr">
        <is>
          <t>Trang tính23</t>
        </is>
      </c>
    </row>
    <row r="36" ht="13.8" customHeight="1" s="405">
      <c r="B36" s="377" t="n">
        <v>46212</v>
      </c>
      <c r="C36" s="382" t="inlineStr">
        <is>
          <t>Visa ···· 9330</t>
        </is>
      </c>
      <c r="D36" s="368" t="inlineStr">
        <is>
          <t>KULL5XMHF2</t>
        </is>
      </c>
      <c r="E36" s="383" t="n">
        <v>3662583</v>
      </c>
      <c r="F36" s="473" t="inlineStr">
        <is>
          <t>9 Tháng 7, 2026</t>
        </is>
      </c>
      <c r="G36" s="476" t="n">
        <v>3662583</v>
      </c>
      <c r="H36" s="475" t="inlineStr">
        <is>
          <t>Visa ···· 9330</t>
        </is>
      </c>
      <c r="I36" s="471" t="inlineStr">
        <is>
          <t>KULL5XMHF2</t>
        </is>
      </c>
      <c r="J36" s="471" t="inlineStr">
        <is>
          <t>Trang tính20</t>
        </is>
      </c>
    </row>
    <row r="37" ht="13.8" customHeight="1" s="405">
      <c r="B37" s="377" t="n">
        <v>46213</v>
      </c>
      <c r="C37" s="382" t="inlineStr">
        <is>
          <t>Visa ···· 9330</t>
        </is>
      </c>
      <c r="D37" s="368" t="inlineStr">
        <is>
          <t>DZ374VVGF2</t>
        </is>
      </c>
      <c r="E37" s="383" t="n">
        <v>602078</v>
      </c>
      <c r="F37" s="473" t="inlineStr">
        <is>
          <t>10 Tháng 7, 2026</t>
        </is>
      </c>
      <c r="G37" s="476" t="n">
        <v>602078</v>
      </c>
      <c r="H37" s="475" t="inlineStr">
        <is>
          <t>Visa ···· 9330</t>
        </is>
      </c>
      <c r="I37" s="471" t="inlineStr">
        <is>
          <t>DZ374VVGF2</t>
        </is>
      </c>
      <c r="J37" s="471" t="inlineStr">
        <is>
          <t>Trang tính23</t>
        </is>
      </c>
    </row>
    <row r="38" ht="13.8" customHeight="1" s="405">
      <c r="B38" s="377" t="n">
        <v>46213</v>
      </c>
      <c r="C38" s="382" t="inlineStr">
        <is>
          <t>Visa ···· 9330</t>
        </is>
      </c>
      <c r="D38" s="385" t="inlineStr">
        <is>
          <t>SESL8WDGF2</t>
        </is>
      </c>
      <c r="E38" s="387" t="n">
        <v>1204157</v>
      </c>
      <c r="F38" s="473" t="inlineStr">
        <is>
          <t>10 Tháng 7, 2026</t>
        </is>
      </c>
      <c r="G38" s="479" t="n">
        <v>1204157</v>
      </c>
      <c r="H38" s="475" t="inlineStr">
        <is>
          <t>Visa ···· 9330</t>
        </is>
      </c>
      <c r="I38" s="478" t="inlineStr">
        <is>
          <t>SESL8WDGF2</t>
        </is>
      </c>
      <c r="J38" s="478" t="inlineStr">
        <is>
          <t>Trang tính23</t>
        </is>
      </c>
    </row>
    <row r="39" ht="13.8" customHeight="1" s="405">
      <c r="B39" s="377" t="n">
        <v>46213</v>
      </c>
      <c r="C39" s="382" t="inlineStr">
        <is>
          <t>Visa ···· 9330</t>
        </is>
      </c>
      <c r="D39" s="368" t="inlineStr">
        <is>
          <t>HUBU9V5HF2</t>
        </is>
      </c>
      <c r="E39" s="383" t="n">
        <v>3131951</v>
      </c>
      <c r="F39" s="473" t="inlineStr">
        <is>
          <t>10 Tháng 7, 2026</t>
        </is>
      </c>
      <c r="G39" s="476" t="n">
        <v>3131951</v>
      </c>
      <c r="H39" s="475" t="inlineStr">
        <is>
          <t>Visa ···· 9330</t>
        </is>
      </c>
      <c r="I39" s="471" t="inlineStr">
        <is>
          <t>HUBU9V5HF2</t>
        </is>
      </c>
      <c r="J39" s="471" t="inlineStr">
        <is>
          <t>Trang tính23</t>
        </is>
      </c>
    </row>
    <row r="40" ht="13.8" customHeight="1" s="405">
      <c r="B40" s="377" t="n">
        <v>46213</v>
      </c>
      <c r="C40" s="382" t="inlineStr">
        <is>
          <t>Visa ···· 9330</t>
        </is>
      </c>
      <c r="D40" s="385" t="inlineStr">
        <is>
          <t>AN7HHXVHF2</t>
        </is>
      </c>
      <c r="E40" s="383" t="n">
        <v>1082575</v>
      </c>
      <c r="F40" s="473" t="inlineStr">
        <is>
          <t>10 Tháng 7, 2026</t>
        </is>
      </c>
      <c r="G40" s="476" t="n">
        <v>1082575</v>
      </c>
      <c r="H40" s="475" t="inlineStr">
        <is>
          <t>Visa ···· 9330</t>
        </is>
      </c>
      <c r="I40" s="478" t="inlineStr">
        <is>
          <t>AN7HHXVHF2</t>
        </is>
      </c>
      <c r="J40" s="478" t="inlineStr">
        <is>
          <t>Trang tính20</t>
        </is>
      </c>
    </row>
    <row r="41" ht="13.8" customHeight="1" s="405">
      <c r="B41" s="377" t="n">
        <v>46215</v>
      </c>
      <c r="C41" s="382" t="inlineStr">
        <is>
          <t>Visa ···· 9330</t>
        </is>
      </c>
      <c r="D41" s="385" t="inlineStr">
        <is>
          <t>L4PB5WMGF2</t>
        </is>
      </c>
      <c r="E41" s="387" t="n">
        <v>4814824</v>
      </c>
      <c r="F41" s="473" t="inlineStr">
        <is>
          <t>12 Tháng 7, 2026</t>
        </is>
      </c>
      <c r="G41" s="479" t="n">
        <v>4814824</v>
      </c>
      <c r="H41" s="475" t="inlineStr">
        <is>
          <t>Visa ···· 9330</t>
        </is>
      </c>
      <c r="I41" s="478" t="inlineStr">
        <is>
          <t>L4PB5WMGF2</t>
        </is>
      </c>
      <c r="J41" s="478" t="inlineStr">
        <is>
          <t>Trang tính23</t>
        </is>
      </c>
    </row>
    <row r="42" ht="13.8" customHeight="1" s="405">
      <c r="B42" s="377" t="n">
        <v>46215</v>
      </c>
      <c r="C42" s="382" t="inlineStr">
        <is>
          <t>Visa ···· 9330</t>
        </is>
      </c>
      <c r="D42" s="368" t="inlineStr">
        <is>
          <t>V7KTQXZHF2</t>
        </is>
      </c>
      <c r="E42" s="387" t="n">
        <v>2489806</v>
      </c>
      <c r="F42" s="473" t="inlineStr">
        <is>
          <t>12 Tháng 7, 2026</t>
        </is>
      </c>
      <c r="G42" s="479" t="n">
        <v>2489806</v>
      </c>
      <c r="H42" s="475" t="inlineStr">
        <is>
          <t>Visa ···· 9330</t>
        </is>
      </c>
      <c r="I42" s="471" t="inlineStr">
        <is>
          <t>V7KTQXZHF2</t>
        </is>
      </c>
      <c r="J42" s="471" t="inlineStr">
        <is>
          <t>Trang tính20</t>
        </is>
      </c>
    </row>
    <row r="43" ht="13.8" customHeight="1" s="405">
      <c r="B43" s="377" t="n">
        <v>46216</v>
      </c>
      <c r="C43" s="382" t="inlineStr">
        <is>
          <t>Visa ···· 9330</t>
        </is>
      </c>
      <c r="D43" s="368" t="inlineStr">
        <is>
          <t>TKUWTWMJF2</t>
        </is>
      </c>
      <c r="E43" s="387" t="n">
        <v>2489806</v>
      </c>
      <c r="F43" s="473" t="inlineStr">
        <is>
          <t>13 Tháng 7, 2026</t>
        </is>
      </c>
      <c r="G43" s="479" t="n">
        <v>2489806</v>
      </c>
      <c r="H43" s="475" t="inlineStr">
        <is>
          <t>Visa ···· 9330</t>
        </is>
      </c>
      <c r="I43" s="471" t="inlineStr">
        <is>
          <t>TKUWTWMJF2</t>
        </is>
      </c>
      <c r="J43" s="471" t="inlineStr">
        <is>
          <t>Trang tính20</t>
        </is>
      </c>
    </row>
    <row r="44" ht="13.8" customHeight="1" s="405">
      <c r="B44" s="377" t="n">
        <v>46217</v>
      </c>
      <c r="C44" s="382" t="inlineStr">
        <is>
          <t>Visa ···· 9330</t>
        </is>
      </c>
      <c r="D44" s="368" t="inlineStr">
        <is>
          <t>9GTLNV5HF2</t>
        </is>
      </c>
      <c r="E44" s="387" t="n">
        <v>439278</v>
      </c>
      <c r="F44" s="473" t="inlineStr">
        <is>
          <t>14 Tháng 7, 2026</t>
        </is>
      </c>
      <c r="G44" s="479" t="n">
        <v>439278</v>
      </c>
      <c r="H44" s="475" t="inlineStr">
        <is>
          <t>Visa ···· 9330</t>
        </is>
      </c>
      <c r="I44" s="471" t="inlineStr">
        <is>
          <t>9GTLNV5HF2</t>
        </is>
      </c>
      <c r="J44" s="471" t="inlineStr">
        <is>
          <t>Trang tính23</t>
        </is>
      </c>
    </row>
    <row r="45" ht="13.8" customHeight="1" s="405">
      <c r="B45" s="377" t="n">
        <v>46217</v>
      </c>
      <c r="C45" s="382" t="inlineStr">
        <is>
          <t>Visa ···· 9330</t>
        </is>
      </c>
      <c r="D45" s="368" t="inlineStr">
        <is>
          <t>LN74BWRGF2</t>
        </is>
      </c>
      <c r="E45" s="387" t="n">
        <v>878557</v>
      </c>
      <c r="F45" s="473" t="inlineStr">
        <is>
          <t>14 Tháng 7, 2026</t>
        </is>
      </c>
      <c r="G45" s="479" t="n">
        <v>878557</v>
      </c>
      <c r="H45" s="475" t="inlineStr">
        <is>
          <t>Visa ···· 9330</t>
        </is>
      </c>
      <c r="I45" s="471" t="inlineStr">
        <is>
          <t>LN74BWRGF2</t>
        </is>
      </c>
      <c r="J45" s="471" t="inlineStr">
        <is>
          <t>Trang tính23</t>
        </is>
      </c>
    </row>
    <row r="46" ht="13.8" customHeight="1" s="405">
      <c r="B46" s="377" t="n">
        <v>46217</v>
      </c>
      <c r="C46" s="382" t="inlineStr">
        <is>
          <t>Visa ···· 9330</t>
        </is>
      </c>
      <c r="D46" s="368" t="inlineStr">
        <is>
          <t>HZ6ATWRHF2</t>
        </is>
      </c>
      <c r="E46" s="387" t="n">
        <v>311322</v>
      </c>
      <c r="F46" s="473" t="inlineStr">
        <is>
          <t>14 Tháng 7, 2026</t>
        </is>
      </c>
      <c r="G46" s="479" t="n">
        <v>311322</v>
      </c>
      <c r="H46" s="475" t="inlineStr">
        <is>
          <t>Visa ···· 9330</t>
        </is>
      </c>
      <c r="I46" s="471" t="inlineStr">
        <is>
          <t>HZ6ATWRHF2</t>
        </is>
      </c>
      <c r="J46" s="471" t="inlineStr">
        <is>
          <t>Trang tính20</t>
        </is>
      </c>
    </row>
    <row r="47" ht="13.8" customHeight="1" s="405">
      <c r="B47" s="377" t="n">
        <v>46217</v>
      </c>
      <c r="C47" s="382" t="inlineStr">
        <is>
          <t>Visa ···· 9330</t>
        </is>
      </c>
      <c r="D47" s="368" t="inlineStr">
        <is>
          <t>2BCYMWDJF2</t>
        </is>
      </c>
      <c r="E47" s="387" t="n">
        <v>622644</v>
      </c>
      <c r="F47" s="473" t="inlineStr">
        <is>
          <t>14 Tháng 7, 2026</t>
        </is>
      </c>
      <c r="G47" s="479" t="n">
        <v>622644</v>
      </c>
      <c r="H47" s="475" t="inlineStr">
        <is>
          <t>Visa ···· 9330</t>
        </is>
      </c>
      <c r="I47" s="471" t="inlineStr">
        <is>
          <t>2BCYMWDJF2</t>
        </is>
      </c>
      <c r="J47" s="471" t="inlineStr">
        <is>
          <t>Trang tính20</t>
        </is>
      </c>
    </row>
    <row r="48" ht="13.8" customHeight="1" s="405">
      <c r="B48" s="377" t="n">
        <v>46218</v>
      </c>
      <c r="C48" s="382" t="inlineStr">
        <is>
          <t>Visa ···· 9330</t>
        </is>
      </c>
      <c r="D48" s="368" t="inlineStr">
        <is>
          <t>XCWF2YZHF2</t>
        </is>
      </c>
      <c r="E48" s="387" t="n">
        <v>1634229</v>
      </c>
      <c r="F48" s="473" t="inlineStr">
        <is>
          <t>15 Tháng 7, 2026</t>
        </is>
      </c>
      <c r="G48" s="479" t="n">
        <v>1634229</v>
      </c>
      <c r="H48" s="475" t="inlineStr">
        <is>
          <t>Visa ···· 9330</t>
        </is>
      </c>
      <c r="I48" s="471" t="inlineStr">
        <is>
          <t>XCWF2YZHF2</t>
        </is>
      </c>
      <c r="J48" s="471" t="inlineStr">
        <is>
          <t>Trang tính20</t>
        </is>
      </c>
    </row>
    <row r="49" ht="13.8" customHeight="1" s="405">
      <c r="B49" s="377" t="n">
        <v>46218</v>
      </c>
      <c r="C49" s="382" t="inlineStr">
        <is>
          <t>Visa ···· 9330</t>
        </is>
      </c>
      <c r="D49" s="368" t="inlineStr">
        <is>
          <t>C5AEDWRGF2</t>
        </is>
      </c>
      <c r="E49" s="387" t="n">
        <v>2263808</v>
      </c>
      <c r="F49" s="473" t="inlineStr">
        <is>
          <t>15 Tháng 7, 2026</t>
        </is>
      </c>
      <c r="G49" s="479" t="n">
        <v>2263808</v>
      </c>
      <c r="H49" s="475" t="inlineStr">
        <is>
          <t>Visa ···· 9330</t>
        </is>
      </c>
      <c r="I49" s="471" t="inlineStr">
        <is>
          <t>C5AEDWRGF2</t>
        </is>
      </c>
      <c r="J49" s="471" t="inlineStr">
        <is>
          <t>Trang tính23</t>
        </is>
      </c>
    </row>
    <row r="50" ht="13.8" customHeight="1" s="405">
      <c r="B50" s="377" t="n">
        <v>46219</v>
      </c>
      <c r="C50" s="382" t="inlineStr">
        <is>
          <t>Visa ···· 9330</t>
        </is>
      </c>
      <c r="D50" s="368" t="inlineStr">
        <is>
          <t>PH4TZWHJF2</t>
        </is>
      </c>
      <c r="E50" s="387" t="n">
        <v>2489806</v>
      </c>
      <c r="F50" s="473" t="inlineStr">
        <is>
          <t>16 Tháng 7, 2026</t>
        </is>
      </c>
      <c r="G50" s="479" t="n">
        <v>2489806</v>
      </c>
      <c r="H50" s="475" t="inlineStr">
        <is>
          <t>Visa ···· 9330</t>
        </is>
      </c>
      <c r="I50" s="471" t="inlineStr">
        <is>
          <t>PH4TZWHJF2</t>
        </is>
      </c>
      <c r="J50" s="471" t="inlineStr">
        <is>
          <t>Trang tính20</t>
        </is>
      </c>
    </row>
    <row r="51" ht="13.8" customHeight="1" s="405">
      <c r="B51" s="377" t="n">
        <v>46221</v>
      </c>
      <c r="C51" s="382" t="inlineStr">
        <is>
          <t>Visa ···· 9330</t>
        </is>
      </c>
      <c r="D51" s="368" t="inlineStr">
        <is>
          <t>H4A4PWRGF2</t>
        </is>
      </c>
      <c r="E51" s="387" t="n">
        <v>4814824</v>
      </c>
      <c r="F51" s="473" t="inlineStr">
        <is>
          <t>18 Tháng 7, 2026</t>
        </is>
      </c>
      <c r="G51" s="479" t="n">
        <v>4814824</v>
      </c>
      <c r="H51" s="475" t="inlineStr">
        <is>
          <t>Visa ···· 9330</t>
        </is>
      </c>
      <c r="I51" s="471" t="inlineStr">
        <is>
          <t>H4A4PWRGF2</t>
        </is>
      </c>
      <c r="J51" s="471" t="inlineStr">
        <is>
          <t>Trang tính23</t>
        </is>
      </c>
    </row>
    <row r="52" ht="13.8" customHeight="1" s="405">
      <c r="B52" s="377" t="n">
        <v>46222</v>
      </c>
      <c r="C52" s="382" t="inlineStr">
        <is>
          <t>Visa ···· 9330</t>
        </is>
      </c>
      <c r="D52" s="368" t="inlineStr">
        <is>
          <t>KEN9HYZHF2</t>
        </is>
      </c>
      <c r="E52" s="387" t="n">
        <v>4703908</v>
      </c>
      <c r="F52" s="473" t="inlineStr">
        <is>
          <t>19 Tháng 7, 2026</t>
        </is>
      </c>
      <c r="G52" s="479" t="n">
        <v>4703908</v>
      </c>
      <c r="H52" s="475" t="inlineStr">
        <is>
          <t>Visa ···· 9330</t>
        </is>
      </c>
      <c r="I52" s="471" t="inlineStr">
        <is>
          <t>KEN9HYZHF2</t>
        </is>
      </c>
      <c r="J52" s="471" t="inlineStr">
        <is>
          <t>Trang tính20</t>
        </is>
      </c>
    </row>
    <row r="53" ht="13.8" customHeight="1" s="405">
      <c r="B53" s="377" t="n">
        <v>46223</v>
      </c>
      <c r="C53" s="382" t="inlineStr">
        <is>
          <t>Visa ···· 9330</t>
        </is>
      </c>
      <c r="D53" s="368" t="inlineStr">
        <is>
          <t>3CHR9XDGF2</t>
        </is>
      </c>
      <c r="E53" s="387" t="n">
        <v>4814824</v>
      </c>
      <c r="F53" s="473" t="inlineStr">
        <is>
          <t>20 Tháng 7, 2026</t>
        </is>
      </c>
      <c r="G53" s="479" t="n">
        <v>4814824</v>
      </c>
      <c r="H53" s="475" t="inlineStr">
        <is>
          <t>Visa ···· 9330</t>
        </is>
      </c>
      <c r="I53" s="471" t="inlineStr">
        <is>
          <t>3CHR9XDGF2</t>
        </is>
      </c>
      <c r="J53" s="471" t="inlineStr">
        <is>
          <t>Trang tính23</t>
        </is>
      </c>
    </row>
    <row r="54" ht="13.8" customHeight="1" s="405">
      <c r="B54" s="388" t="n">
        <v>46225</v>
      </c>
      <c r="C54" s="382" t="inlineStr">
        <is>
          <t>Visa ···· 9330</t>
        </is>
      </c>
      <c r="D54" s="368" t="inlineStr">
        <is>
          <t>7TNYCW5JF2</t>
        </is>
      </c>
      <c r="E54" s="387" t="n">
        <v>4703908</v>
      </c>
      <c r="F54" s="480" t="inlineStr">
        <is>
          <t>22 Tháng 7, 2026</t>
        </is>
      </c>
      <c r="G54" s="479" t="n">
        <v>4703908</v>
      </c>
      <c r="H54" s="475" t="inlineStr">
        <is>
          <t>Visa ···· 9330</t>
        </is>
      </c>
      <c r="I54" s="471" t="inlineStr">
        <is>
          <t>7TNYCW5JF2</t>
        </is>
      </c>
      <c r="J54" s="471" t="inlineStr">
        <is>
          <t>Trang tính20</t>
        </is>
      </c>
    </row>
    <row r="55" ht="13.8" customHeight="1" s="405">
      <c r="B55" s="388" t="n">
        <v>46226</v>
      </c>
      <c r="C55" s="382" t="inlineStr">
        <is>
          <t>Visa ···· 9330</t>
        </is>
      </c>
      <c r="D55" s="368" t="inlineStr">
        <is>
          <t>SQJ3GWVGF2</t>
        </is>
      </c>
      <c r="E55" s="387" t="n">
        <v>4814824</v>
      </c>
      <c r="F55" s="480" t="inlineStr">
        <is>
          <t>23 Tháng 7, 2026</t>
        </is>
      </c>
      <c r="G55" s="479" t="n">
        <v>4814824</v>
      </c>
      <c r="H55" s="475" t="inlineStr">
        <is>
          <t>Visa ···· 9330</t>
        </is>
      </c>
      <c r="I55" s="471" t="inlineStr">
        <is>
          <t>SQJ3GWVGF2</t>
        </is>
      </c>
      <c r="J55" s="471" t="inlineStr">
        <is>
          <t>Trang tính23</t>
        </is>
      </c>
    </row>
    <row r="56" ht="13.8" customHeight="1" s="405">
      <c r="B56" s="388" t="n">
        <v>46229</v>
      </c>
      <c r="C56" s="382" t="inlineStr">
        <is>
          <t>Visa ···· 9330</t>
        </is>
      </c>
      <c r="D56" s="368" t="inlineStr">
        <is>
          <t>LSF7YYMHF2</t>
        </is>
      </c>
      <c r="E56" s="387" t="n">
        <v>4703908</v>
      </c>
      <c r="F56" s="480" t="inlineStr">
        <is>
          <t>26 Tháng 7, 2026</t>
        </is>
      </c>
      <c r="G56" s="479" t="n">
        <v>4703908</v>
      </c>
      <c r="H56" s="475" t="inlineStr">
        <is>
          <t>Visa ···· 9330</t>
        </is>
      </c>
      <c r="I56" s="471" t="inlineStr">
        <is>
          <t>LSF7YYMHF2</t>
        </is>
      </c>
      <c r="J56" s="471" t="inlineStr">
        <is>
          <t>Trang tính20</t>
        </is>
      </c>
    </row>
    <row r="57" ht="13.8" customHeight="1" s="405">
      <c r="B57" s="388" t="n">
        <v>46229</v>
      </c>
      <c r="C57" s="382" t="inlineStr">
        <is>
          <t>Visa ···· 9330</t>
        </is>
      </c>
      <c r="D57" s="368" t="inlineStr">
        <is>
          <t>S7A3MXRGF2</t>
        </is>
      </c>
      <c r="E57" s="387" t="n">
        <v>4814824</v>
      </c>
      <c r="F57" s="480" t="inlineStr">
        <is>
          <t>26 Tháng 7, 2026</t>
        </is>
      </c>
      <c r="G57" s="479" t="n">
        <v>4814824</v>
      </c>
      <c r="H57" s="475" t="inlineStr">
        <is>
          <t>Visa ···· 9330</t>
        </is>
      </c>
      <c r="I57" s="471" t="inlineStr">
        <is>
          <t>S7A3MXRGF2</t>
        </is>
      </c>
      <c r="J57" s="471" t="inlineStr">
        <is>
          <t>Trang tính23</t>
        </is>
      </c>
    </row>
  </sheetData>
  <mergeCells count="3">
    <mergeCell ref="C2:C3"/>
    <mergeCell ref="A2:A3"/>
    <mergeCell ref="B2:B3"/>
  </mergeCells>
  <hyperlinks>
    <hyperlink xmlns:r="http://schemas.openxmlformats.org/officeDocument/2006/relationships" ref="I14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0" summaryRight="0"/>
    <pageSetUpPr/>
  </sheetPr>
  <dimension ref="A1:G999"/>
  <sheetViews>
    <sheetView workbookViewId="0">
      <selection activeCell="A1" sqref="A1"/>
    </sheetView>
  </sheetViews>
  <sheetFormatPr baseColWidth="8" defaultColWidth="12.6640625" defaultRowHeight="15.75" customHeight="1"/>
  <cols>
    <col width="4.33203125" customWidth="1" style="405" min="1" max="1"/>
  </cols>
  <sheetData>
    <row r="1" ht="15.75" customHeight="1" s="405">
      <c r="A1" s="429" t="n"/>
      <c r="B1" s="430" t="n"/>
      <c r="C1" s="430" t="n"/>
      <c r="D1" s="431" t="n"/>
      <c r="E1" s="5" t="n"/>
      <c r="F1" s="5" t="n"/>
      <c r="G1" s="5" t="n"/>
    </row>
    <row r="2">
      <c r="A2" s="208" t="inlineStr">
        <is>
          <t>STT</t>
        </is>
      </c>
      <c r="B2" s="432" t="inlineStr">
        <is>
          <t>Ngày/tháng</t>
        </is>
      </c>
      <c r="C2" s="10" t="inlineStr">
        <is>
          <t xml:space="preserve">Ngân sách cấp 
</t>
        </is>
      </c>
      <c r="D2" s="26" t="inlineStr">
        <is>
          <t>Tổng đã tiêu</t>
        </is>
      </c>
      <c r="E2" s="208" t="inlineStr">
        <is>
          <t>Số đơn</t>
        </is>
      </c>
      <c r="F2" s="208" t="inlineStr">
        <is>
          <t>Doanh số</t>
        </is>
      </c>
      <c r="G2" s="208" t="inlineStr">
        <is>
          <t>Tỷ lệ CP</t>
        </is>
      </c>
    </row>
    <row r="3">
      <c r="A3" s="433" t="n"/>
      <c r="B3" s="433" t="n"/>
      <c r="C3" s="17">
        <f>+SUM(C4:C34)</f>
        <v/>
      </c>
      <c r="D3" s="21">
        <f>SUM(D4:D34)</f>
        <v/>
      </c>
      <c r="E3" s="26">
        <f>SUM(E4:E34)</f>
        <v/>
      </c>
      <c r="F3" s="21">
        <f>SUM(F4:F36)</f>
        <v/>
      </c>
      <c r="G3" s="31">
        <f>IFERROR(D3/F3,0)</f>
        <v/>
      </c>
    </row>
    <row r="4" ht="15.75" customHeight="1" s="405">
      <c r="A4" s="33" t="n">
        <v>1</v>
      </c>
      <c r="B4" s="35" t="n">
        <v>46204</v>
      </c>
      <c r="C4" s="300" t="n"/>
      <c r="D4" s="370">
        <f>'NT Thưởng CT'!D8</f>
        <v/>
      </c>
      <c r="E4" s="330" t="n">
        <v>3</v>
      </c>
      <c r="F4" s="313" t="n">
        <v>9535000</v>
      </c>
      <c r="G4" s="50">
        <f>IFERROR(D4/F4,0)</f>
        <v/>
      </c>
    </row>
    <row r="5" ht="15.75" customHeight="1" s="405">
      <c r="A5" s="52" t="n">
        <v>2</v>
      </c>
      <c r="B5" s="54" t="n">
        <v>46205</v>
      </c>
      <c r="C5" s="307" t="n"/>
      <c r="D5" s="371">
        <f>'NT Thưởng CT'!E8</f>
        <v/>
      </c>
      <c r="E5" s="332" t="n">
        <v>0</v>
      </c>
      <c r="F5" s="311" t="n">
        <v>0</v>
      </c>
      <c r="G5" s="62">
        <f>IFERROR(D5/F5,0)</f>
        <v/>
      </c>
    </row>
    <row r="6" ht="15.75" customHeight="1" s="405">
      <c r="A6" s="33" t="n">
        <v>3</v>
      </c>
      <c r="B6" s="35" t="n">
        <v>46206</v>
      </c>
      <c r="C6" s="300" t="n"/>
      <c r="D6" s="370">
        <f>'NT Thưởng CT'!F8</f>
        <v/>
      </c>
      <c r="E6" s="330" t="n">
        <v>2</v>
      </c>
      <c r="F6" s="313" t="n">
        <v>6285000</v>
      </c>
      <c r="G6" s="50">
        <f>IFERROR(D6/F6,0)</f>
        <v/>
      </c>
    </row>
    <row r="7" ht="15.75" customHeight="1" s="405">
      <c r="A7" s="52" t="n">
        <v>4</v>
      </c>
      <c r="B7" s="54" t="n">
        <v>46207</v>
      </c>
      <c r="C7" s="307" t="n"/>
      <c r="D7" s="371">
        <f>'NT Thưởng CT'!G8</f>
        <v/>
      </c>
      <c r="E7" s="332" t="n">
        <v>4</v>
      </c>
      <c r="F7" s="311" t="n">
        <v>12060000</v>
      </c>
      <c r="G7" s="62">
        <f>IFERROR(D7/F7,0)</f>
        <v/>
      </c>
    </row>
    <row r="8" ht="15.75" customHeight="1" s="405">
      <c r="A8" s="33" t="n">
        <v>5</v>
      </c>
      <c r="B8" s="35" t="n">
        <v>46208</v>
      </c>
      <c r="C8" s="300" t="n"/>
      <c r="D8" s="370">
        <f>'NT Thưởng CT'!H8</f>
        <v/>
      </c>
      <c r="E8" s="330" t="n">
        <v>1</v>
      </c>
      <c r="F8" s="313" t="n">
        <v>3900000</v>
      </c>
      <c r="G8" s="50">
        <f>IFERROR(D8/F8,0)</f>
        <v/>
      </c>
    </row>
    <row r="9" ht="15.75" customHeight="1" s="405">
      <c r="A9" s="52" t="n">
        <v>6</v>
      </c>
      <c r="B9" s="54" t="n">
        <v>46209</v>
      </c>
      <c r="C9" s="307" t="n"/>
      <c r="D9" s="371">
        <f>'NT Thưởng CT'!I8</f>
        <v/>
      </c>
      <c r="E9" s="332" t="n">
        <v>0</v>
      </c>
      <c r="F9" s="311" t="n">
        <v>0</v>
      </c>
      <c r="G9" s="62">
        <f>IFERROR(D9/F9,0)</f>
        <v/>
      </c>
    </row>
    <row r="10" ht="15.75" customHeight="1" s="405">
      <c r="A10" s="33" t="n">
        <v>7</v>
      </c>
      <c r="B10" s="35" t="n">
        <v>46210</v>
      </c>
      <c r="C10" s="300" t="n"/>
      <c r="D10" s="370">
        <f>'NT Thưởng CT'!J8</f>
        <v/>
      </c>
      <c r="E10" s="330" t="n">
        <v>1</v>
      </c>
      <c r="F10" s="313" t="n">
        <v>2910000</v>
      </c>
      <c r="G10" s="50">
        <f>IFERROR(D10/F10,0)</f>
        <v/>
      </c>
    </row>
    <row r="11" ht="15.75" customHeight="1" s="405">
      <c r="A11" s="52" t="n">
        <v>8</v>
      </c>
      <c r="B11" s="54" t="n">
        <v>46211</v>
      </c>
      <c r="C11" s="307" t="n"/>
      <c r="D11" s="371">
        <f>'NT Thưởng CT'!K8</f>
        <v/>
      </c>
      <c r="E11" s="332" t="n">
        <v>0</v>
      </c>
      <c r="F11" s="311" t="n">
        <v>0</v>
      </c>
      <c r="G11" s="62">
        <f>IFERROR(D11/F11,0)</f>
        <v/>
      </c>
    </row>
    <row r="12" ht="15.75" customHeight="1" s="405">
      <c r="A12" s="33" t="n">
        <v>9</v>
      </c>
      <c r="B12" s="35" t="n">
        <v>46212</v>
      </c>
      <c r="C12" s="300" t="n"/>
      <c r="D12" s="370">
        <f>'NT Thưởng CT'!L8</f>
        <v/>
      </c>
      <c r="E12" s="330" t="n">
        <v>1</v>
      </c>
      <c r="F12" s="313" t="n">
        <v>2910000</v>
      </c>
      <c r="G12" s="50">
        <f>IFERROR(D12/F12,0)</f>
        <v/>
      </c>
    </row>
    <row r="13" ht="15.75" customHeight="1" s="405">
      <c r="A13" s="52" t="n">
        <v>10</v>
      </c>
      <c r="B13" s="54" t="n">
        <v>46213</v>
      </c>
      <c r="C13" s="307" t="n"/>
      <c r="D13" s="371">
        <f>'NT Thưởng CT'!M8</f>
        <v/>
      </c>
      <c r="E13" s="332" t="n">
        <v>1</v>
      </c>
      <c r="F13" s="311" t="n">
        <v>2910000</v>
      </c>
      <c r="G13" s="62">
        <f>IFERROR(D13/F13,0)</f>
        <v/>
      </c>
    </row>
    <row r="14" ht="15.75" customHeight="1" s="405">
      <c r="A14" s="33" t="n">
        <v>11</v>
      </c>
      <c r="B14" s="35" t="n">
        <v>46214</v>
      </c>
      <c r="C14" s="300" t="n"/>
      <c r="D14" s="370">
        <f>'NT Thưởng CT'!N8</f>
        <v/>
      </c>
      <c r="E14" s="330" t="n">
        <v>0</v>
      </c>
      <c r="F14" s="313" t="n">
        <v>0</v>
      </c>
      <c r="G14" s="50">
        <f>IFERROR(D14/F14,0)</f>
        <v/>
      </c>
    </row>
    <row r="15" ht="15.75" customHeight="1" s="405">
      <c r="A15" s="52" t="n">
        <v>12</v>
      </c>
      <c r="B15" s="54" t="n">
        <v>46215</v>
      </c>
      <c r="C15" s="307" t="n"/>
      <c r="D15" s="371">
        <f>'NT Thưởng CT'!O8</f>
        <v/>
      </c>
      <c r="E15" s="332" t="n">
        <v>1</v>
      </c>
      <c r="F15" s="311" t="n">
        <v>3560000</v>
      </c>
      <c r="G15" s="62">
        <f>IFERROR(D15/F15,0)</f>
        <v/>
      </c>
    </row>
    <row r="16" ht="14.4" customHeight="1" s="405">
      <c r="A16" s="33" t="n">
        <v>13</v>
      </c>
      <c r="B16" s="35" t="n">
        <v>46216</v>
      </c>
      <c r="C16" s="300" t="n"/>
      <c r="D16" s="370">
        <f>'NT Thưởng CT'!P8</f>
        <v/>
      </c>
      <c r="E16" s="330" t="n">
        <v>0</v>
      </c>
      <c r="F16" s="313" t="n">
        <v>0</v>
      </c>
      <c r="G16" s="50">
        <f>IFERROR(D16/F16,0)</f>
        <v/>
      </c>
    </row>
    <row r="17" ht="14.4" customHeight="1" s="405">
      <c r="A17" s="52" t="n">
        <v>14</v>
      </c>
      <c r="B17" s="54" t="n">
        <v>46217</v>
      </c>
      <c r="C17" s="307" t="n"/>
      <c r="D17" s="371">
        <f>'NT Thưởng CT'!Q8</f>
        <v/>
      </c>
      <c r="E17" s="332" t="n">
        <v>2</v>
      </c>
      <c r="F17" s="311" t="n">
        <v>6170000</v>
      </c>
      <c r="G17" s="50">
        <f>IFERROR(D17/F17,0)</f>
        <v/>
      </c>
    </row>
    <row r="18" ht="14.4" customHeight="1" s="405">
      <c r="A18" s="33" t="n">
        <v>15</v>
      </c>
      <c r="B18" s="35" t="n">
        <v>46218</v>
      </c>
      <c r="C18" s="300" t="n"/>
      <c r="D18" s="370">
        <f>'NT Thưởng CT'!R8</f>
        <v/>
      </c>
      <c r="E18" s="330" t="n">
        <v>2</v>
      </c>
      <c r="F18" s="313" t="n">
        <v>5215000</v>
      </c>
      <c r="G18" s="50">
        <f>IFERROR(D18/F18,0)</f>
        <v/>
      </c>
    </row>
    <row r="19" ht="14.4" customHeight="1" s="405">
      <c r="A19" s="52" t="n">
        <v>16</v>
      </c>
      <c r="B19" s="54" t="n">
        <v>46219</v>
      </c>
      <c r="C19" s="307" t="n"/>
      <c r="D19" s="371">
        <f>'NT Thưởng CT'!S8</f>
        <v/>
      </c>
      <c r="E19" s="332" t="n">
        <v>1</v>
      </c>
      <c r="F19" s="311" t="n">
        <v>2910000</v>
      </c>
      <c r="G19" s="62">
        <f>IFERROR(D19/F19,0)</f>
        <v/>
      </c>
    </row>
    <row r="20" ht="14.4" customHeight="1" s="405">
      <c r="A20" s="33" t="n">
        <v>17</v>
      </c>
      <c r="B20" s="35" t="n">
        <v>46220</v>
      </c>
      <c r="C20" s="300" t="n"/>
      <c r="D20" s="80">
        <f>'NT Thưởng CT'!T8</f>
        <v/>
      </c>
      <c r="E20" s="330" t="n">
        <v>0</v>
      </c>
      <c r="F20" s="313" t="n">
        <v>0</v>
      </c>
      <c r="G20" s="50">
        <f>IFERROR(#REF!/F20,0)</f>
        <v/>
      </c>
    </row>
    <row r="21" ht="14.4" customHeight="1" s="405">
      <c r="A21" s="52" t="n">
        <v>18</v>
      </c>
      <c r="B21" s="54" t="n">
        <v>46221</v>
      </c>
      <c r="C21" s="307" t="n"/>
      <c r="D21" s="371">
        <f>'NT Thưởng CT'!U8</f>
        <v/>
      </c>
      <c r="E21" s="332" t="n">
        <v>1</v>
      </c>
      <c r="F21" s="311" t="n">
        <v>2910000</v>
      </c>
      <c r="G21" s="50">
        <f>IFERROR(D21/F21,0)</f>
        <v/>
      </c>
    </row>
    <row r="22" ht="14.4" customHeight="1" s="405">
      <c r="A22" s="33" t="n">
        <v>19</v>
      </c>
      <c r="B22" s="35" t="n">
        <v>46222</v>
      </c>
      <c r="C22" s="300" t="n"/>
      <c r="D22" s="370">
        <f>'NT Thưởng CT'!V8</f>
        <v/>
      </c>
      <c r="E22" s="330" t="n">
        <v>1</v>
      </c>
      <c r="F22" s="313" t="n">
        <v>2910000</v>
      </c>
      <c r="G22" s="50">
        <f>IFERROR(D22/F22,0)</f>
        <v/>
      </c>
    </row>
    <row r="23" ht="14.4" customHeight="1" s="405">
      <c r="A23" s="52" t="n">
        <v>20</v>
      </c>
      <c r="B23" s="54" t="n">
        <v>46223</v>
      </c>
      <c r="C23" s="307" t="n"/>
      <c r="D23" s="371">
        <f>'NT Thưởng CT'!W8</f>
        <v/>
      </c>
      <c r="E23" s="332" t="n">
        <v>0</v>
      </c>
      <c r="F23" s="311" t="n">
        <v>0</v>
      </c>
      <c r="G23" s="50">
        <f>IFERROR(D23/F23,0)</f>
        <v/>
      </c>
    </row>
    <row r="24" ht="14.4" customHeight="1" s="405">
      <c r="A24" s="33" t="n">
        <v>21</v>
      </c>
      <c r="B24" s="35" t="n">
        <v>46224</v>
      </c>
      <c r="C24" s="300" t="n"/>
      <c r="D24" s="370">
        <f>'NT Thưởng CT'!X8</f>
        <v/>
      </c>
      <c r="E24" s="337" t="n">
        <v>0</v>
      </c>
      <c r="F24" s="313" t="n">
        <v>0</v>
      </c>
      <c r="G24" s="50">
        <f>IFERROR(D24/F24,0)</f>
        <v/>
      </c>
    </row>
    <row r="25" ht="14.4" customHeight="1" s="405">
      <c r="A25" s="52" t="n">
        <v>22</v>
      </c>
      <c r="B25" s="54" t="n">
        <v>46225</v>
      </c>
      <c r="C25" s="307" t="n"/>
      <c r="D25" s="371">
        <f>'NT Thưởng CT'!Y8</f>
        <v/>
      </c>
      <c r="E25" s="332" t="n">
        <v>2</v>
      </c>
      <c r="F25" s="311" t="n">
        <v>3900000</v>
      </c>
      <c r="G25" s="50">
        <f>IFERROR(D25/F25,0)</f>
        <v/>
      </c>
    </row>
    <row r="26" ht="14.4" customHeight="1" s="405">
      <c r="A26" s="33" t="n">
        <v>23</v>
      </c>
      <c r="B26" s="35" t="n">
        <v>46226</v>
      </c>
      <c r="C26" s="300" t="n"/>
      <c r="D26" s="370">
        <f>'NT Thưởng CT'!Z8</f>
        <v/>
      </c>
      <c r="E26" s="330" t="n">
        <v>1</v>
      </c>
      <c r="F26" s="313" t="n">
        <v>2565000</v>
      </c>
      <c r="G26" s="62">
        <f>IFERROR(D26/F26,0)</f>
        <v/>
      </c>
    </row>
    <row r="27" ht="14.4" customHeight="1" s="405">
      <c r="A27" s="52" t="n">
        <v>24</v>
      </c>
      <c r="B27" s="54" t="n">
        <v>46227</v>
      </c>
      <c r="C27" s="307" t="n"/>
      <c r="D27" s="371">
        <f>'NT Thưởng CT'!AA8</f>
        <v/>
      </c>
      <c r="E27" s="332" t="n">
        <v>0</v>
      </c>
      <c r="F27" s="311" t="n">
        <v>0</v>
      </c>
      <c r="G27" s="50">
        <f>IFERROR(D27/F27,0)</f>
        <v/>
      </c>
    </row>
    <row r="28" ht="14.4" customHeight="1" s="405">
      <c r="A28" s="33" t="n">
        <v>25</v>
      </c>
      <c r="B28" s="35" t="n">
        <v>46228</v>
      </c>
      <c r="C28" s="300" t="n"/>
      <c r="D28" s="370">
        <f>'NT Thưởng CT'!AB8</f>
        <v/>
      </c>
      <c r="E28" s="330" t="n">
        <v>2</v>
      </c>
      <c r="F28" s="313" t="n">
        <v>5915000</v>
      </c>
      <c r="G28" s="50">
        <f>IFERROR(D28/F28,0)</f>
        <v/>
      </c>
    </row>
    <row r="29" ht="14.4" customHeight="1" s="405">
      <c r="A29" s="52" t="n">
        <v>26</v>
      </c>
      <c r="B29" s="54" t="n">
        <v>46229</v>
      </c>
      <c r="C29" s="307" t="n"/>
      <c r="D29" s="371">
        <f>'NT Thưởng CT'!AC8</f>
        <v/>
      </c>
      <c r="E29" s="332" t="n">
        <v>1</v>
      </c>
      <c r="F29" s="311" t="n">
        <v>3435000</v>
      </c>
      <c r="G29" s="62">
        <f>IFERROR(D29/F29,0)</f>
        <v/>
      </c>
    </row>
    <row r="30" ht="14.4" customHeight="1" s="405">
      <c r="A30" s="33" t="n">
        <v>27</v>
      </c>
      <c r="B30" s="35" t="n">
        <v>46230</v>
      </c>
      <c r="C30" s="300" t="n"/>
      <c r="D30" s="370">
        <f>'NT Thưởng CT'!AD8</f>
        <v/>
      </c>
      <c r="E30" s="330" t="n">
        <v>0</v>
      </c>
      <c r="F30" s="313" t="n">
        <v>0</v>
      </c>
      <c r="G30" s="50">
        <f>IFERROR(D30/F30,0)</f>
        <v/>
      </c>
    </row>
    <row r="31" ht="14.4" customHeight="1" s="405">
      <c r="A31" s="52" t="n">
        <v>28</v>
      </c>
      <c r="B31" s="54" t="n">
        <v>46231</v>
      </c>
      <c r="C31" s="307" t="n"/>
      <c r="D31" s="371">
        <f>'NT Thưởng CT'!AE8</f>
        <v/>
      </c>
      <c r="E31" s="332" t="n">
        <v>2</v>
      </c>
      <c r="F31" s="311" t="n">
        <v>6345000</v>
      </c>
      <c r="G31" s="62">
        <f>IFERROR(D31/F31,0)</f>
        <v/>
      </c>
    </row>
    <row r="32" ht="14.4" customHeight="1" s="405">
      <c r="A32" s="33" t="n">
        <v>29</v>
      </c>
      <c r="B32" s="35" t="n">
        <v>46232</v>
      </c>
      <c r="C32" s="300" t="n"/>
      <c r="D32" s="370">
        <f>'NT Thưởng CT'!AF8</f>
        <v/>
      </c>
      <c r="E32" s="330" t="n"/>
      <c r="F32" s="313" t="n"/>
      <c r="G32" s="50">
        <f>IFERROR(D32/F32,0)</f>
        <v/>
      </c>
    </row>
    <row r="33" ht="14.4" customHeight="1" s="405">
      <c r="A33" s="52" t="n">
        <v>30</v>
      </c>
      <c r="B33" s="54" t="n">
        <v>46233</v>
      </c>
      <c r="C33" s="307" t="n"/>
      <c r="D33" s="371">
        <f>'NT Thưởng CT'!AG8</f>
        <v/>
      </c>
      <c r="E33" s="332" t="n">
        <v>1</v>
      </c>
      <c r="F33" s="311" t="n">
        <v>3560000</v>
      </c>
      <c r="G33" s="62">
        <f>IFERROR(D33/F33,0)</f>
        <v/>
      </c>
    </row>
    <row r="34" ht="14.4" customHeight="1" s="405">
      <c r="A34" s="33" t="n">
        <v>31</v>
      </c>
      <c r="B34" s="35" t="n">
        <v>46234</v>
      </c>
      <c r="C34" s="300" t="n"/>
      <c r="D34" s="370">
        <f>'NT Thưởng CT'!AH8</f>
        <v/>
      </c>
      <c r="E34" s="330" t="n">
        <v>1</v>
      </c>
      <c r="F34" s="313" t="n">
        <v>3305000</v>
      </c>
      <c r="G34" s="50">
        <f>IFERROR(D34/F34,0)</f>
        <v/>
      </c>
    </row>
    <row r="35" ht="14.4" customHeight="1" s="405">
      <c r="A35" s="325" t="n"/>
      <c r="B35" s="54" t="n"/>
      <c r="C35" s="116" t="n"/>
      <c r="D35" s="307" t="n"/>
      <c r="E35" s="325" t="n"/>
      <c r="F35" s="311" t="n"/>
      <c r="G35" s="265" t="n"/>
    </row>
    <row r="36" ht="13.2" customHeight="1" s="405">
      <c r="B36" s="117" t="n"/>
    </row>
    <row r="37" ht="13.2" customHeight="1" s="405">
      <c r="B37" s="117" t="n"/>
    </row>
    <row r="38" ht="13.2" customHeight="1" s="405">
      <c r="B38" s="117" t="n"/>
    </row>
    <row r="39" ht="13.2" customHeight="1" s="405">
      <c r="B39" s="117" t="n"/>
    </row>
    <row r="40" ht="13.2" customHeight="1" s="405">
      <c r="B40" s="117" t="n"/>
    </row>
    <row r="41" ht="13.2" customHeight="1" s="405">
      <c r="B41" s="117" t="n"/>
    </row>
    <row r="42" ht="13.2" customHeight="1" s="405">
      <c r="B42" s="117" t="n"/>
    </row>
    <row r="43" ht="13.2" customHeight="1" s="405">
      <c r="B43" s="117" t="n"/>
    </row>
    <row r="44" ht="13.2" customHeight="1" s="405">
      <c r="B44" s="117" t="n"/>
    </row>
    <row r="45" ht="13.2" customHeight="1" s="405">
      <c r="B45" s="117" t="n"/>
    </row>
    <row r="46" ht="13.2" customHeight="1" s="405">
      <c r="B46" s="117" t="n"/>
    </row>
    <row r="47" ht="13.2" customHeight="1" s="405">
      <c r="B47" s="117" t="n"/>
    </row>
    <row r="48" ht="13.2" customHeight="1" s="405">
      <c r="B48" s="117" t="n"/>
    </row>
    <row r="49" ht="13.2" customHeight="1" s="405">
      <c r="B49" s="117" t="n"/>
    </row>
    <row r="50" ht="13.2" customHeight="1" s="405">
      <c r="B50" s="117" t="n"/>
    </row>
    <row r="51" ht="13.2" customHeight="1" s="405">
      <c r="B51" s="117" t="n"/>
    </row>
    <row r="52" ht="13.2" customHeight="1" s="405">
      <c r="B52" s="117" t="n"/>
    </row>
    <row r="53" ht="13.2" customHeight="1" s="405">
      <c r="B53" s="117" t="n"/>
    </row>
    <row r="54" ht="13.2" customHeight="1" s="405">
      <c r="B54" s="117" t="n"/>
    </row>
    <row r="55" ht="13.2" customHeight="1" s="405">
      <c r="B55" s="117" t="n"/>
    </row>
    <row r="56" ht="13.2" customHeight="1" s="405">
      <c r="B56" s="117" t="n"/>
    </row>
    <row r="57" ht="13.2" customHeight="1" s="405">
      <c r="B57" s="117" t="n"/>
    </row>
    <row r="58" ht="13.2" customHeight="1" s="405">
      <c r="B58" s="117" t="n"/>
    </row>
    <row r="59" ht="13.2" customHeight="1" s="405">
      <c r="B59" s="117" t="n"/>
    </row>
    <row r="60" ht="13.2" customHeight="1" s="405">
      <c r="B60" s="117" t="n"/>
    </row>
    <row r="61" ht="13.2" customHeight="1" s="405">
      <c r="B61" s="117" t="n"/>
    </row>
    <row r="62" ht="13.2" customHeight="1" s="405">
      <c r="B62" s="117" t="n"/>
    </row>
    <row r="63" ht="13.2" customHeight="1" s="405">
      <c r="B63" s="117" t="n"/>
    </row>
    <row r="64" ht="13.2" customHeight="1" s="405">
      <c r="B64" s="117" t="n"/>
    </row>
    <row r="65" ht="13.2" customHeight="1" s="405">
      <c r="B65" s="117" t="n"/>
    </row>
    <row r="66" ht="13.2" customHeight="1" s="405">
      <c r="B66" s="117" t="n"/>
    </row>
    <row r="67" ht="13.2" customHeight="1" s="405">
      <c r="B67" s="117" t="n"/>
    </row>
    <row r="68" ht="13.2" customHeight="1" s="405">
      <c r="B68" s="117" t="n"/>
    </row>
    <row r="69" ht="13.2" customHeight="1" s="405">
      <c r="B69" s="117" t="n"/>
    </row>
    <row r="70" ht="13.2" customHeight="1" s="405">
      <c r="B70" s="117" t="n"/>
    </row>
    <row r="71" ht="13.2" customHeight="1" s="405">
      <c r="B71" s="117" t="n"/>
    </row>
    <row r="72" ht="13.2" customHeight="1" s="405">
      <c r="B72" s="117" t="n"/>
    </row>
    <row r="73" ht="13.2" customHeight="1" s="405">
      <c r="B73" s="117" t="n"/>
    </row>
    <row r="74" ht="13.2" customHeight="1" s="405">
      <c r="B74" s="117" t="n"/>
    </row>
    <row r="75" ht="13.2" customHeight="1" s="405">
      <c r="B75" s="117" t="n"/>
    </row>
    <row r="76" ht="13.2" customHeight="1" s="405">
      <c r="B76" s="117" t="n"/>
    </row>
    <row r="77" ht="13.2" customHeight="1" s="405">
      <c r="B77" s="117" t="n"/>
    </row>
    <row r="78" ht="13.2" customHeight="1" s="405">
      <c r="B78" s="117" t="n"/>
    </row>
    <row r="79" ht="13.2" customHeight="1" s="405">
      <c r="B79" s="117" t="n"/>
    </row>
    <row r="80" ht="13.2" customHeight="1" s="405">
      <c r="B80" s="117" t="n"/>
    </row>
    <row r="81" ht="13.2" customHeight="1" s="405">
      <c r="B81" s="117" t="n"/>
    </row>
    <row r="82" ht="13.2" customHeight="1" s="405">
      <c r="B82" s="117" t="n"/>
    </row>
    <row r="83" ht="13.2" customHeight="1" s="405">
      <c r="B83" s="117" t="n"/>
    </row>
    <row r="84" ht="13.2" customHeight="1" s="405">
      <c r="B84" s="117" t="n"/>
    </row>
    <row r="85" ht="13.2" customHeight="1" s="405">
      <c r="B85" s="117" t="n"/>
    </row>
    <row r="86" ht="13.2" customHeight="1" s="405">
      <c r="B86" s="117" t="n"/>
    </row>
    <row r="87" ht="13.2" customHeight="1" s="405">
      <c r="B87" s="117" t="n"/>
    </row>
    <row r="88" ht="13.2" customHeight="1" s="405">
      <c r="B88" s="117" t="n"/>
    </row>
    <row r="89" ht="13.2" customHeight="1" s="405">
      <c r="B89" s="117" t="n"/>
    </row>
    <row r="90" ht="13.2" customHeight="1" s="405">
      <c r="B90" s="117" t="n"/>
    </row>
    <row r="91" ht="13.2" customHeight="1" s="405">
      <c r="B91" s="117" t="n"/>
    </row>
    <row r="92" ht="13.2" customHeight="1" s="405">
      <c r="B92" s="117" t="n"/>
    </row>
    <row r="93" ht="13.2" customHeight="1" s="405">
      <c r="B93" s="117" t="n"/>
    </row>
    <row r="94" ht="13.2" customHeight="1" s="405">
      <c r="B94" s="117" t="n"/>
    </row>
    <row r="95" ht="13.2" customHeight="1" s="405">
      <c r="B95" s="117" t="n"/>
    </row>
    <row r="96" ht="13.2" customHeight="1" s="405">
      <c r="B96" s="117" t="n"/>
    </row>
    <row r="97" ht="13.2" customHeight="1" s="405">
      <c r="B97" s="117" t="n"/>
    </row>
    <row r="98" ht="13.2" customHeight="1" s="405">
      <c r="B98" s="117" t="n"/>
    </row>
    <row r="99" ht="13.2" customHeight="1" s="405">
      <c r="B99" s="117" t="n"/>
    </row>
    <row r="100" ht="13.2" customHeight="1" s="405">
      <c r="B100" s="117" t="n"/>
    </row>
    <row r="101" ht="13.2" customHeight="1" s="405">
      <c r="B101" s="117" t="n"/>
    </row>
    <row r="102" ht="13.2" customHeight="1" s="405">
      <c r="B102" s="117" t="n"/>
    </row>
    <row r="103" ht="13.2" customHeight="1" s="405">
      <c r="B103" s="117" t="n"/>
    </row>
    <row r="104" ht="13.2" customHeight="1" s="405">
      <c r="B104" s="117" t="n"/>
    </row>
    <row r="105" ht="13.2" customHeight="1" s="405">
      <c r="B105" s="117" t="n"/>
    </row>
    <row r="106" ht="13.2" customHeight="1" s="405">
      <c r="B106" s="117" t="n"/>
    </row>
    <row r="107" ht="13.2" customHeight="1" s="405">
      <c r="B107" s="117" t="n"/>
    </row>
    <row r="108" ht="13.2" customHeight="1" s="405">
      <c r="B108" s="117" t="n"/>
    </row>
    <row r="109" ht="13.2" customHeight="1" s="405">
      <c r="B109" s="117" t="n"/>
    </row>
    <row r="110" ht="13.2" customHeight="1" s="405">
      <c r="B110" s="117" t="n"/>
    </row>
    <row r="111" ht="13.2" customHeight="1" s="405">
      <c r="B111" s="117" t="n"/>
    </row>
    <row r="112" ht="13.2" customHeight="1" s="405">
      <c r="B112" s="117" t="n"/>
    </row>
    <row r="113" ht="13.2" customHeight="1" s="405">
      <c r="B113" s="117" t="n"/>
    </row>
    <row r="114" ht="13.2" customHeight="1" s="405">
      <c r="B114" s="117" t="n"/>
    </row>
    <row r="115" ht="13.2" customHeight="1" s="405">
      <c r="B115" s="117" t="n"/>
    </row>
    <row r="116" ht="13.2" customHeight="1" s="405">
      <c r="B116" s="117" t="n"/>
    </row>
    <row r="117" ht="13.2" customHeight="1" s="405">
      <c r="B117" s="117" t="n"/>
    </row>
    <row r="118" ht="13.2" customHeight="1" s="405">
      <c r="B118" s="117" t="n"/>
    </row>
    <row r="119" ht="13.2" customHeight="1" s="405">
      <c r="B119" s="117" t="n"/>
    </row>
    <row r="120" ht="13.2" customHeight="1" s="405">
      <c r="B120" s="117" t="n"/>
    </row>
    <row r="121" ht="13.2" customHeight="1" s="405">
      <c r="B121" s="117" t="n"/>
    </row>
    <row r="122" ht="13.2" customHeight="1" s="405">
      <c r="B122" s="117" t="n"/>
    </row>
    <row r="123" ht="13.2" customHeight="1" s="405">
      <c r="B123" s="117" t="n"/>
    </row>
    <row r="124" ht="13.2" customHeight="1" s="405">
      <c r="B124" s="117" t="n"/>
    </row>
    <row r="125" ht="13.2" customHeight="1" s="405">
      <c r="B125" s="117" t="n"/>
    </row>
    <row r="126" ht="13.2" customHeight="1" s="405">
      <c r="B126" s="117" t="n"/>
    </row>
    <row r="127" ht="13.2" customHeight="1" s="405">
      <c r="B127" s="117" t="n"/>
    </row>
    <row r="128" ht="13.2" customHeight="1" s="405">
      <c r="B128" s="117" t="n"/>
    </row>
    <row r="129" ht="13.2" customHeight="1" s="405">
      <c r="B129" s="117" t="n"/>
    </row>
    <row r="130" ht="13.2" customHeight="1" s="405">
      <c r="B130" s="117" t="n"/>
    </row>
    <row r="131" ht="13.2" customHeight="1" s="405">
      <c r="B131" s="117" t="n"/>
    </row>
    <row r="132" ht="13.2" customHeight="1" s="405">
      <c r="B132" s="117" t="n"/>
    </row>
    <row r="133" ht="13.2" customHeight="1" s="405">
      <c r="B133" s="117" t="n"/>
    </row>
    <row r="134" ht="13.2" customHeight="1" s="405">
      <c r="B134" s="117" t="n"/>
    </row>
    <row r="135" ht="13.2" customHeight="1" s="405">
      <c r="B135" s="117" t="n"/>
    </row>
    <row r="136" ht="13.2" customHeight="1" s="405">
      <c r="B136" s="117" t="n"/>
    </row>
    <row r="137" ht="13.2" customHeight="1" s="405">
      <c r="B137" s="117" t="n"/>
    </row>
    <row r="138" ht="13.2" customHeight="1" s="405">
      <c r="B138" s="117" t="n"/>
    </row>
    <row r="139" ht="13.2" customHeight="1" s="405">
      <c r="B139" s="117" t="n"/>
    </row>
    <row r="140" ht="13.2" customHeight="1" s="405">
      <c r="B140" s="117" t="n"/>
    </row>
    <row r="141" ht="13.2" customHeight="1" s="405">
      <c r="B141" s="117" t="n"/>
    </row>
    <row r="142" ht="13.2" customHeight="1" s="405">
      <c r="B142" s="117" t="n"/>
    </row>
    <row r="143" ht="13.2" customHeight="1" s="405">
      <c r="B143" s="117" t="n"/>
    </row>
    <row r="144" ht="13.2" customHeight="1" s="405">
      <c r="B144" s="117" t="n"/>
    </row>
    <row r="145" ht="13.2" customHeight="1" s="405">
      <c r="B145" s="117" t="n"/>
    </row>
    <row r="146" ht="13.2" customHeight="1" s="405">
      <c r="B146" s="117" t="n"/>
    </row>
    <row r="147" ht="13.2" customHeight="1" s="405">
      <c r="B147" s="117" t="n"/>
    </row>
    <row r="148" ht="13.2" customHeight="1" s="405">
      <c r="B148" s="117" t="n"/>
    </row>
    <row r="149" ht="13.2" customHeight="1" s="405">
      <c r="B149" s="117" t="n"/>
    </row>
    <row r="150" ht="13.2" customHeight="1" s="405">
      <c r="B150" s="117" t="n"/>
    </row>
    <row r="151" ht="13.2" customHeight="1" s="405">
      <c r="B151" s="117" t="n"/>
    </row>
    <row r="152" ht="13.2" customHeight="1" s="405">
      <c r="B152" s="117" t="n"/>
    </row>
    <row r="153" ht="13.2" customHeight="1" s="405">
      <c r="B153" s="117" t="n"/>
    </row>
    <row r="154" ht="13.2" customHeight="1" s="405">
      <c r="B154" s="117" t="n"/>
    </row>
    <row r="155" ht="13.2" customHeight="1" s="405">
      <c r="B155" s="117" t="n"/>
    </row>
    <row r="156" ht="13.2" customHeight="1" s="405">
      <c r="B156" s="117" t="n"/>
    </row>
    <row r="157" ht="13.2" customHeight="1" s="405">
      <c r="B157" s="117" t="n"/>
    </row>
    <row r="158" ht="13.2" customHeight="1" s="405">
      <c r="B158" s="117" t="n"/>
    </row>
    <row r="159" ht="13.2" customHeight="1" s="405">
      <c r="B159" s="117" t="n"/>
    </row>
    <row r="160" ht="13.2" customHeight="1" s="405">
      <c r="B160" s="117" t="n"/>
    </row>
    <row r="161" ht="13.2" customHeight="1" s="405">
      <c r="B161" s="117" t="n"/>
    </row>
    <row r="162" ht="13.2" customHeight="1" s="405">
      <c r="B162" s="117" t="n"/>
    </row>
    <row r="163" ht="13.2" customHeight="1" s="405">
      <c r="B163" s="117" t="n"/>
    </row>
    <row r="164" ht="13.2" customHeight="1" s="405">
      <c r="B164" s="117" t="n"/>
    </row>
    <row r="165" ht="13.2" customHeight="1" s="405">
      <c r="B165" s="117" t="n"/>
    </row>
    <row r="166" ht="13.2" customHeight="1" s="405">
      <c r="B166" s="117" t="n"/>
    </row>
    <row r="167" ht="13.2" customHeight="1" s="405">
      <c r="B167" s="117" t="n"/>
    </row>
    <row r="168" ht="13.2" customHeight="1" s="405">
      <c r="B168" s="117" t="n"/>
    </row>
    <row r="169" ht="13.2" customHeight="1" s="405">
      <c r="B169" s="117" t="n"/>
    </row>
    <row r="170" ht="13.2" customHeight="1" s="405">
      <c r="B170" s="117" t="n"/>
    </row>
    <row r="171" ht="13.2" customHeight="1" s="405">
      <c r="B171" s="117" t="n"/>
    </row>
    <row r="172" ht="13.2" customHeight="1" s="405">
      <c r="B172" s="117" t="n"/>
    </row>
    <row r="173" ht="13.2" customHeight="1" s="405">
      <c r="B173" s="117" t="n"/>
    </row>
    <row r="174" ht="13.2" customHeight="1" s="405">
      <c r="B174" s="117" t="n"/>
    </row>
    <row r="175" ht="13.2" customHeight="1" s="405">
      <c r="B175" s="117" t="n"/>
    </row>
    <row r="176" ht="13.2" customHeight="1" s="405">
      <c r="B176" s="117" t="n"/>
    </row>
    <row r="177" ht="13.2" customHeight="1" s="405">
      <c r="B177" s="117" t="n"/>
    </row>
    <row r="178" ht="13.2" customHeight="1" s="405">
      <c r="B178" s="117" t="n"/>
    </row>
    <row r="179" ht="13.2" customHeight="1" s="405">
      <c r="B179" s="117" t="n"/>
    </row>
    <row r="180" ht="13.2" customHeight="1" s="405">
      <c r="B180" s="117" t="n"/>
    </row>
    <row r="181" ht="13.2" customHeight="1" s="405">
      <c r="B181" s="117" t="n"/>
    </row>
    <row r="182" ht="13.2" customHeight="1" s="405">
      <c r="B182" s="117" t="n"/>
    </row>
    <row r="183" ht="13.2" customHeight="1" s="405">
      <c r="B183" s="117" t="n"/>
    </row>
    <row r="184" ht="13.2" customHeight="1" s="405">
      <c r="B184" s="117" t="n"/>
    </row>
    <row r="185" ht="13.2" customHeight="1" s="405">
      <c r="B185" s="117" t="n"/>
    </row>
    <row r="186" ht="13.2" customHeight="1" s="405">
      <c r="B186" s="117" t="n"/>
    </row>
    <row r="187" ht="13.2" customHeight="1" s="405">
      <c r="B187" s="117" t="n"/>
    </row>
    <row r="188" ht="13.2" customHeight="1" s="405">
      <c r="B188" s="117" t="n"/>
    </row>
    <row r="189" ht="13.2" customHeight="1" s="405">
      <c r="B189" s="117" t="n"/>
    </row>
    <row r="190" ht="13.2" customHeight="1" s="405">
      <c r="B190" s="117" t="n"/>
    </row>
    <row r="191" ht="13.2" customHeight="1" s="405">
      <c r="B191" s="117" t="n"/>
    </row>
    <row r="192" ht="13.2" customHeight="1" s="405">
      <c r="B192" s="117" t="n"/>
    </row>
    <row r="193" ht="13.2" customHeight="1" s="405">
      <c r="B193" s="117" t="n"/>
    </row>
    <row r="194" ht="13.2" customHeight="1" s="405">
      <c r="B194" s="117" t="n"/>
    </row>
    <row r="195" ht="13.2" customHeight="1" s="405">
      <c r="B195" s="117" t="n"/>
    </row>
    <row r="196" ht="13.2" customHeight="1" s="405">
      <c r="B196" s="117" t="n"/>
    </row>
    <row r="197" ht="13.2" customHeight="1" s="405">
      <c r="B197" s="117" t="n"/>
    </row>
    <row r="198" ht="13.2" customHeight="1" s="405">
      <c r="B198" s="117" t="n"/>
    </row>
    <row r="199" ht="13.2" customHeight="1" s="405">
      <c r="B199" s="117" t="n"/>
    </row>
    <row r="200" ht="13.2" customHeight="1" s="405">
      <c r="B200" s="117" t="n"/>
    </row>
    <row r="201" ht="13.2" customHeight="1" s="405">
      <c r="B201" s="117" t="n"/>
    </row>
    <row r="202" ht="13.2" customHeight="1" s="405">
      <c r="B202" s="117" t="n"/>
    </row>
    <row r="203" ht="13.2" customHeight="1" s="405">
      <c r="B203" s="117" t="n"/>
    </row>
    <row r="204" ht="13.2" customHeight="1" s="405">
      <c r="B204" s="117" t="n"/>
    </row>
    <row r="205" ht="13.2" customHeight="1" s="405">
      <c r="B205" s="117" t="n"/>
    </row>
    <row r="206" ht="13.2" customHeight="1" s="405">
      <c r="B206" s="117" t="n"/>
    </row>
    <row r="207" ht="13.2" customHeight="1" s="405">
      <c r="B207" s="117" t="n"/>
    </row>
    <row r="208" ht="13.2" customHeight="1" s="405">
      <c r="B208" s="117" t="n"/>
    </row>
    <row r="209" ht="13.2" customHeight="1" s="405">
      <c r="B209" s="117" t="n"/>
    </row>
    <row r="210" ht="13.2" customHeight="1" s="405">
      <c r="B210" s="117" t="n"/>
    </row>
    <row r="211" ht="13.2" customHeight="1" s="405">
      <c r="B211" s="117" t="n"/>
    </row>
    <row r="212" ht="13.2" customHeight="1" s="405">
      <c r="B212" s="117" t="n"/>
    </row>
    <row r="213" ht="13.2" customHeight="1" s="405">
      <c r="B213" s="117" t="n"/>
    </row>
    <row r="214" ht="13.2" customHeight="1" s="405">
      <c r="B214" s="117" t="n"/>
    </row>
    <row r="215" ht="13.2" customHeight="1" s="405">
      <c r="B215" s="117" t="n"/>
    </row>
    <row r="216" ht="13.2" customHeight="1" s="405">
      <c r="B216" s="117" t="n"/>
    </row>
    <row r="217" ht="13.2" customHeight="1" s="405">
      <c r="B217" s="117" t="n"/>
    </row>
    <row r="218" ht="13.2" customHeight="1" s="405">
      <c r="B218" s="117" t="n"/>
    </row>
    <row r="219" ht="13.2" customHeight="1" s="405">
      <c r="B219" s="117" t="n"/>
    </row>
    <row r="220" ht="13.2" customHeight="1" s="405">
      <c r="B220" s="117" t="n"/>
    </row>
    <row r="221" ht="13.2" customHeight="1" s="405">
      <c r="B221" s="117" t="n"/>
    </row>
    <row r="222" ht="13.2" customHeight="1" s="405">
      <c r="B222" s="117" t="n"/>
    </row>
    <row r="223" ht="13.2" customHeight="1" s="405">
      <c r="B223" s="117" t="n"/>
    </row>
    <row r="224" ht="13.2" customHeight="1" s="405">
      <c r="B224" s="117" t="n"/>
    </row>
    <row r="225" ht="13.2" customHeight="1" s="405">
      <c r="B225" s="117" t="n"/>
    </row>
    <row r="226" ht="13.2" customHeight="1" s="405">
      <c r="B226" s="117" t="n"/>
    </row>
    <row r="227" ht="13.2" customHeight="1" s="405">
      <c r="B227" s="117" t="n"/>
    </row>
    <row r="228" ht="13.2" customHeight="1" s="405">
      <c r="B228" s="117" t="n"/>
    </row>
    <row r="229" ht="13.2" customHeight="1" s="405">
      <c r="B229" s="117" t="n"/>
    </row>
    <row r="230" ht="13.2" customHeight="1" s="405">
      <c r="B230" s="117" t="n"/>
    </row>
    <row r="231" ht="13.2" customHeight="1" s="405">
      <c r="B231" s="117" t="n"/>
    </row>
    <row r="232" ht="13.2" customHeight="1" s="405">
      <c r="B232" s="117" t="n"/>
    </row>
    <row r="233" ht="13.2" customHeight="1" s="405">
      <c r="B233" s="117" t="n"/>
    </row>
    <row r="234" ht="13.2" customHeight="1" s="405">
      <c r="B234" s="117" t="n"/>
    </row>
    <row r="235" ht="13.2" customHeight="1" s="405">
      <c r="B235" s="117" t="n"/>
    </row>
    <row r="236" ht="13.2" customHeight="1" s="405">
      <c r="B236" s="117" t="n"/>
    </row>
    <row r="237" ht="13.2" customHeight="1" s="405">
      <c r="B237" s="117" t="n"/>
    </row>
    <row r="238" ht="13.2" customHeight="1" s="405">
      <c r="B238" s="117" t="n"/>
    </row>
    <row r="239" ht="13.2" customHeight="1" s="405">
      <c r="B239" s="117" t="n"/>
    </row>
    <row r="240" ht="13.2" customHeight="1" s="405">
      <c r="B240" s="117" t="n"/>
    </row>
    <row r="241" ht="13.2" customHeight="1" s="405">
      <c r="B241" s="117" t="n"/>
    </row>
    <row r="242" ht="13.2" customHeight="1" s="405">
      <c r="B242" s="117" t="n"/>
    </row>
    <row r="243" ht="13.2" customHeight="1" s="405">
      <c r="B243" s="117" t="n"/>
    </row>
    <row r="244" ht="13.2" customHeight="1" s="405">
      <c r="B244" s="117" t="n"/>
    </row>
    <row r="245" ht="13.2" customHeight="1" s="405">
      <c r="B245" s="117" t="n"/>
    </row>
    <row r="246" ht="13.2" customHeight="1" s="405">
      <c r="B246" s="117" t="n"/>
    </row>
    <row r="247" ht="13.2" customHeight="1" s="405">
      <c r="B247" s="117" t="n"/>
    </row>
    <row r="248" ht="13.2" customHeight="1" s="405">
      <c r="B248" s="117" t="n"/>
    </row>
    <row r="249" ht="13.2" customHeight="1" s="405">
      <c r="B249" s="117" t="n"/>
    </row>
    <row r="250" ht="13.2" customHeight="1" s="405">
      <c r="B250" s="117" t="n"/>
    </row>
    <row r="251" ht="13.2" customHeight="1" s="405">
      <c r="B251" s="117" t="n"/>
    </row>
    <row r="252" ht="13.2" customHeight="1" s="405">
      <c r="B252" s="117" t="n"/>
    </row>
    <row r="253" ht="13.2" customHeight="1" s="405">
      <c r="B253" s="117" t="n"/>
    </row>
    <row r="254" ht="13.2" customHeight="1" s="405">
      <c r="B254" s="117" t="n"/>
    </row>
    <row r="255" ht="13.2" customHeight="1" s="405">
      <c r="B255" s="117" t="n"/>
    </row>
    <row r="256" ht="13.2" customHeight="1" s="405">
      <c r="B256" s="117" t="n"/>
    </row>
    <row r="257" ht="13.2" customHeight="1" s="405">
      <c r="B257" s="117" t="n"/>
    </row>
    <row r="258" ht="13.2" customHeight="1" s="405">
      <c r="B258" s="117" t="n"/>
    </row>
    <row r="259" ht="13.2" customHeight="1" s="405">
      <c r="B259" s="117" t="n"/>
    </row>
    <row r="260" ht="13.2" customHeight="1" s="405">
      <c r="B260" s="117" t="n"/>
    </row>
    <row r="261" ht="13.2" customHeight="1" s="405">
      <c r="B261" s="117" t="n"/>
    </row>
    <row r="262" ht="13.2" customHeight="1" s="405">
      <c r="B262" s="117" t="n"/>
    </row>
    <row r="263" ht="13.2" customHeight="1" s="405">
      <c r="B263" s="117" t="n"/>
    </row>
    <row r="264" ht="13.2" customHeight="1" s="405">
      <c r="B264" s="117" t="n"/>
    </row>
    <row r="265" ht="13.2" customHeight="1" s="405">
      <c r="B265" s="117" t="n"/>
    </row>
    <row r="266" ht="13.2" customHeight="1" s="405">
      <c r="B266" s="117" t="n"/>
    </row>
    <row r="267" ht="13.2" customHeight="1" s="405">
      <c r="B267" s="117" t="n"/>
    </row>
    <row r="268" ht="13.2" customHeight="1" s="405">
      <c r="B268" s="117" t="n"/>
    </row>
    <row r="269" ht="13.2" customHeight="1" s="405">
      <c r="B269" s="117" t="n"/>
    </row>
    <row r="270" ht="13.2" customHeight="1" s="405">
      <c r="B270" s="117" t="n"/>
    </row>
    <row r="271" ht="13.2" customHeight="1" s="405">
      <c r="B271" s="117" t="n"/>
    </row>
    <row r="272" ht="13.2" customHeight="1" s="405">
      <c r="B272" s="117" t="n"/>
    </row>
    <row r="273" ht="13.2" customHeight="1" s="405">
      <c r="B273" s="117" t="n"/>
    </row>
    <row r="274" ht="13.2" customHeight="1" s="405">
      <c r="B274" s="117" t="n"/>
    </row>
    <row r="275" ht="13.2" customHeight="1" s="405">
      <c r="B275" s="117" t="n"/>
    </row>
    <row r="276" ht="13.2" customHeight="1" s="405">
      <c r="B276" s="117" t="n"/>
    </row>
    <row r="277" ht="13.2" customHeight="1" s="405">
      <c r="B277" s="117" t="n"/>
    </row>
    <row r="278" ht="13.2" customHeight="1" s="405">
      <c r="B278" s="117" t="n"/>
    </row>
    <row r="279" ht="13.2" customHeight="1" s="405">
      <c r="B279" s="117" t="n"/>
    </row>
    <row r="280" ht="13.2" customHeight="1" s="405">
      <c r="B280" s="117" t="n"/>
    </row>
    <row r="281" ht="13.2" customHeight="1" s="405">
      <c r="B281" s="117" t="n"/>
    </row>
    <row r="282" ht="13.2" customHeight="1" s="405">
      <c r="B282" s="117" t="n"/>
    </row>
    <row r="283" ht="13.2" customHeight="1" s="405">
      <c r="B283" s="117" t="n"/>
    </row>
    <row r="284" ht="13.2" customHeight="1" s="405">
      <c r="B284" s="117" t="n"/>
    </row>
    <row r="285" ht="13.2" customHeight="1" s="405">
      <c r="B285" s="117" t="n"/>
    </row>
    <row r="286" ht="13.2" customHeight="1" s="405">
      <c r="B286" s="117" t="n"/>
    </row>
    <row r="287" ht="13.2" customHeight="1" s="405">
      <c r="B287" s="117" t="n"/>
    </row>
    <row r="288" ht="13.2" customHeight="1" s="405">
      <c r="B288" s="117" t="n"/>
    </row>
    <row r="289" ht="13.2" customHeight="1" s="405">
      <c r="B289" s="117" t="n"/>
    </row>
    <row r="290" ht="13.2" customHeight="1" s="405">
      <c r="B290" s="117" t="n"/>
    </row>
    <row r="291" ht="13.2" customHeight="1" s="405">
      <c r="B291" s="117" t="n"/>
    </row>
    <row r="292" ht="13.2" customHeight="1" s="405">
      <c r="B292" s="117" t="n"/>
    </row>
    <row r="293" ht="13.2" customHeight="1" s="405">
      <c r="B293" s="117" t="n"/>
    </row>
    <row r="294" ht="13.2" customHeight="1" s="405">
      <c r="B294" s="117" t="n"/>
    </row>
    <row r="295" ht="13.2" customHeight="1" s="405">
      <c r="B295" s="117" t="n"/>
    </row>
    <row r="296" ht="13.2" customHeight="1" s="405">
      <c r="B296" s="117" t="n"/>
    </row>
    <row r="297" ht="13.2" customHeight="1" s="405">
      <c r="B297" s="117" t="n"/>
    </row>
    <row r="298" ht="13.2" customHeight="1" s="405">
      <c r="B298" s="117" t="n"/>
    </row>
    <row r="299" ht="13.2" customHeight="1" s="405">
      <c r="B299" s="117" t="n"/>
    </row>
    <row r="300" ht="13.2" customHeight="1" s="405">
      <c r="B300" s="117" t="n"/>
    </row>
    <row r="301" ht="13.2" customHeight="1" s="405">
      <c r="B301" s="117" t="n"/>
    </row>
    <row r="302" ht="13.2" customHeight="1" s="405">
      <c r="B302" s="117" t="n"/>
    </row>
    <row r="303" ht="13.2" customHeight="1" s="405">
      <c r="B303" s="117" t="n"/>
    </row>
    <row r="304" ht="13.2" customHeight="1" s="405">
      <c r="B304" s="117" t="n"/>
    </row>
    <row r="305" ht="13.2" customHeight="1" s="405">
      <c r="B305" s="117" t="n"/>
    </row>
    <row r="306" ht="13.2" customHeight="1" s="405">
      <c r="B306" s="117" t="n"/>
    </row>
    <row r="307" ht="13.2" customHeight="1" s="405">
      <c r="B307" s="117" t="n"/>
    </row>
    <row r="308" ht="13.2" customHeight="1" s="405">
      <c r="B308" s="117" t="n"/>
    </row>
    <row r="309" ht="13.2" customHeight="1" s="405">
      <c r="B309" s="117" t="n"/>
    </row>
    <row r="310" ht="13.2" customHeight="1" s="405">
      <c r="B310" s="117" t="n"/>
    </row>
    <row r="311" ht="13.2" customHeight="1" s="405">
      <c r="B311" s="117" t="n"/>
    </row>
    <row r="312" ht="13.2" customHeight="1" s="405">
      <c r="B312" s="117" t="n"/>
    </row>
    <row r="313" ht="13.2" customHeight="1" s="405">
      <c r="B313" s="117" t="n"/>
    </row>
    <row r="314" ht="13.2" customHeight="1" s="405">
      <c r="B314" s="117" t="n"/>
    </row>
    <row r="315" ht="13.2" customHeight="1" s="405">
      <c r="B315" s="117" t="n"/>
    </row>
    <row r="316" ht="13.2" customHeight="1" s="405">
      <c r="B316" s="117" t="n"/>
    </row>
    <row r="317" ht="13.2" customHeight="1" s="405">
      <c r="B317" s="117" t="n"/>
    </row>
    <row r="318" ht="13.2" customHeight="1" s="405">
      <c r="B318" s="117" t="n"/>
    </row>
    <row r="319" ht="13.2" customHeight="1" s="405">
      <c r="B319" s="117" t="n"/>
    </row>
    <row r="320" ht="13.2" customHeight="1" s="405">
      <c r="B320" s="117" t="n"/>
    </row>
    <row r="321" ht="13.2" customHeight="1" s="405">
      <c r="B321" s="117" t="n"/>
    </row>
    <row r="322" ht="13.2" customHeight="1" s="405">
      <c r="B322" s="117" t="n"/>
    </row>
    <row r="323" ht="13.2" customHeight="1" s="405">
      <c r="B323" s="117" t="n"/>
    </row>
    <row r="324" ht="13.2" customHeight="1" s="405">
      <c r="B324" s="117" t="n"/>
    </row>
    <row r="325" ht="13.2" customHeight="1" s="405">
      <c r="B325" s="117" t="n"/>
    </row>
    <row r="326" ht="13.2" customHeight="1" s="405">
      <c r="B326" s="117" t="n"/>
    </row>
    <row r="327" ht="13.2" customHeight="1" s="405">
      <c r="B327" s="117" t="n"/>
    </row>
    <row r="328" ht="13.2" customHeight="1" s="405">
      <c r="B328" s="117" t="n"/>
    </row>
    <row r="329" ht="13.2" customHeight="1" s="405">
      <c r="B329" s="117" t="n"/>
    </row>
    <row r="330" ht="13.2" customHeight="1" s="405">
      <c r="B330" s="117" t="n"/>
    </row>
    <row r="331" ht="13.2" customHeight="1" s="405">
      <c r="B331" s="117" t="n"/>
    </row>
    <row r="332" ht="13.2" customHeight="1" s="405">
      <c r="B332" s="117" t="n"/>
    </row>
    <row r="333" ht="13.2" customHeight="1" s="405">
      <c r="B333" s="117" t="n"/>
    </row>
    <row r="334" ht="13.2" customHeight="1" s="405">
      <c r="B334" s="117" t="n"/>
    </row>
    <row r="335" ht="13.2" customHeight="1" s="405">
      <c r="B335" s="117" t="n"/>
    </row>
    <row r="336" ht="13.2" customHeight="1" s="405">
      <c r="B336" s="117" t="n"/>
    </row>
    <row r="337" ht="13.2" customHeight="1" s="405">
      <c r="B337" s="117" t="n"/>
    </row>
    <row r="338" ht="13.2" customHeight="1" s="405">
      <c r="B338" s="117" t="n"/>
    </row>
    <row r="339" ht="13.2" customHeight="1" s="405">
      <c r="B339" s="117" t="n"/>
    </row>
    <row r="340" ht="13.2" customHeight="1" s="405">
      <c r="B340" s="117" t="n"/>
    </row>
    <row r="341" ht="13.2" customHeight="1" s="405">
      <c r="B341" s="117" t="n"/>
    </row>
    <row r="342" ht="13.2" customHeight="1" s="405">
      <c r="B342" s="117" t="n"/>
    </row>
    <row r="343" ht="13.2" customHeight="1" s="405">
      <c r="B343" s="117" t="n"/>
    </row>
    <row r="344" ht="13.2" customHeight="1" s="405">
      <c r="B344" s="117" t="n"/>
    </row>
    <row r="345" ht="13.2" customHeight="1" s="405">
      <c r="B345" s="117" t="n"/>
    </row>
    <row r="346" ht="13.2" customHeight="1" s="405">
      <c r="B346" s="117" t="n"/>
    </row>
    <row r="347" ht="13.2" customHeight="1" s="405">
      <c r="B347" s="117" t="n"/>
    </row>
    <row r="348" ht="13.2" customHeight="1" s="405">
      <c r="B348" s="117" t="n"/>
    </row>
    <row r="349" ht="13.2" customHeight="1" s="405">
      <c r="B349" s="117" t="n"/>
    </row>
    <row r="350" ht="13.2" customHeight="1" s="405">
      <c r="B350" s="117" t="n"/>
    </row>
    <row r="351" ht="13.2" customHeight="1" s="405">
      <c r="B351" s="117" t="n"/>
    </row>
    <row r="352" ht="13.2" customHeight="1" s="405">
      <c r="B352" s="117" t="n"/>
    </row>
    <row r="353" ht="13.2" customHeight="1" s="405">
      <c r="B353" s="117" t="n"/>
    </row>
    <row r="354" ht="13.2" customHeight="1" s="405">
      <c r="B354" s="117" t="n"/>
    </row>
    <row r="355" ht="13.2" customHeight="1" s="405">
      <c r="B355" s="117" t="n"/>
    </row>
    <row r="356" ht="13.2" customHeight="1" s="405">
      <c r="B356" s="117" t="n"/>
    </row>
    <row r="357" ht="13.2" customHeight="1" s="405">
      <c r="B357" s="117" t="n"/>
    </row>
    <row r="358" ht="13.2" customHeight="1" s="405">
      <c r="B358" s="117" t="n"/>
    </row>
    <row r="359" ht="13.2" customHeight="1" s="405">
      <c r="B359" s="117" t="n"/>
    </row>
    <row r="360" ht="13.2" customHeight="1" s="405">
      <c r="B360" s="117" t="n"/>
    </row>
    <row r="361" ht="13.2" customHeight="1" s="405">
      <c r="B361" s="117" t="n"/>
    </row>
    <row r="362" ht="13.2" customHeight="1" s="405">
      <c r="B362" s="117" t="n"/>
    </row>
    <row r="363" ht="13.2" customHeight="1" s="405">
      <c r="B363" s="117" t="n"/>
    </row>
    <row r="364" ht="13.2" customHeight="1" s="405">
      <c r="B364" s="117" t="n"/>
    </row>
    <row r="365" ht="13.2" customHeight="1" s="405">
      <c r="B365" s="117" t="n"/>
    </row>
    <row r="366" ht="13.2" customHeight="1" s="405">
      <c r="B366" s="117" t="n"/>
    </row>
    <row r="367" ht="13.2" customHeight="1" s="405">
      <c r="B367" s="117" t="n"/>
    </row>
    <row r="368" ht="13.2" customHeight="1" s="405">
      <c r="B368" s="117" t="n"/>
    </row>
    <row r="369" ht="13.2" customHeight="1" s="405">
      <c r="B369" s="117" t="n"/>
    </row>
    <row r="370" ht="13.2" customHeight="1" s="405">
      <c r="B370" s="117" t="n"/>
    </row>
    <row r="371" ht="13.2" customHeight="1" s="405">
      <c r="B371" s="117" t="n"/>
    </row>
    <row r="372" ht="13.2" customHeight="1" s="405">
      <c r="B372" s="117" t="n"/>
    </row>
    <row r="373" ht="13.2" customHeight="1" s="405">
      <c r="B373" s="117" t="n"/>
    </row>
    <row r="374" ht="13.2" customHeight="1" s="405">
      <c r="B374" s="117" t="n"/>
    </row>
    <row r="375" ht="13.2" customHeight="1" s="405">
      <c r="B375" s="117" t="n"/>
    </row>
    <row r="376" ht="13.2" customHeight="1" s="405">
      <c r="B376" s="117" t="n"/>
    </row>
    <row r="377" ht="13.2" customHeight="1" s="405">
      <c r="B377" s="117" t="n"/>
    </row>
    <row r="378" ht="13.2" customHeight="1" s="405">
      <c r="B378" s="117" t="n"/>
    </row>
    <row r="379" ht="13.2" customHeight="1" s="405">
      <c r="B379" s="117" t="n"/>
    </row>
    <row r="380" ht="13.2" customHeight="1" s="405">
      <c r="B380" s="117" t="n"/>
    </row>
    <row r="381" ht="13.2" customHeight="1" s="405">
      <c r="B381" s="117" t="n"/>
    </row>
    <row r="382" ht="13.2" customHeight="1" s="405">
      <c r="B382" s="117" t="n"/>
    </row>
    <row r="383" ht="13.2" customHeight="1" s="405">
      <c r="B383" s="117" t="n"/>
    </row>
    <row r="384" ht="13.2" customHeight="1" s="405">
      <c r="B384" s="117" t="n"/>
    </row>
    <row r="385" ht="13.2" customHeight="1" s="405">
      <c r="B385" s="117" t="n"/>
    </row>
    <row r="386" ht="13.2" customHeight="1" s="405">
      <c r="B386" s="117" t="n"/>
    </row>
    <row r="387" ht="13.2" customHeight="1" s="405">
      <c r="B387" s="117" t="n"/>
    </row>
    <row r="388" ht="13.2" customHeight="1" s="405">
      <c r="B388" s="117" t="n"/>
    </row>
    <row r="389" ht="13.2" customHeight="1" s="405">
      <c r="B389" s="117" t="n"/>
    </row>
    <row r="390" ht="13.2" customHeight="1" s="405">
      <c r="B390" s="117" t="n"/>
    </row>
    <row r="391" ht="13.2" customHeight="1" s="405">
      <c r="B391" s="117" t="n"/>
    </row>
    <row r="392" ht="13.2" customHeight="1" s="405">
      <c r="B392" s="117" t="n"/>
    </row>
    <row r="393" ht="13.2" customHeight="1" s="405">
      <c r="B393" s="117" t="n"/>
    </row>
    <row r="394" ht="13.2" customHeight="1" s="405">
      <c r="B394" s="117" t="n"/>
    </row>
    <row r="395" ht="13.2" customHeight="1" s="405">
      <c r="B395" s="117" t="n"/>
    </row>
    <row r="396" ht="13.2" customHeight="1" s="405">
      <c r="B396" s="117" t="n"/>
    </row>
    <row r="397" ht="13.2" customHeight="1" s="405">
      <c r="B397" s="117" t="n"/>
    </row>
    <row r="398" ht="13.2" customHeight="1" s="405">
      <c r="B398" s="117" t="n"/>
    </row>
    <row r="399" ht="13.2" customHeight="1" s="405">
      <c r="B399" s="117" t="n"/>
    </row>
    <row r="400" ht="13.2" customHeight="1" s="405">
      <c r="B400" s="117" t="n"/>
    </row>
    <row r="401" ht="13.2" customHeight="1" s="405">
      <c r="B401" s="117" t="n"/>
    </row>
    <row r="402" ht="13.2" customHeight="1" s="405">
      <c r="B402" s="117" t="n"/>
    </row>
    <row r="403" ht="13.2" customHeight="1" s="405">
      <c r="B403" s="117" t="n"/>
    </row>
    <row r="404" ht="13.2" customHeight="1" s="405">
      <c r="B404" s="117" t="n"/>
    </row>
    <row r="405" ht="13.2" customHeight="1" s="405">
      <c r="B405" s="117" t="n"/>
    </row>
    <row r="406" ht="13.2" customHeight="1" s="405">
      <c r="B406" s="117" t="n"/>
    </row>
    <row r="407" ht="13.2" customHeight="1" s="405">
      <c r="B407" s="117" t="n"/>
    </row>
    <row r="408" ht="13.2" customHeight="1" s="405">
      <c r="B408" s="117" t="n"/>
    </row>
    <row r="409" ht="13.2" customHeight="1" s="405">
      <c r="B409" s="117" t="n"/>
    </row>
    <row r="410" ht="13.2" customHeight="1" s="405">
      <c r="B410" s="117" t="n"/>
    </row>
    <row r="411" ht="13.2" customHeight="1" s="405">
      <c r="B411" s="117" t="n"/>
    </row>
    <row r="412" ht="13.2" customHeight="1" s="405">
      <c r="B412" s="117" t="n"/>
    </row>
    <row r="413" ht="13.2" customHeight="1" s="405">
      <c r="B413" s="117" t="n"/>
    </row>
    <row r="414" ht="13.2" customHeight="1" s="405">
      <c r="B414" s="117" t="n"/>
    </row>
    <row r="415" ht="13.2" customHeight="1" s="405">
      <c r="B415" s="117" t="n"/>
    </row>
    <row r="416" ht="13.2" customHeight="1" s="405">
      <c r="B416" s="117" t="n"/>
    </row>
    <row r="417" ht="13.2" customHeight="1" s="405">
      <c r="B417" s="117" t="n"/>
    </row>
    <row r="418" ht="13.2" customHeight="1" s="405">
      <c r="B418" s="117" t="n"/>
    </row>
    <row r="419" ht="13.2" customHeight="1" s="405">
      <c r="B419" s="117" t="n"/>
    </row>
    <row r="420" ht="13.2" customHeight="1" s="405">
      <c r="B420" s="117" t="n"/>
    </row>
    <row r="421" ht="13.2" customHeight="1" s="405">
      <c r="B421" s="117" t="n"/>
    </row>
    <row r="422" ht="13.2" customHeight="1" s="405">
      <c r="B422" s="117" t="n"/>
    </row>
    <row r="423" ht="13.2" customHeight="1" s="405">
      <c r="B423" s="117" t="n"/>
    </row>
    <row r="424" ht="13.2" customHeight="1" s="405">
      <c r="B424" s="117" t="n"/>
    </row>
    <row r="425" ht="13.2" customHeight="1" s="405">
      <c r="B425" s="117" t="n"/>
    </row>
    <row r="426" ht="13.2" customHeight="1" s="405">
      <c r="B426" s="117" t="n"/>
    </row>
    <row r="427" ht="13.2" customHeight="1" s="405">
      <c r="B427" s="117" t="n"/>
    </row>
    <row r="428" ht="13.2" customHeight="1" s="405">
      <c r="B428" s="117" t="n"/>
    </row>
    <row r="429" ht="13.2" customHeight="1" s="405">
      <c r="B429" s="117" t="n"/>
    </row>
    <row r="430" ht="13.2" customHeight="1" s="405">
      <c r="B430" s="117" t="n"/>
    </row>
    <row r="431" ht="13.2" customHeight="1" s="405">
      <c r="B431" s="117" t="n"/>
    </row>
    <row r="432" ht="13.2" customHeight="1" s="405">
      <c r="B432" s="117" t="n"/>
    </row>
    <row r="433" ht="13.2" customHeight="1" s="405">
      <c r="B433" s="117" t="n"/>
    </row>
    <row r="434" ht="13.2" customHeight="1" s="405">
      <c r="B434" s="117" t="n"/>
    </row>
    <row r="435" ht="13.2" customHeight="1" s="405">
      <c r="B435" s="117" t="n"/>
    </row>
    <row r="436" ht="13.2" customHeight="1" s="405">
      <c r="B436" s="117" t="n"/>
    </row>
    <row r="437" ht="13.2" customHeight="1" s="405">
      <c r="B437" s="117" t="n"/>
    </row>
    <row r="438" ht="13.2" customHeight="1" s="405">
      <c r="B438" s="117" t="n"/>
    </row>
    <row r="439" ht="13.2" customHeight="1" s="405">
      <c r="B439" s="117" t="n"/>
    </row>
    <row r="440" ht="13.2" customHeight="1" s="405">
      <c r="B440" s="117" t="n"/>
    </row>
    <row r="441" ht="13.2" customHeight="1" s="405">
      <c r="B441" s="117" t="n"/>
    </row>
    <row r="442" ht="13.2" customHeight="1" s="405">
      <c r="B442" s="117" t="n"/>
    </row>
    <row r="443" ht="13.2" customHeight="1" s="405">
      <c r="B443" s="117" t="n"/>
    </row>
    <row r="444" ht="13.2" customHeight="1" s="405">
      <c r="B444" s="117" t="n"/>
    </row>
    <row r="445" ht="13.2" customHeight="1" s="405">
      <c r="B445" s="117" t="n"/>
    </row>
    <row r="446" ht="13.2" customHeight="1" s="405">
      <c r="B446" s="117" t="n"/>
    </row>
    <row r="447" ht="13.2" customHeight="1" s="405">
      <c r="B447" s="117" t="n"/>
    </row>
    <row r="448" ht="13.2" customHeight="1" s="405">
      <c r="B448" s="117" t="n"/>
    </row>
    <row r="449" ht="13.2" customHeight="1" s="405">
      <c r="B449" s="117" t="n"/>
    </row>
    <row r="450" ht="13.2" customHeight="1" s="405">
      <c r="B450" s="117" t="n"/>
    </row>
    <row r="451" ht="13.2" customHeight="1" s="405">
      <c r="B451" s="117" t="n"/>
    </row>
    <row r="452" ht="13.2" customHeight="1" s="405">
      <c r="B452" s="117" t="n"/>
    </row>
    <row r="453" ht="13.2" customHeight="1" s="405">
      <c r="B453" s="117" t="n"/>
    </row>
    <row r="454" ht="13.2" customHeight="1" s="405">
      <c r="B454" s="117" t="n"/>
    </row>
    <row r="455" ht="13.2" customHeight="1" s="405">
      <c r="B455" s="117" t="n"/>
    </row>
    <row r="456" ht="13.2" customHeight="1" s="405">
      <c r="B456" s="117" t="n"/>
    </row>
    <row r="457" ht="13.2" customHeight="1" s="405">
      <c r="B457" s="117" t="n"/>
    </row>
    <row r="458" ht="13.2" customHeight="1" s="405">
      <c r="B458" s="117" t="n"/>
    </row>
    <row r="459" ht="13.2" customHeight="1" s="405">
      <c r="B459" s="117" t="n"/>
    </row>
    <row r="460" ht="13.2" customHeight="1" s="405">
      <c r="B460" s="117" t="n"/>
    </row>
    <row r="461" ht="13.2" customHeight="1" s="405">
      <c r="B461" s="117" t="n"/>
    </row>
    <row r="462" ht="13.2" customHeight="1" s="405">
      <c r="B462" s="117" t="n"/>
    </row>
    <row r="463" ht="13.2" customHeight="1" s="405">
      <c r="B463" s="117" t="n"/>
    </row>
    <row r="464" ht="13.2" customHeight="1" s="405">
      <c r="B464" s="117" t="n"/>
    </row>
    <row r="465" ht="13.2" customHeight="1" s="405">
      <c r="B465" s="117" t="n"/>
    </row>
    <row r="466" ht="13.2" customHeight="1" s="405">
      <c r="B466" s="117" t="n"/>
    </row>
    <row r="467" ht="13.2" customHeight="1" s="405">
      <c r="B467" s="117" t="n"/>
    </row>
    <row r="468" ht="13.2" customHeight="1" s="405">
      <c r="B468" s="117" t="n"/>
    </row>
    <row r="469" ht="13.2" customHeight="1" s="405">
      <c r="B469" s="117" t="n"/>
    </row>
    <row r="470" ht="13.2" customHeight="1" s="405">
      <c r="B470" s="117" t="n"/>
    </row>
    <row r="471" ht="13.2" customHeight="1" s="405">
      <c r="B471" s="117" t="n"/>
    </row>
    <row r="472" ht="13.2" customHeight="1" s="405">
      <c r="B472" s="117" t="n"/>
    </row>
    <row r="473" ht="13.2" customHeight="1" s="405">
      <c r="B473" s="117" t="n"/>
    </row>
    <row r="474" ht="13.2" customHeight="1" s="405">
      <c r="B474" s="117" t="n"/>
    </row>
    <row r="475" ht="13.2" customHeight="1" s="405">
      <c r="B475" s="117" t="n"/>
    </row>
    <row r="476" ht="13.2" customHeight="1" s="405">
      <c r="B476" s="117" t="n"/>
    </row>
    <row r="477" ht="13.2" customHeight="1" s="405">
      <c r="B477" s="117" t="n"/>
    </row>
    <row r="478" ht="13.2" customHeight="1" s="405">
      <c r="B478" s="117" t="n"/>
    </row>
    <row r="479" ht="13.2" customHeight="1" s="405">
      <c r="B479" s="117" t="n"/>
    </row>
    <row r="480" ht="13.2" customHeight="1" s="405">
      <c r="B480" s="117" t="n"/>
    </row>
    <row r="481" ht="13.2" customHeight="1" s="405">
      <c r="B481" s="117" t="n"/>
    </row>
    <row r="482" ht="13.2" customHeight="1" s="405">
      <c r="B482" s="117" t="n"/>
    </row>
    <row r="483" ht="13.2" customHeight="1" s="405">
      <c r="B483" s="117" t="n"/>
    </row>
    <row r="484" ht="13.2" customHeight="1" s="405">
      <c r="B484" s="117" t="n"/>
    </row>
    <row r="485" ht="13.2" customHeight="1" s="405">
      <c r="B485" s="117" t="n"/>
    </row>
    <row r="486" ht="13.2" customHeight="1" s="405">
      <c r="B486" s="117" t="n"/>
    </row>
    <row r="487" ht="13.2" customHeight="1" s="405">
      <c r="B487" s="117" t="n"/>
    </row>
    <row r="488" ht="13.2" customHeight="1" s="405">
      <c r="B488" s="117" t="n"/>
    </row>
    <row r="489" ht="13.2" customHeight="1" s="405">
      <c r="B489" s="117" t="n"/>
    </row>
    <row r="490" ht="13.2" customHeight="1" s="405">
      <c r="B490" s="117" t="n"/>
    </row>
    <row r="491" ht="13.2" customHeight="1" s="405">
      <c r="B491" s="117" t="n"/>
    </row>
    <row r="492" ht="13.2" customHeight="1" s="405">
      <c r="B492" s="117" t="n"/>
    </row>
    <row r="493" ht="13.2" customHeight="1" s="405">
      <c r="B493" s="117" t="n"/>
    </row>
    <row r="494" ht="13.2" customHeight="1" s="405">
      <c r="B494" s="117" t="n"/>
    </row>
    <row r="495" ht="13.2" customHeight="1" s="405">
      <c r="B495" s="117" t="n"/>
    </row>
    <row r="496" ht="13.2" customHeight="1" s="405">
      <c r="B496" s="117" t="n"/>
    </row>
    <row r="497" ht="13.2" customHeight="1" s="405">
      <c r="B497" s="117" t="n"/>
    </row>
    <row r="498" ht="13.2" customHeight="1" s="405">
      <c r="B498" s="117" t="n"/>
    </row>
    <row r="499" ht="13.2" customHeight="1" s="405">
      <c r="B499" s="117" t="n"/>
    </row>
    <row r="500" ht="13.2" customHeight="1" s="405">
      <c r="B500" s="117" t="n"/>
    </row>
    <row r="501" ht="13.2" customHeight="1" s="405">
      <c r="B501" s="117" t="n"/>
    </row>
    <row r="502" ht="13.2" customHeight="1" s="405">
      <c r="B502" s="117" t="n"/>
    </row>
    <row r="503" ht="13.2" customHeight="1" s="405">
      <c r="B503" s="117" t="n"/>
    </row>
    <row r="504" ht="13.2" customHeight="1" s="405">
      <c r="B504" s="117" t="n"/>
    </row>
    <row r="505" ht="13.2" customHeight="1" s="405">
      <c r="B505" s="117" t="n"/>
    </row>
    <row r="506" ht="13.2" customHeight="1" s="405">
      <c r="B506" s="117" t="n"/>
    </row>
    <row r="507" ht="13.2" customHeight="1" s="405">
      <c r="B507" s="117" t="n"/>
    </row>
    <row r="508" ht="13.2" customHeight="1" s="405">
      <c r="B508" s="117" t="n"/>
    </row>
    <row r="509" ht="13.2" customHeight="1" s="405">
      <c r="B509" s="117" t="n"/>
    </row>
    <row r="510" ht="13.2" customHeight="1" s="405">
      <c r="B510" s="117" t="n"/>
    </row>
    <row r="511" ht="13.2" customHeight="1" s="405">
      <c r="B511" s="117" t="n"/>
    </row>
    <row r="512" ht="13.2" customHeight="1" s="405">
      <c r="B512" s="117" t="n"/>
    </row>
    <row r="513" ht="13.2" customHeight="1" s="405">
      <c r="B513" s="117" t="n"/>
    </row>
    <row r="514" ht="13.2" customHeight="1" s="405">
      <c r="B514" s="117" t="n"/>
    </row>
    <row r="515" ht="13.2" customHeight="1" s="405">
      <c r="B515" s="117" t="n"/>
    </row>
    <row r="516" ht="13.2" customHeight="1" s="405">
      <c r="B516" s="117" t="n"/>
    </row>
    <row r="517" ht="13.2" customHeight="1" s="405">
      <c r="B517" s="117" t="n"/>
    </row>
    <row r="518" ht="13.2" customHeight="1" s="405">
      <c r="B518" s="117" t="n"/>
    </row>
    <row r="519" ht="13.2" customHeight="1" s="405">
      <c r="B519" s="117" t="n"/>
    </row>
    <row r="520" ht="13.2" customHeight="1" s="405">
      <c r="B520" s="117" t="n"/>
    </row>
    <row r="521" ht="13.2" customHeight="1" s="405">
      <c r="B521" s="117" t="n"/>
    </row>
    <row r="522" ht="13.2" customHeight="1" s="405">
      <c r="B522" s="117" t="n"/>
    </row>
    <row r="523" ht="13.2" customHeight="1" s="405">
      <c r="B523" s="117" t="n"/>
    </row>
    <row r="524" ht="13.2" customHeight="1" s="405">
      <c r="B524" s="117" t="n"/>
    </row>
    <row r="525" ht="13.2" customHeight="1" s="405">
      <c r="B525" s="117" t="n"/>
    </row>
    <row r="526" ht="13.2" customHeight="1" s="405">
      <c r="B526" s="117" t="n"/>
    </row>
    <row r="527" ht="13.2" customHeight="1" s="405">
      <c r="B527" s="117" t="n"/>
    </row>
    <row r="528" ht="13.2" customHeight="1" s="405">
      <c r="B528" s="117" t="n"/>
    </row>
    <row r="529" ht="13.2" customHeight="1" s="405">
      <c r="B529" s="117" t="n"/>
    </row>
    <row r="530" ht="13.2" customHeight="1" s="405">
      <c r="B530" s="117" t="n"/>
    </row>
    <row r="531" ht="13.2" customHeight="1" s="405">
      <c r="B531" s="117" t="n"/>
    </row>
    <row r="532" ht="13.2" customHeight="1" s="405">
      <c r="B532" s="117" t="n"/>
    </row>
    <row r="533" ht="13.2" customHeight="1" s="405">
      <c r="B533" s="117" t="n"/>
    </row>
    <row r="534" ht="13.2" customHeight="1" s="405">
      <c r="B534" s="117" t="n"/>
    </row>
    <row r="535" ht="13.2" customHeight="1" s="405">
      <c r="B535" s="117" t="n"/>
    </row>
    <row r="536" ht="13.2" customHeight="1" s="405">
      <c r="B536" s="117" t="n"/>
    </row>
    <row r="537" ht="13.2" customHeight="1" s="405">
      <c r="B537" s="117" t="n"/>
    </row>
    <row r="538" ht="13.2" customHeight="1" s="405">
      <c r="B538" s="117" t="n"/>
    </row>
    <row r="539" ht="13.2" customHeight="1" s="405">
      <c r="B539" s="117" t="n"/>
    </row>
    <row r="540" ht="13.2" customHeight="1" s="405">
      <c r="B540" s="117" t="n"/>
    </row>
    <row r="541" ht="13.2" customHeight="1" s="405">
      <c r="B541" s="117" t="n"/>
    </row>
    <row r="542" ht="13.2" customHeight="1" s="405">
      <c r="B542" s="117" t="n"/>
    </row>
    <row r="543" ht="13.2" customHeight="1" s="405">
      <c r="B543" s="117" t="n"/>
    </row>
    <row r="544" ht="13.2" customHeight="1" s="405">
      <c r="B544" s="117" t="n"/>
    </row>
    <row r="545" ht="13.2" customHeight="1" s="405">
      <c r="B545" s="117" t="n"/>
    </row>
    <row r="546" ht="13.2" customHeight="1" s="405">
      <c r="B546" s="117" t="n"/>
    </row>
    <row r="547" ht="13.2" customHeight="1" s="405">
      <c r="B547" s="117" t="n"/>
    </row>
    <row r="548" ht="13.2" customHeight="1" s="405">
      <c r="B548" s="117" t="n"/>
    </row>
    <row r="549" ht="13.2" customHeight="1" s="405">
      <c r="B549" s="117" t="n"/>
    </row>
    <row r="550" ht="13.2" customHeight="1" s="405">
      <c r="B550" s="117" t="n"/>
    </row>
    <row r="551" ht="13.2" customHeight="1" s="405">
      <c r="B551" s="117" t="n"/>
    </row>
    <row r="552" ht="13.2" customHeight="1" s="405">
      <c r="B552" s="117" t="n"/>
    </row>
    <row r="553" ht="13.2" customHeight="1" s="405">
      <c r="B553" s="117" t="n"/>
    </row>
    <row r="554" ht="13.2" customHeight="1" s="405">
      <c r="B554" s="117" t="n"/>
    </row>
    <row r="555" ht="13.2" customHeight="1" s="405">
      <c r="B555" s="117" t="n"/>
    </row>
    <row r="556" ht="13.2" customHeight="1" s="405">
      <c r="B556" s="117" t="n"/>
    </row>
    <row r="557" ht="13.2" customHeight="1" s="405">
      <c r="B557" s="117" t="n"/>
    </row>
    <row r="558" ht="13.2" customHeight="1" s="405">
      <c r="B558" s="117" t="n"/>
    </row>
    <row r="559" ht="13.2" customHeight="1" s="405">
      <c r="B559" s="117" t="n"/>
    </row>
    <row r="560" ht="13.2" customHeight="1" s="405">
      <c r="B560" s="117" t="n"/>
    </row>
    <row r="561" ht="13.2" customHeight="1" s="405">
      <c r="B561" s="117" t="n"/>
    </row>
    <row r="562" ht="13.2" customHeight="1" s="405">
      <c r="B562" s="117" t="n"/>
    </row>
    <row r="563" ht="13.2" customHeight="1" s="405">
      <c r="B563" s="117" t="n"/>
    </row>
    <row r="564" ht="13.2" customHeight="1" s="405">
      <c r="B564" s="117" t="n"/>
    </row>
    <row r="565" ht="13.2" customHeight="1" s="405">
      <c r="B565" s="117" t="n"/>
    </row>
    <row r="566" ht="13.2" customHeight="1" s="405">
      <c r="B566" s="117" t="n"/>
    </row>
    <row r="567" ht="13.2" customHeight="1" s="405">
      <c r="B567" s="117" t="n"/>
    </row>
    <row r="568" ht="13.2" customHeight="1" s="405">
      <c r="B568" s="117" t="n"/>
    </row>
    <row r="569" ht="13.2" customHeight="1" s="405">
      <c r="B569" s="117" t="n"/>
    </row>
    <row r="570" ht="13.2" customHeight="1" s="405">
      <c r="B570" s="117" t="n"/>
    </row>
    <row r="571" ht="13.2" customHeight="1" s="405">
      <c r="B571" s="117" t="n"/>
    </row>
    <row r="572" ht="13.2" customHeight="1" s="405">
      <c r="B572" s="117" t="n"/>
    </row>
    <row r="573" ht="13.2" customHeight="1" s="405">
      <c r="B573" s="117" t="n"/>
    </row>
    <row r="574" ht="13.2" customHeight="1" s="405">
      <c r="B574" s="117" t="n"/>
    </row>
    <row r="575" ht="13.2" customHeight="1" s="405">
      <c r="B575" s="117" t="n"/>
    </row>
    <row r="576" ht="13.2" customHeight="1" s="405">
      <c r="B576" s="117" t="n"/>
    </row>
    <row r="577" ht="13.2" customHeight="1" s="405">
      <c r="B577" s="117" t="n"/>
    </row>
    <row r="578" ht="13.2" customHeight="1" s="405">
      <c r="B578" s="117" t="n"/>
    </row>
    <row r="579" ht="13.2" customHeight="1" s="405">
      <c r="B579" s="117" t="n"/>
    </row>
    <row r="580" ht="13.2" customHeight="1" s="405">
      <c r="B580" s="117" t="n"/>
    </row>
    <row r="581" ht="13.2" customHeight="1" s="405">
      <c r="B581" s="117" t="n"/>
    </row>
    <row r="582" ht="13.2" customHeight="1" s="405">
      <c r="B582" s="117" t="n"/>
    </row>
    <row r="583" ht="13.2" customHeight="1" s="405">
      <c r="B583" s="117" t="n"/>
    </row>
    <row r="584" ht="13.2" customHeight="1" s="405">
      <c r="B584" s="117" t="n"/>
    </row>
    <row r="585" ht="13.2" customHeight="1" s="405">
      <c r="B585" s="117" t="n"/>
    </row>
    <row r="586" ht="13.2" customHeight="1" s="405">
      <c r="B586" s="117" t="n"/>
    </row>
    <row r="587" ht="13.2" customHeight="1" s="405">
      <c r="B587" s="117" t="n"/>
    </row>
    <row r="588" ht="13.2" customHeight="1" s="405">
      <c r="B588" s="117" t="n"/>
    </row>
    <row r="589" ht="13.2" customHeight="1" s="405">
      <c r="B589" s="117" t="n"/>
    </row>
    <row r="590" ht="13.2" customHeight="1" s="405">
      <c r="B590" s="117" t="n"/>
    </row>
    <row r="591" ht="13.2" customHeight="1" s="405">
      <c r="B591" s="117" t="n"/>
    </row>
    <row r="592" ht="13.2" customHeight="1" s="405">
      <c r="B592" s="117" t="n"/>
    </row>
    <row r="593" ht="13.2" customHeight="1" s="405">
      <c r="B593" s="117" t="n"/>
    </row>
    <row r="594" ht="13.2" customHeight="1" s="405">
      <c r="B594" s="117" t="n"/>
    </row>
    <row r="595" ht="13.2" customHeight="1" s="405">
      <c r="B595" s="117" t="n"/>
    </row>
    <row r="596" ht="13.2" customHeight="1" s="405">
      <c r="B596" s="117" t="n"/>
    </row>
    <row r="597" ht="13.2" customHeight="1" s="405">
      <c r="B597" s="117" t="n"/>
    </row>
    <row r="598" ht="13.2" customHeight="1" s="405">
      <c r="B598" s="117" t="n"/>
    </row>
    <row r="599" ht="13.2" customHeight="1" s="405">
      <c r="B599" s="117" t="n"/>
    </row>
    <row r="600" ht="13.2" customHeight="1" s="405">
      <c r="B600" s="117" t="n"/>
    </row>
    <row r="601" ht="13.2" customHeight="1" s="405">
      <c r="B601" s="117" t="n"/>
    </row>
    <row r="602" ht="13.2" customHeight="1" s="405">
      <c r="B602" s="117" t="n"/>
    </row>
    <row r="603" ht="13.2" customHeight="1" s="405">
      <c r="B603" s="117" t="n"/>
    </row>
    <row r="604" ht="13.2" customHeight="1" s="405">
      <c r="B604" s="117" t="n"/>
    </row>
    <row r="605" ht="13.2" customHeight="1" s="405">
      <c r="B605" s="117" t="n"/>
    </row>
    <row r="606" ht="13.2" customHeight="1" s="405">
      <c r="B606" s="117" t="n"/>
    </row>
    <row r="607" ht="13.2" customHeight="1" s="405">
      <c r="B607" s="117" t="n"/>
    </row>
    <row r="608" ht="13.2" customHeight="1" s="405">
      <c r="B608" s="117" t="n"/>
    </row>
    <row r="609" ht="13.2" customHeight="1" s="405">
      <c r="B609" s="117" t="n"/>
    </row>
    <row r="610" ht="13.2" customHeight="1" s="405">
      <c r="B610" s="117" t="n"/>
    </row>
    <row r="611" ht="13.2" customHeight="1" s="405">
      <c r="B611" s="117" t="n"/>
    </row>
    <row r="612" ht="13.2" customHeight="1" s="405">
      <c r="B612" s="117" t="n"/>
    </row>
    <row r="613" ht="13.2" customHeight="1" s="405">
      <c r="B613" s="117" t="n"/>
    </row>
    <row r="614" ht="13.2" customHeight="1" s="405">
      <c r="B614" s="117" t="n"/>
    </row>
    <row r="615" ht="13.2" customHeight="1" s="405">
      <c r="B615" s="117" t="n"/>
    </row>
    <row r="616" ht="13.2" customHeight="1" s="405">
      <c r="B616" s="117" t="n"/>
    </row>
    <row r="617" ht="13.2" customHeight="1" s="405">
      <c r="B617" s="117" t="n"/>
    </row>
    <row r="618" ht="13.2" customHeight="1" s="405">
      <c r="B618" s="117" t="n"/>
    </row>
    <row r="619" ht="13.2" customHeight="1" s="405">
      <c r="B619" s="117" t="n"/>
    </row>
    <row r="620" ht="13.2" customHeight="1" s="405">
      <c r="B620" s="117" t="n"/>
    </row>
    <row r="621" ht="13.2" customHeight="1" s="405">
      <c r="B621" s="117" t="n"/>
    </row>
    <row r="622" ht="13.2" customHeight="1" s="405">
      <c r="B622" s="117" t="n"/>
    </row>
    <row r="623" ht="13.2" customHeight="1" s="405">
      <c r="B623" s="117" t="n"/>
    </row>
    <row r="624" ht="13.2" customHeight="1" s="405">
      <c r="B624" s="117" t="n"/>
    </row>
    <row r="625" ht="13.2" customHeight="1" s="405">
      <c r="B625" s="117" t="n"/>
    </row>
    <row r="626" ht="13.2" customHeight="1" s="405">
      <c r="B626" s="117" t="n"/>
    </row>
    <row r="627" ht="13.2" customHeight="1" s="405">
      <c r="B627" s="117" t="n"/>
    </row>
    <row r="628" ht="13.2" customHeight="1" s="405">
      <c r="B628" s="117" t="n"/>
    </row>
    <row r="629" ht="13.2" customHeight="1" s="405">
      <c r="B629" s="117" t="n"/>
    </row>
    <row r="630" ht="13.2" customHeight="1" s="405">
      <c r="B630" s="117" t="n"/>
    </row>
    <row r="631" ht="13.2" customHeight="1" s="405">
      <c r="B631" s="117" t="n"/>
    </row>
    <row r="632" ht="13.2" customHeight="1" s="405">
      <c r="B632" s="117" t="n"/>
    </row>
    <row r="633" ht="13.2" customHeight="1" s="405">
      <c r="B633" s="117" t="n"/>
    </row>
    <row r="634" ht="13.2" customHeight="1" s="405">
      <c r="B634" s="117" t="n"/>
    </row>
    <row r="635" ht="13.2" customHeight="1" s="405">
      <c r="B635" s="117" t="n"/>
    </row>
    <row r="636" ht="13.2" customHeight="1" s="405">
      <c r="B636" s="117" t="n"/>
    </row>
    <row r="637" ht="13.2" customHeight="1" s="405">
      <c r="B637" s="117" t="n"/>
    </row>
    <row r="638" ht="13.2" customHeight="1" s="405">
      <c r="B638" s="117" t="n"/>
    </row>
    <row r="639" ht="13.2" customHeight="1" s="405">
      <c r="B639" s="117" t="n"/>
    </row>
    <row r="640" ht="13.2" customHeight="1" s="405">
      <c r="B640" s="117" t="n"/>
    </row>
    <row r="641" ht="13.2" customHeight="1" s="405">
      <c r="B641" s="117" t="n"/>
    </row>
    <row r="642" ht="13.2" customHeight="1" s="405">
      <c r="B642" s="117" t="n"/>
    </row>
    <row r="643" ht="13.2" customHeight="1" s="405">
      <c r="B643" s="117" t="n"/>
    </row>
    <row r="644" ht="13.2" customHeight="1" s="405">
      <c r="B644" s="117" t="n"/>
    </row>
    <row r="645" ht="13.2" customHeight="1" s="405">
      <c r="B645" s="117" t="n"/>
    </row>
    <row r="646" ht="13.2" customHeight="1" s="405">
      <c r="B646" s="117" t="n"/>
    </row>
    <row r="647" ht="13.2" customHeight="1" s="405">
      <c r="B647" s="117" t="n"/>
    </row>
    <row r="648" ht="13.2" customHeight="1" s="405">
      <c r="B648" s="117" t="n"/>
    </row>
    <row r="649" ht="13.2" customHeight="1" s="405">
      <c r="B649" s="117" t="n"/>
    </row>
    <row r="650" ht="13.2" customHeight="1" s="405">
      <c r="B650" s="117" t="n"/>
    </row>
    <row r="651" ht="13.2" customHeight="1" s="405">
      <c r="B651" s="117" t="n"/>
    </row>
    <row r="652" ht="13.2" customHeight="1" s="405">
      <c r="B652" s="117" t="n"/>
    </row>
    <row r="653" ht="13.2" customHeight="1" s="405">
      <c r="B653" s="117" t="n"/>
    </row>
    <row r="654" ht="13.2" customHeight="1" s="405">
      <c r="B654" s="117" t="n"/>
    </row>
    <row r="655" ht="13.2" customHeight="1" s="405">
      <c r="B655" s="117" t="n"/>
    </row>
    <row r="656" ht="13.2" customHeight="1" s="405">
      <c r="B656" s="117" t="n"/>
    </row>
    <row r="657" ht="13.2" customHeight="1" s="405">
      <c r="B657" s="117" t="n"/>
    </row>
    <row r="658" ht="13.2" customHeight="1" s="405">
      <c r="B658" s="117" t="n"/>
    </row>
    <row r="659" ht="13.2" customHeight="1" s="405">
      <c r="B659" s="117" t="n"/>
    </row>
    <row r="660" ht="13.2" customHeight="1" s="405">
      <c r="B660" s="117" t="n"/>
    </row>
    <row r="661" ht="13.2" customHeight="1" s="405">
      <c r="B661" s="117" t="n"/>
    </row>
    <row r="662" ht="13.2" customHeight="1" s="405">
      <c r="B662" s="117" t="n"/>
    </row>
    <row r="663" ht="13.2" customHeight="1" s="405">
      <c r="B663" s="117" t="n"/>
    </row>
    <row r="664" ht="13.2" customHeight="1" s="405">
      <c r="B664" s="117" t="n"/>
    </row>
    <row r="665" ht="13.2" customHeight="1" s="405">
      <c r="B665" s="117" t="n"/>
    </row>
    <row r="666" ht="13.2" customHeight="1" s="405">
      <c r="B666" s="117" t="n"/>
    </row>
    <row r="667" ht="13.2" customHeight="1" s="405">
      <c r="B667" s="117" t="n"/>
    </row>
    <row r="668" ht="13.2" customHeight="1" s="405">
      <c r="B668" s="117" t="n"/>
    </row>
    <row r="669" ht="13.2" customHeight="1" s="405">
      <c r="B669" s="117" t="n"/>
    </row>
    <row r="670" ht="13.2" customHeight="1" s="405">
      <c r="B670" s="117" t="n"/>
    </row>
    <row r="671" ht="13.2" customHeight="1" s="405">
      <c r="B671" s="117" t="n"/>
    </row>
    <row r="672" ht="13.2" customHeight="1" s="405">
      <c r="B672" s="117" t="n"/>
    </row>
    <row r="673" ht="13.2" customHeight="1" s="405">
      <c r="B673" s="117" t="n"/>
    </row>
    <row r="674" ht="13.2" customHeight="1" s="405">
      <c r="B674" s="117" t="n"/>
    </row>
    <row r="675" ht="13.2" customHeight="1" s="405">
      <c r="B675" s="117" t="n"/>
    </row>
    <row r="676" ht="13.2" customHeight="1" s="405">
      <c r="B676" s="117" t="n"/>
    </row>
    <row r="677" ht="13.2" customHeight="1" s="405">
      <c r="B677" s="117" t="n"/>
    </row>
    <row r="678" ht="13.2" customHeight="1" s="405">
      <c r="B678" s="117" t="n"/>
    </row>
    <row r="679" ht="13.2" customHeight="1" s="405">
      <c r="B679" s="117" t="n"/>
    </row>
    <row r="680" ht="13.2" customHeight="1" s="405">
      <c r="B680" s="117" t="n"/>
    </row>
    <row r="681" ht="13.2" customHeight="1" s="405">
      <c r="B681" s="117" t="n"/>
    </row>
    <row r="682" ht="13.2" customHeight="1" s="405">
      <c r="B682" s="117" t="n"/>
    </row>
    <row r="683" ht="13.2" customHeight="1" s="405">
      <c r="B683" s="117" t="n"/>
    </row>
    <row r="684" ht="13.2" customHeight="1" s="405">
      <c r="B684" s="117" t="n"/>
    </row>
    <row r="685" ht="13.2" customHeight="1" s="405">
      <c r="B685" s="117" t="n"/>
    </row>
    <row r="686" ht="13.2" customHeight="1" s="405">
      <c r="B686" s="117" t="n"/>
    </row>
    <row r="687" ht="13.2" customHeight="1" s="405">
      <c r="B687" s="117" t="n"/>
    </row>
    <row r="688" ht="13.2" customHeight="1" s="405">
      <c r="B688" s="117" t="n"/>
    </row>
    <row r="689" ht="13.2" customHeight="1" s="405">
      <c r="B689" s="117" t="n"/>
    </row>
    <row r="690" ht="13.2" customHeight="1" s="405">
      <c r="B690" s="117" t="n"/>
    </row>
    <row r="691" ht="13.2" customHeight="1" s="405">
      <c r="B691" s="117" t="n"/>
    </row>
    <row r="692" ht="13.2" customHeight="1" s="405">
      <c r="B692" s="117" t="n"/>
    </row>
    <row r="693" ht="13.2" customHeight="1" s="405">
      <c r="B693" s="117" t="n"/>
    </row>
    <row r="694" ht="13.2" customHeight="1" s="405">
      <c r="B694" s="117" t="n"/>
    </row>
    <row r="695" ht="13.2" customHeight="1" s="405">
      <c r="B695" s="117" t="n"/>
    </row>
    <row r="696" ht="13.2" customHeight="1" s="405">
      <c r="B696" s="117" t="n"/>
    </row>
    <row r="697" ht="13.2" customHeight="1" s="405">
      <c r="B697" s="117" t="n"/>
    </row>
    <row r="698" ht="13.2" customHeight="1" s="405">
      <c r="B698" s="117" t="n"/>
    </row>
    <row r="699" ht="13.2" customHeight="1" s="405">
      <c r="B699" s="117" t="n"/>
    </row>
    <row r="700" ht="13.2" customHeight="1" s="405">
      <c r="B700" s="117" t="n"/>
    </row>
    <row r="701" ht="13.2" customHeight="1" s="405">
      <c r="B701" s="117" t="n"/>
    </row>
    <row r="702" ht="13.2" customHeight="1" s="405">
      <c r="B702" s="117" t="n"/>
    </row>
    <row r="703" ht="13.2" customHeight="1" s="405">
      <c r="B703" s="117" t="n"/>
    </row>
    <row r="704" ht="13.2" customHeight="1" s="405">
      <c r="B704" s="117" t="n"/>
    </row>
    <row r="705" ht="13.2" customHeight="1" s="405">
      <c r="B705" s="117" t="n"/>
    </row>
    <row r="706" ht="13.2" customHeight="1" s="405">
      <c r="B706" s="117" t="n"/>
    </row>
    <row r="707" ht="13.2" customHeight="1" s="405">
      <c r="B707" s="117" t="n"/>
    </row>
    <row r="708" ht="13.2" customHeight="1" s="405">
      <c r="B708" s="117" t="n"/>
    </row>
    <row r="709" ht="13.2" customHeight="1" s="405">
      <c r="B709" s="117" t="n"/>
    </row>
    <row r="710" ht="13.2" customHeight="1" s="405">
      <c r="B710" s="117" t="n"/>
    </row>
    <row r="711" ht="13.2" customHeight="1" s="405">
      <c r="B711" s="117" t="n"/>
    </row>
    <row r="712" ht="13.2" customHeight="1" s="405">
      <c r="B712" s="117" t="n"/>
    </row>
    <row r="713" ht="13.2" customHeight="1" s="405">
      <c r="B713" s="117" t="n"/>
    </row>
    <row r="714" ht="13.2" customHeight="1" s="405">
      <c r="B714" s="117" t="n"/>
    </row>
    <row r="715" ht="13.2" customHeight="1" s="405">
      <c r="B715" s="117" t="n"/>
    </row>
    <row r="716" ht="13.2" customHeight="1" s="405">
      <c r="B716" s="117" t="n"/>
    </row>
    <row r="717" ht="13.2" customHeight="1" s="405">
      <c r="B717" s="117" t="n"/>
    </row>
    <row r="718" ht="13.2" customHeight="1" s="405">
      <c r="B718" s="117" t="n"/>
    </row>
    <row r="719" ht="13.2" customHeight="1" s="405">
      <c r="B719" s="117" t="n"/>
    </row>
    <row r="720" ht="13.2" customHeight="1" s="405">
      <c r="B720" s="117" t="n"/>
    </row>
    <row r="721" ht="13.2" customHeight="1" s="405">
      <c r="B721" s="117" t="n"/>
    </row>
    <row r="722" ht="13.2" customHeight="1" s="405">
      <c r="B722" s="117" t="n"/>
    </row>
    <row r="723" ht="13.2" customHeight="1" s="405">
      <c r="B723" s="117" t="n"/>
    </row>
    <row r="724" ht="13.2" customHeight="1" s="405">
      <c r="B724" s="117" t="n"/>
    </row>
    <row r="725" ht="13.2" customHeight="1" s="405">
      <c r="B725" s="117" t="n"/>
    </row>
    <row r="726" ht="13.2" customHeight="1" s="405">
      <c r="B726" s="117" t="n"/>
    </row>
    <row r="727" ht="13.2" customHeight="1" s="405">
      <c r="B727" s="117" t="n"/>
    </row>
    <row r="728" ht="13.2" customHeight="1" s="405">
      <c r="B728" s="117" t="n"/>
    </row>
    <row r="729" ht="13.2" customHeight="1" s="405">
      <c r="B729" s="117" t="n"/>
    </row>
    <row r="730" ht="13.2" customHeight="1" s="405">
      <c r="B730" s="117" t="n"/>
    </row>
    <row r="731" ht="13.2" customHeight="1" s="405">
      <c r="B731" s="117" t="n"/>
    </row>
    <row r="732" ht="13.2" customHeight="1" s="405">
      <c r="B732" s="117" t="n"/>
    </row>
    <row r="733" ht="13.2" customHeight="1" s="405">
      <c r="B733" s="117" t="n"/>
    </row>
    <row r="734" ht="13.2" customHeight="1" s="405">
      <c r="B734" s="117" t="n"/>
    </row>
    <row r="735" ht="13.2" customHeight="1" s="405">
      <c r="B735" s="117" t="n"/>
    </row>
    <row r="736" ht="13.2" customHeight="1" s="405">
      <c r="B736" s="117" t="n"/>
    </row>
    <row r="737" ht="13.2" customHeight="1" s="405">
      <c r="B737" s="117" t="n"/>
    </row>
    <row r="738" ht="13.2" customHeight="1" s="405">
      <c r="B738" s="117" t="n"/>
    </row>
    <row r="739" ht="13.2" customHeight="1" s="405">
      <c r="B739" s="117" t="n"/>
    </row>
    <row r="740" ht="13.2" customHeight="1" s="405">
      <c r="B740" s="117" t="n"/>
    </row>
    <row r="741" ht="13.2" customHeight="1" s="405">
      <c r="B741" s="117" t="n"/>
    </row>
    <row r="742" ht="13.2" customHeight="1" s="405">
      <c r="B742" s="117" t="n"/>
    </row>
    <row r="743" ht="13.2" customHeight="1" s="405">
      <c r="B743" s="117" t="n"/>
    </row>
    <row r="744" ht="13.2" customHeight="1" s="405">
      <c r="B744" s="117" t="n"/>
    </row>
    <row r="745" ht="13.2" customHeight="1" s="405">
      <c r="B745" s="117" t="n"/>
    </row>
    <row r="746" ht="13.2" customHeight="1" s="405">
      <c r="B746" s="117" t="n"/>
    </row>
    <row r="747" ht="13.2" customHeight="1" s="405">
      <c r="B747" s="117" t="n"/>
    </row>
    <row r="748" ht="13.2" customHeight="1" s="405">
      <c r="B748" s="117" t="n"/>
    </row>
    <row r="749" ht="13.2" customHeight="1" s="405">
      <c r="B749" s="117" t="n"/>
    </row>
    <row r="750" ht="13.2" customHeight="1" s="405">
      <c r="B750" s="117" t="n"/>
    </row>
    <row r="751" ht="13.2" customHeight="1" s="405">
      <c r="B751" s="117" t="n"/>
    </row>
    <row r="752" ht="13.2" customHeight="1" s="405">
      <c r="B752" s="117" t="n"/>
    </row>
    <row r="753" ht="13.2" customHeight="1" s="405">
      <c r="B753" s="117" t="n"/>
    </row>
    <row r="754" ht="13.2" customHeight="1" s="405">
      <c r="B754" s="117" t="n"/>
    </row>
    <row r="755" ht="13.2" customHeight="1" s="405">
      <c r="B755" s="117" t="n"/>
    </row>
    <row r="756" ht="13.2" customHeight="1" s="405">
      <c r="B756" s="117" t="n"/>
    </row>
    <row r="757" ht="13.2" customHeight="1" s="405">
      <c r="B757" s="117" t="n"/>
    </row>
    <row r="758" ht="13.2" customHeight="1" s="405">
      <c r="B758" s="117" t="n"/>
    </row>
    <row r="759" ht="13.2" customHeight="1" s="405">
      <c r="B759" s="117" t="n"/>
    </row>
    <row r="760" ht="13.2" customHeight="1" s="405">
      <c r="B760" s="117" t="n"/>
    </row>
    <row r="761" ht="13.2" customHeight="1" s="405">
      <c r="B761" s="117" t="n"/>
    </row>
    <row r="762" ht="13.2" customHeight="1" s="405">
      <c r="B762" s="117" t="n"/>
    </row>
    <row r="763" ht="13.2" customHeight="1" s="405">
      <c r="B763" s="117" t="n"/>
    </row>
    <row r="764" ht="13.2" customHeight="1" s="405">
      <c r="B764" s="117" t="n"/>
    </row>
    <row r="765" ht="13.2" customHeight="1" s="405">
      <c r="B765" s="117" t="n"/>
    </row>
    <row r="766" ht="13.2" customHeight="1" s="405">
      <c r="B766" s="117" t="n"/>
    </row>
    <row r="767" ht="13.2" customHeight="1" s="405">
      <c r="B767" s="117" t="n"/>
    </row>
    <row r="768" ht="13.2" customHeight="1" s="405">
      <c r="B768" s="117" t="n"/>
    </row>
    <row r="769" ht="13.2" customHeight="1" s="405">
      <c r="B769" s="117" t="n"/>
    </row>
    <row r="770" ht="13.2" customHeight="1" s="405">
      <c r="B770" s="117" t="n"/>
    </row>
    <row r="771" ht="13.2" customHeight="1" s="405">
      <c r="B771" s="117" t="n"/>
    </row>
    <row r="772" ht="13.2" customHeight="1" s="405">
      <c r="B772" s="117" t="n"/>
    </row>
    <row r="773" ht="13.2" customHeight="1" s="405">
      <c r="B773" s="117" t="n"/>
    </row>
    <row r="774" ht="13.2" customHeight="1" s="405">
      <c r="B774" s="117" t="n"/>
    </row>
    <row r="775" ht="13.2" customHeight="1" s="405">
      <c r="B775" s="117" t="n"/>
    </row>
    <row r="776" ht="13.2" customHeight="1" s="405">
      <c r="B776" s="117" t="n"/>
    </row>
    <row r="777" ht="13.2" customHeight="1" s="405">
      <c r="B777" s="117" t="n"/>
    </row>
    <row r="778" ht="13.2" customHeight="1" s="405">
      <c r="B778" s="117" t="n"/>
    </row>
    <row r="779" ht="13.2" customHeight="1" s="405">
      <c r="B779" s="117" t="n"/>
    </row>
    <row r="780" ht="13.2" customHeight="1" s="405">
      <c r="B780" s="117" t="n"/>
    </row>
    <row r="781" ht="13.2" customHeight="1" s="405">
      <c r="B781" s="117" t="n"/>
    </row>
    <row r="782" ht="13.2" customHeight="1" s="405">
      <c r="B782" s="117" t="n"/>
    </row>
    <row r="783" ht="13.2" customHeight="1" s="405">
      <c r="B783" s="117" t="n"/>
    </row>
    <row r="784" ht="13.2" customHeight="1" s="405">
      <c r="B784" s="117" t="n"/>
    </row>
    <row r="785" ht="13.2" customHeight="1" s="405">
      <c r="B785" s="117" t="n"/>
    </row>
    <row r="786" ht="13.2" customHeight="1" s="405">
      <c r="B786" s="117" t="n"/>
    </row>
    <row r="787" ht="13.2" customHeight="1" s="405">
      <c r="B787" s="117" t="n"/>
    </row>
    <row r="788" ht="13.2" customHeight="1" s="405">
      <c r="B788" s="117" t="n"/>
    </row>
    <row r="789" ht="13.2" customHeight="1" s="405">
      <c r="B789" s="117" t="n"/>
    </row>
    <row r="790" ht="13.2" customHeight="1" s="405">
      <c r="B790" s="117" t="n"/>
    </row>
    <row r="791" ht="13.2" customHeight="1" s="405">
      <c r="B791" s="117" t="n"/>
    </row>
    <row r="792" ht="13.2" customHeight="1" s="405">
      <c r="B792" s="117" t="n"/>
    </row>
    <row r="793" ht="13.2" customHeight="1" s="405">
      <c r="B793" s="117" t="n"/>
    </row>
    <row r="794" ht="13.2" customHeight="1" s="405">
      <c r="B794" s="117" t="n"/>
    </row>
    <row r="795" ht="13.2" customHeight="1" s="405">
      <c r="B795" s="117" t="n"/>
    </row>
    <row r="796" ht="13.2" customHeight="1" s="405">
      <c r="B796" s="117" t="n"/>
    </row>
    <row r="797" ht="13.2" customHeight="1" s="405">
      <c r="B797" s="117" t="n"/>
    </row>
    <row r="798" ht="13.2" customHeight="1" s="405">
      <c r="B798" s="117" t="n"/>
    </row>
    <row r="799" ht="13.2" customHeight="1" s="405">
      <c r="B799" s="117" t="n"/>
    </row>
    <row r="800" ht="13.2" customHeight="1" s="405">
      <c r="B800" s="117" t="n"/>
    </row>
    <row r="801" ht="13.2" customHeight="1" s="405">
      <c r="B801" s="117" t="n"/>
    </row>
    <row r="802" ht="13.2" customHeight="1" s="405">
      <c r="B802" s="117" t="n"/>
    </row>
    <row r="803" ht="13.2" customHeight="1" s="405">
      <c r="B803" s="117" t="n"/>
    </row>
    <row r="804" ht="13.2" customHeight="1" s="405">
      <c r="B804" s="117" t="n"/>
    </row>
    <row r="805" ht="13.2" customHeight="1" s="405">
      <c r="B805" s="117" t="n"/>
    </row>
    <row r="806" ht="13.2" customHeight="1" s="405">
      <c r="B806" s="117" t="n"/>
    </row>
    <row r="807" ht="13.2" customHeight="1" s="405">
      <c r="B807" s="117" t="n"/>
    </row>
    <row r="808" ht="13.2" customHeight="1" s="405">
      <c r="B808" s="117" t="n"/>
    </row>
    <row r="809" ht="13.2" customHeight="1" s="405">
      <c r="B809" s="117" t="n"/>
    </row>
    <row r="810" ht="13.2" customHeight="1" s="405">
      <c r="B810" s="117" t="n"/>
    </row>
    <row r="811" ht="13.2" customHeight="1" s="405">
      <c r="B811" s="117" t="n"/>
    </row>
    <row r="812" ht="13.2" customHeight="1" s="405">
      <c r="B812" s="117" t="n"/>
    </row>
    <row r="813" ht="13.2" customHeight="1" s="405">
      <c r="B813" s="117" t="n"/>
    </row>
    <row r="814" ht="13.2" customHeight="1" s="405">
      <c r="B814" s="117" t="n"/>
    </row>
    <row r="815" ht="13.2" customHeight="1" s="405">
      <c r="B815" s="117" t="n"/>
    </row>
    <row r="816" ht="13.2" customHeight="1" s="405">
      <c r="B816" s="117" t="n"/>
    </row>
    <row r="817" ht="13.2" customHeight="1" s="405">
      <c r="B817" s="117" t="n"/>
    </row>
    <row r="818" ht="13.2" customHeight="1" s="405">
      <c r="B818" s="117" t="n"/>
    </row>
    <row r="819" ht="13.2" customHeight="1" s="405">
      <c r="B819" s="117" t="n"/>
    </row>
    <row r="820" ht="13.2" customHeight="1" s="405">
      <c r="B820" s="117" t="n"/>
    </row>
    <row r="821" ht="13.2" customHeight="1" s="405">
      <c r="B821" s="117" t="n"/>
    </row>
    <row r="822" ht="13.2" customHeight="1" s="405">
      <c r="B822" s="117" t="n"/>
    </row>
    <row r="823" ht="13.2" customHeight="1" s="405">
      <c r="B823" s="117" t="n"/>
    </row>
    <row r="824" ht="13.2" customHeight="1" s="405">
      <c r="B824" s="117" t="n"/>
    </row>
    <row r="825" ht="13.2" customHeight="1" s="405">
      <c r="B825" s="117" t="n"/>
    </row>
    <row r="826" ht="13.2" customHeight="1" s="405">
      <c r="B826" s="117" t="n"/>
    </row>
    <row r="827" ht="13.2" customHeight="1" s="405">
      <c r="B827" s="117" t="n"/>
    </row>
    <row r="828" ht="13.2" customHeight="1" s="405">
      <c r="B828" s="117" t="n"/>
    </row>
    <row r="829" ht="13.2" customHeight="1" s="405">
      <c r="B829" s="117" t="n"/>
    </row>
    <row r="830" ht="13.2" customHeight="1" s="405">
      <c r="B830" s="117" t="n"/>
    </row>
    <row r="831" ht="13.2" customHeight="1" s="405">
      <c r="B831" s="117" t="n"/>
    </row>
    <row r="832" ht="13.2" customHeight="1" s="405">
      <c r="B832" s="117" t="n"/>
    </row>
    <row r="833" ht="13.2" customHeight="1" s="405">
      <c r="B833" s="117" t="n"/>
    </row>
    <row r="834" ht="13.2" customHeight="1" s="405">
      <c r="B834" s="117" t="n"/>
    </row>
    <row r="835" ht="13.2" customHeight="1" s="405">
      <c r="B835" s="117" t="n"/>
    </row>
    <row r="836" ht="13.2" customHeight="1" s="405">
      <c r="B836" s="117" t="n"/>
    </row>
    <row r="837" ht="13.2" customHeight="1" s="405">
      <c r="B837" s="117" t="n"/>
    </row>
    <row r="838" ht="13.2" customHeight="1" s="405">
      <c r="B838" s="117" t="n"/>
    </row>
    <row r="839" ht="13.2" customHeight="1" s="405">
      <c r="B839" s="117" t="n"/>
    </row>
    <row r="840" ht="13.2" customHeight="1" s="405">
      <c r="B840" s="117" t="n"/>
    </row>
    <row r="841" ht="13.2" customHeight="1" s="405">
      <c r="B841" s="117" t="n"/>
    </row>
    <row r="842" ht="13.2" customHeight="1" s="405">
      <c r="B842" s="117" t="n"/>
    </row>
    <row r="843" ht="13.2" customHeight="1" s="405">
      <c r="B843" s="117" t="n"/>
    </row>
    <row r="844" ht="13.2" customHeight="1" s="405">
      <c r="B844" s="117" t="n"/>
    </row>
    <row r="845" ht="13.2" customHeight="1" s="405">
      <c r="B845" s="117" t="n"/>
    </row>
    <row r="846" ht="13.2" customHeight="1" s="405">
      <c r="B846" s="117" t="n"/>
    </row>
    <row r="847" ht="13.2" customHeight="1" s="405">
      <c r="B847" s="117" t="n"/>
    </row>
    <row r="848" ht="13.2" customHeight="1" s="405">
      <c r="B848" s="117" t="n"/>
    </row>
    <row r="849" ht="13.2" customHeight="1" s="405">
      <c r="B849" s="117" t="n"/>
    </row>
    <row r="850" ht="13.2" customHeight="1" s="405">
      <c r="B850" s="117" t="n"/>
    </row>
    <row r="851" ht="13.2" customHeight="1" s="405">
      <c r="B851" s="117" t="n"/>
    </row>
    <row r="852" ht="13.2" customHeight="1" s="405">
      <c r="B852" s="117" t="n"/>
    </row>
    <row r="853" ht="13.2" customHeight="1" s="405">
      <c r="B853" s="117" t="n"/>
    </row>
    <row r="854" ht="13.2" customHeight="1" s="405">
      <c r="B854" s="117" t="n"/>
    </row>
    <row r="855" ht="13.2" customHeight="1" s="405">
      <c r="B855" s="117" t="n"/>
    </row>
    <row r="856" ht="13.2" customHeight="1" s="405">
      <c r="B856" s="117" t="n"/>
    </row>
    <row r="857" ht="13.2" customHeight="1" s="405">
      <c r="B857" s="117" t="n"/>
    </row>
    <row r="858" ht="13.2" customHeight="1" s="405">
      <c r="B858" s="117" t="n"/>
    </row>
    <row r="859" ht="13.2" customHeight="1" s="405">
      <c r="B859" s="117" t="n"/>
    </row>
    <row r="860" ht="13.2" customHeight="1" s="405">
      <c r="B860" s="117" t="n"/>
    </row>
    <row r="861" ht="13.2" customHeight="1" s="405">
      <c r="B861" s="117" t="n"/>
    </row>
    <row r="862" ht="13.2" customHeight="1" s="405">
      <c r="B862" s="117" t="n"/>
    </row>
    <row r="863" ht="13.2" customHeight="1" s="405">
      <c r="B863" s="117" t="n"/>
    </row>
    <row r="864" ht="13.2" customHeight="1" s="405">
      <c r="B864" s="117" t="n"/>
    </row>
    <row r="865" ht="13.2" customHeight="1" s="405">
      <c r="B865" s="117" t="n"/>
    </row>
    <row r="866" ht="13.2" customHeight="1" s="405">
      <c r="B866" s="117" t="n"/>
    </row>
    <row r="867" ht="13.2" customHeight="1" s="405">
      <c r="B867" s="117" t="n"/>
    </row>
    <row r="868" ht="13.2" customHeight="1" s="405">
      <c r="B868" s="117" t="n"/>
    </row>
    <row r="869" ht="13.2" customHeight="1" s="405">
      <c r="B869" s="117" t="n"/>
    </row>
    <row r="870" ht="13.2" customHeight="1" s="405">
      <c r="B870" s="117" t="n"/>
    </row>
    <row r="871" ht="13.2" customHeight="1" s="405">
      <c r="B871" s="117" t="n"/>
    </row>
    <row r="872" ht="13.2" customHeight="1" s="405">
      <c r="B872" s="117" t="n"/>
    </row>
    <row r="873" ht="13.2" customHeight="1" s="405">
      <c r="B873" s="117" t="n"/>
    </row>
    <row r="874" ht="13.2" customHeight="1" s="405">
      <c r="B874" s="117" t="n"/>
    </row>
    <row r="875" ht="13.2" customHeight="1" s="405">
      <c r="B875" s="117" t="n"/>
    </row>
    <row r="876" ht="13.2" customHeight="1" s="405">
      <c r="B876" s="117" t="n"/>
    </row>
    <row r="877" ht="13.2" customHeight="1" s="405">
      <c r="B877" s="117" t="n"/>
    </row>
    <row r="878" ht="13.2" customHeight="1" s="405">
      <c r="B878" s="117" t="n"/>
    </row>
    <row r="879" ht="13.2" customHeight="1" s="405">
      <c r="B879" s="117" t="n"/>
    </row>
    <row r="880" ht="13.2" customHeight="1" s="405">
      <c r="B880" s="117" t="n"/>
    </row>
    <row r="881" ht="13.2" customHeight="1" s="405">
      <c r="B881" s="117" t="n"/>
    </row>
    <row r="882" ht="13.2" customHeight="1" s="405">
      <c r="B882" s="117" t="n"/>
    </row>
    <row r="883" ht="13.2" customHeight="1" s="405">
      <c r="B883" s="117" t="n"/>
    </row>
    <row r="884" ht="13.2" customHeight="1" s="405">
      <c r="B884" s="117" t="n"/>
    </row>
    <row r="885" ht="13.2" customHeight="1" s="405">
      <c r="B885" s="117" t="n"/>
    </row>
    <row r="886" ht="13.2" customHeight="1" s="405">
      <c r="B886" s="117" t="n"/>
    </row>
    <row r="887" ht="13.2" customHeight="1" s="405">
      <c r="B887" s="117" t="n"/>
    </row>
    <row r="888" ht="13.2" customHeight="1" s="405">
      <c r="B888" s="117" t="n"/>
    </row>
    <row r="889" ht="13.2" customHeight="1" s="405">
      <c r="B889" s="117" t="n"/>
    </row>
    <row r="890" ht="13.2" customHeight="1" s="405">
      <c r="B890" s="117" t="n"/>
    </row>
    <row r="891" ht="13.2" customHeight="1" s="405">
      <c r="B891" s="117" t="n"/>
    </row>
    <row r="892" ht="13.2" customHeight="1" s="405">
      <c r="B892" s="117" t="n"/>
    </row>
    <row r="893" ht="13.2" customHeight="1" s="405">
      <c r="B893" s="117" t="n"/>
    </row>
    <row r="894" ht="13.2" customHeight="1" s="405">
      <c r="B894" s="117" t="n"/>
    </row>
    <row r="895" ht="13.2" customHeight="1" s="405">
      <c r="B895" s="117" t="n"/>
    </row>
    <row r="896" ht="13.2" customHeight="1" s="405">
      <c r="B896" s="117" t="n"/>
    </row>
    <row r="897" ht="13.2" customHeight="1" s="405">
      <c r="B897" s="117" t="n"/>
    </row>
    <row r="898" ht="13.2" customHeight="1" s="405">
      <c r="B898" s="117" t="n"/>
    </row>
    <row r="899" ht="13.2" customHeight="1" s="405">
      <c r="B899" s="117" t="n"/>
    </row>
    <row r="900" ht="13.2" customHeight="1" s="405">
      <c r="B900" s="117" t="n"/>
    </row>
    <row r="901" ht="13.2" customHeight="1" s="405">
      <c r="B901" s="117" t="n"/>
    </row>
    <row r="902" ht="13.2" customHeight="1" s="405">
      <c r="B902" s="117" t="n"/>
    </row>
    <row r="903" ht="13.2" customHeight="1" s="405">
      <c r="B903" s="117" t="n"/>
    </row>
    <row r="904" ht="13.2" customHeight="1" s="405">
      <c r="B904" s="117" t="n"/>
    </row>
    <row r="905" ht="13.2" customHeight="1" s="405">
      <c r="B905" s="117" t="n"/>
    </row>
    <row r="906" ht="13.2" customHeight="1" s="405">
      <c r="B906" s="117" t="n"/>
    </row>
    <row r="907" ht="13.2" customHeight="1" s="405">
      <c r="B907" s="117" t="n"/>
    </row>
    <row r="908" ht="13.2" customHeight="1" s="405">
      <c r="B908" s="117" t="n"/>
    </row>
    <row r="909" ht="13.2" customHeight="1" s="405">
      <c r="B909" s="117" t="n"/>
    </row>
    <row r="910" ht="13.2" customHeight="1" s="405">
      <c r="B910" s="117" t="n"/>
    </row>
    <row r="911" ht="13.2" customHeight="1" s="405">
      <c r="B911" s="117" t="n"/>
    </row>
    <row r="912" ht="13.2" customHeight="1" s="405">
      <c r="B912" s="117" t="n"/>
    </row>
    <row r="913" ht="13.2" customHeight="1" s="405">
      <c r="B913" s="117" t="n"/>
    </row>
    <row r="914" ht="13.2" customHeight="1" s="405">
      <c r="B914" s="117" t="n"/>
    </row>
    <row r="915" ht="13.2" customHeight="1" s="405">
      <c r="B915" s="117" t="n"/>
    </row>
    <row r="916" ht="13.2" customHeight="1" s="405">
      <c r="B916" s="117" t="n"/>
    </row>
    <row r="917" ht="13.2" customHeight="1" s="405">
      <c r="B917" s="117" t="n"/>
    </row>
    <row r="918" ht="13.2" customHeight="1" s="405">
      <c r="B918" s="117" t="n"/>
    </row>
    <row r="919" ht="13.2" customHeight="1" s="405">
      <c r="B919" s="117" t="n"/>
    </row>
    <row r="920" ht="13.2" customHeight="1" s="405">
      <c r="B920" s="117" t="n"/>
    </row>
    <row r="921" ht="13.2" customHeight="1" s="405">
      <c r="B921" s="117" t="n"/>
    </row>
    <row r="922" ht="13.2" customHeight="1" s="405">
      <c r="B922" s="117" t="n"/>
    </row>
    <row r="923" ht="13.2" customHeight="1" s="405">
      <c r="B923" s="117" t="n"/>
    </row>
    <row r="924" ht="13.2" customHeight="1" s="405">
      <c r="B924" s="117" t="n"/>
    </row>
    <row r="925" ht="13.2" customHeight="1" s="405">
      <c r="B925" s="117" t="n"/>
    </row>
    <row r="926" ht="13.2" customHeight="1" s="405">
      <c r="B926" s="117" t="n"/>
    </row>
    <row r="927" ht="13.2" customHeight="1" s="405">
      <c r="B927" s="117" t="n"/>
    </row>
    <row r="928" ht="13.2" customHeight="1" s="405">
      <c r="B928" s="117" t="n"/>
    </row>
    <row r="929" ht="13.2" customHeight="1" s="405">
      <c r="B929" s="117" t="n"/>
    </row>
    <row r="930" ht="13.2" customHeight="1" s="405">
      <c r="B930" s="117" t="n"/>
    </row>
    <row r="931" ht="13.2" customHeight="1" s="405">
      <c r="B931" s="117" t="n"/>
    </row>
    <row r="932" ht="13.2" customHeight="1" s="405">
      <c r="B932" s="117" t="n"/>
    </row>
    <row r="933" ht="13.2" customHeight="1" s="405">
      <c r="B933" s="117" t="n"/>
    </row>
    <row r="934" ht="13.2" customHeight="1" s="405">
      <c r="B934" s="117" t="n"/>
    </row>
    <row r="935" ht="13.2" customHeight="1" s="405">
      <c r="B935" s="117" t="n"/>
    </row>
    <row r="936" ht="13.2" customHeight="1" s="405">
      <c r="B936" s="117" t="n"/>
    </row>
    <row r="937" ht="13.2" customHeight="1" s="405">
      <c r="B937" s="117" t="n"/>
    </row>
    <row r="938" ht="13.2" customHeight="1" s="405">
      <c r="B938" s="117" t="n"/>
    </row>
    <row r="939" ht="13.2" customHeight="1" s="405">
      <c r="B939" s="117" t="n"/>
    </row>
    <row r="940" ht="13.2" customHeight="1" s="405">
      <c r="B940" s="117" t="n"/>
    </row>
    <row r="941" ht="13.2" customHeight="1" s="405">
      <c r="B941" s="117" t="n"/>
    </row>
    <row r="942" ht="13.2" customHeight="1" s="405">
      <c r="B942" s="117" t="n"/>
    </row>
    <row r="943" ht="13.2" customHeight="1" s="405">
      <c r="B943" s="117" t="n"/>
    </row>
    <row r="944" ht="13.2" customHeight="1" s="405">
      <c r="B944" s="117" t="n"/>
    </row>
    <row r="945" ht="13.2" customHeight="1" s="405">
      <c r="B945" s="117" t="n"/>
    </row>
    <row r="946" ht="13.2" customHeight="1" s="405">
      <c r="B946" s="117" t="n"/>
    </row>
    <row r="947" ht="13.2" customHeight="1" s="405">
      <c r="B947" s="117" t="n"/>
    </row>
    <row r="948" ht="13.2" customHeight="1" s="405">
      <c r="B948" s="117" t="n"/>
    </row>
    <row r="949" ht="13.2" customHeight="1" s="405">
      <c r="B949" s="117" t="n"/>
    </row>
    <row r="950" ht="13.2" customHeight="1" s="405">
      <c r="B950" s="117" t="n"/>
    </row>
    <row r="951" ht="13.2" customHeight="1" s="405">
      <c r="B951" s="117" t="n"/>
    </row>
    <row r="952" ht="13.2" customHeight="1" s="405">
      <c r="B952" s="117" t="n"/>
    </row>
    <row r="953" ht="13.2" customHeight="1" s="405">
      <c r="B953" s="117" t="n"/>
    </row>
    <row r="954" ht="13.2" customHeight="1" s="405">
      <c r="B954" s="117" t="n"/>
    </row>
    <row r="955" ht="13.2" customHeight="1" s="405">
      <c r="B955" s="117" t="n"/>
    </row>
    <row r="956" ht="13.2" customHeight="1" s="405">
      <c r="B956" s="117" t="n"/>
    </row>
    <row r="957" ht="13.2" customHeight="1" s="405">
      <c r="B957" s="117" t="n"/>
    </row>
    <row r="958" ht="13.2" customHeight="1" s="405">
      <c r="B958" s="117" t="n"/>
    </row>
    <row r="959" ht="13.2" customHeight="1" s="405">
      <c r="B959" s="117" t="n"/>
    </row>
    <row r="960" ht="13.2" customHeight="1" s="405">
      <c r="B960" s="117" t="n"/>
    </row>
    <row r="961" ht="13.2" customHeight="1" s="405">
      <c r="B961" s="117" t="n"/>
    </row>
    <row r="962" ht="13.2" customHeight="1" s="405">
      <c r="B962" s="117" t="n"/>
    </row>
    <row r="963" ht="13.2" customHeight="1" s="405">
      <c r="B963" s="117" t="n"/>
    </row>
    <row r="964" ht="13.2" customHeight="1" s="405">
      <c r="B964" s="117" t="n"/>
    </row>
    <row r="965" ht="13.2" customHeight="1" s="405">
      <c r="B965" s="117" t="n"/>
    </row>
    <row r="966" ht="13.2" customHeight="1" s="405">
      <c r="B966" s="117" t="n"/>
    </row>
    <row r="967" ht="13.2" customHeight="1" s="405">
      <c r="B967" s="117" t="n"/>
    </row>
    <row r="968" ht="13.2" customHeight="1" s="405">
      <c r="B968" s="117" t="n"/>
    </row>
    <row r="969" ht="13.2" customHeight="1" s="405">
      <c r="B969" s="117" t="n"/>
    </row>
    <row r="970" ht="13.2" customHeight="1" s="405">
      <c r="B970" s="117" t="n"/>
    </row>
    <row r="971" ht="13.2" customHeight="1" s="405">
      <c r="B971" s="117" t="n"/>
    </row>
    <row r="972" ht="13.2" customHeight="1" s="405">
      <c r="B972" s="117" t="n"/>
    </row>
    <row r="973" ht="13.2" customHeight="1" s="405">
      <c r="B973" s="117" t="n"/>
    </row>
    <row r="974" ht="13.2" customHeight="1" s="405">
      <c r="B974" s="117" t="n"/>
    </row>
    <row r="975" ht="13.2" customHeight="1" s="405">
      <c r="B975" s="117" t="n"/>
    </row>
    <row r="976" ht="13.2" customHeight="1" s="405">
      <c r="B976" s="117" t="n"/>
    </row>
    <row r="977" ht="13.2" customHeight="1" s="405">
      <c r="B977" s="117" t="n"/>
    </row>
    <row r="978" ht="13.2" customHeight="1" s="405">
      <c r="B978" s="117" t="n"/>
    </row>
    <row r="979" ht="13.2" customHeight="1" s="405">
      <c r="B979" s="117" t="n"/>
    </row>
    <row r="980" ht="13.2" customHeight="1" s="405">
      <c r="B980" s="117" t="n"/>
    </row>
    <row r="981" ht="13.2" customHeight="1" s="405">
      <c r="B981" s="117" t="n"/>
    </row>
    <row r="982" ht="13.2" customHeight="1" s="405">
      <c r="B982" s="117" t="n"/>
    </row>
    <row r="983" ht="13.2" customHeight="1" s="405">
      <c r="B983" s="117" t="n"/>
    </row>
    <row r="984" ht="13.2" customHeight="1" s="405">
      <c r="B984" s="117" t="n"/>
    </row>
    <row r="985" ht="13.2" customHeight="1" s="405">
      <c r="B985" s="117" t="n"/>
    </row>
    <row r="986" ht="13.2" customHeight="1" s="405">
      <c r="B986" s="117" t="n"/>
    </row>
    <row r="987" ht="13.2" customHeight="1" s="405">
      <c r="B987" s="117" t="n"/>
    </row>
    <row r="988" ht="13.2" customHeight="1" s="405">
      <c r="B988" s="117" t="n"/>
    </row>
    <row r="989" ht="13.2" customHeight="1" s="405">
      <c r="B989" s="117" t="n"/>
    </row>
    <row r="990" ht="13.2" customHeight="1" s="405">
      <c r="B990" s="117" t="n"/>
    </row>
    <row r="991" ht="13.2" customHeight="1" s="405">
      <c r="B991" s="117" t="n"/>
    </row>
    <row r="992" ht="13.2" customHeight="1" s="405">
      <c r="B992" s="117" t="n"/>
    </row>
    <row r="993" ht="13.2" customHeight="1" s="405">
      <c r="B993" s="117" t="n"/>
    </row>
    <row r="994" ht="13.2" customHeight="1" s="405">
      <c r="B994" s="117" t="n"/>
    </row>
    <row r="995" ht="13.2" customHeight="1" s="405">
      <c r="B995" s="117" t="n"/>
    </row>
    <row r="996" ht="13.2" customHeight="1" s="405">
      <c r="B996" s="117" t="n"/>
    </row>
    <row r="997" ht="13.2" customHeight="1" s="405">
      <c r="B997" s="117" t="n"/>
    </row>
    <row r="998" ht="13.2" customHeight="1" s="405">
      <c r="B998" s="117" t="n"/>
    </row>
    <row r="999" ht="13.2" customHeight="1" s="405">
      <c r="B999" s="117" t="n"/>
    </row>
  </sheetData>
  <mergeCells count="3">
    <mergeCell ref="A1:D1"/>
    <mergeCell ref="A2:A3"/>
    <mergeCell ref="B2:B3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0" summaryRight="0"/>
    <pageSetUpPr/>
  </sheetPr>
  <dimension ref="A1:AI32"/>
  <sheetViews>
    <sheetView workbookViewId="0">
      <pane xSplit="3" topLeftCell="D1" activePane="topRight" state="frozen"/>
      <selection pane="topRight" activeCell="E2" sqref="E2"/>
    </sheetView>
  </sheetViews>
  <sheetFormatPr baseColWidth="8" defaultColWidth="12.6640625" defaultRowHeight="15.75" customHeight="1"/>
  <cols>
    <col width="5.33203125" customWidth="1" style="405" min="1" max="1"/>
    <col width="20.109375" customWidth="1" style="405" min="2" max="2"/>
  </cols>
  <sheetData>
    <row r="1" ht="15.75" customHeight="1" s="405">
      <c r="A1" s="345" t="n"/>
      <c r="B1" s="345" t="n"/>
      <c r="C1" s="345" t="n"/>
      <c r="D1" s="8" t="n"/>
      <c r="E1" s="345" t="n"/>
      <c r="F1" s="345" t="n"/>
      <c r="G1" s="345" t="n"/>
      <c r="H1" s="345" t="n"/>
      <c r="I1" s="345" t="n"/>
      <c r="J1" s="345" t="n"/>
      <c r="K1" s="345" t="n"/>
      <c r="L1" s="345" t="n"/>
      <c r="M1" s="345" t="n"/>
      <c r="N1" s="345" t="n"/>
      <c r="O1" s="345" t="n"/>
      <c r="P1" s="9" t="n"/>
      <c r="Q1" s="9" t="n"/>
      <c r="R1" s="9" t="n"/>
      <c r="S1" s="9" t="n"/>
      <c r="T1" s="9" t="n"/>
      <c r="U1" s="9" t="n"/>
      <c r="V1" s="9" t="n"/>
      <c r="W1" s="9" t="n"/>
      <c r="X1" s="9" t="n"/>
      <c r="Y1" s="9" t="n"/>
      <c r="Z1" s="9" t="n"/>
      <c r="AA1" s="9" t="n"/>
      <c r="AB1" s="9" t="n"/>
      <c r="AC1" s="9" t="n"/>
      <c r="AD1" s="9" t="n"/>
      <c r="AE1" s="9" t="n"/>
      <c r="AF1" s="9" t="n"/>
      <c r="AG1" s="9" t="n"/>
      <c r="AH1" s="9" t="n"/>
      <c r="AI1" s="9" t="n"/>
    </row>
    <row r="2" ht="15.75" customHeight="1" s="405">
      <c r="A2" s="434" t="inlineStr">
        <is>
          <t>STT</t>
        </is>
      </c>
      <c r="B2" s="22" t="inlineStr">
        <is>
          <t>Số tài khoản</t>
        </is>
      </c>
      <c r="C2" s="212" t="inlineStr">
        <is>
          <t>Số Thẻ</t>
        </is>
      </c>
      <c r="D2" s="19" t="inlineStr">
        <is>
          <t>Số tiền chi tiêu hàng ngày theo đầu thẻ</t>
        </is>
      </c>
      <c r="E2" s="23" t="n"/>
      <c r="F2" s="23" t="n"/>
      <c r="G2" s="23" t="n"/>
      <c r="H2" s="23" t="n"/>
      <c r="I2" s="23" t="n"/>
      <c r="J2" s="23" t="n"/>
      <c r="K2" s="23" t="n"/>
      <c r="L2" s="23" t="n"/>
      <c r="M2" s="23" t="n"/>
      <c r="N2" s="23" t="n"/>
      <c r="O2" s="23" t="n"/>
      <c r="P2" s="23" t="n"/>
      <c r="Q2" s="23" t="n"/>
      <c r="R2" s="23" t="n"/>
      <c r="S2" s="23" t="n"/>
      <c r="T2" s="23" t="n"/>
      <c r="U2" s="23" t="n"/>
      <c r="V2" s="23" t="n"/>
      <c r="W2" s="23" t="n"/>
      <c r="X2" s="23" t="n"/>
      <c r="Y2" s="23" t="n"/>
      <c r="Z2" s="23" t="n"/>
      <c r="AA2" s="23" t="n"/>
      <c r="AB2" s="23" t="n"/>
      <c r="AC2" s="23" t="n"/>
      <c r="AD2" s="23" t="n"/>
      <c r="AE2" s="23" t="n"/>
      <c r="AF2" s="23" t="n"/>
      <c r="AG2" s="23" t="n"/>
      <c r="AH2" s="37" t="n"/>
      <c r="AI2" s="9" t="n"/>
    </row>
    <row r="3" ht="15.75" customHeight="1" s="405">
      <c r="A3" s="433" t="n"/>
      <c r="B3" s="433" t="n"/>
      <c r="C3" s="433" t="n"/>
      <c r="D3" s="41" t="n">
        <v>46204</v>
      </c>
      <c r="E3" s="41" t="n">
        <v>46205</v>
      </c>
      <c r="F3" s="41" t="n">
        <v>46206</v>
      </c>
      <c r="G3" s="41" t="n">
        <v>46207</v>
      </c>
      <c r="H3" s="41" t="n">
        <v>46208</v>
      </c>
      <c r="I3" s="41" t="n">
        <v>46209</v>
      </c>
      <c r="J3" s="41" t="n">
        <v>46210</v>
      </c>
      <c r="K3" s="41" t="n">
        <v>46211</v>
      </c>
      <c r="L3" s="41" t="n">
        <v>46212</v>
      </c>
      <c r="M3" s="41" t="n">
        <v>46213</v>
      </c>
      <c r="N3" s="41" t="n">
        <v>46214</v>
      </c>
      <c r="O3" s="41" t="n">
        <v>46215</v>
      </c>
      <c r="P3" s="41" t="n">
        <v>46216</v>
      </c>
      <c r="Q3" s="41" t="n">
        <v>46217</v>
      </c>
      <c r="R3" s="41" t="n">
        <v>46218</v>
      </c>
      <c r="S3" s="41" t="n">
        <v>46219</v>
      </c>
      <c r="T3" s="41" t="n">
        <v>46220</v>
      </c>
      <c r="U3" s="41" t="n">
        <v>46221</v>
      </c>
      <c r="V3" s="41" t="n">
        <v>46222</v>
      </c>
      <c r="W3" s="41" t="n">
        <v>46223</v>
      </c>
      <c r="X3" s="41" t="n">
        <v>46224</v>
      </c>
      <c r="Y3" s="41" t="n">
        <v>46225</v>
      </c>
      <c r="Z3" s="41" t="n">
        <v>46226</v>
      </c>
      <c r="AA3" s="41" t="n">
        <v>46227</v>
      </c>
      <c r="AB3" s="41" t="n">
        <v>46228</v>
      </c>
      <c r="AC3" s="41" t="n">
        <v>46229</v>
      </c>
      <c r="AD3" s="41" t="n">
        <v>46230</v>
      </c>
      <c r="AE3" s="41" t="n">
        <v>46231</v>
      </c>
      <c r="AF3" s="41" t="n">
        <v>46232</v>
      </c>
      <c r="AG3" s="41" t="n">
        <v>46233</v>
      </c>
      <c r="AH3" s="41" t="n">
        <v>46234</v>
      </c>
      <c r="AI3" s="9" t="n"/>
    </row>
    <row r="4" ht="15.75" customHeight="1" s="405">
      <c r="A4" s="347" t="n">
        <v>1</v>
      </c>
      <c r="B4" s="325" t="n"/>
      <c r="C4" s="325" t="n">
        <v>2156</v>
      </c>
      <c r="D4" s="255" t="n">
        <v>2893659</v>
      </c>
      <c r="E4" s="257" t="n">
        <v>1464966</v>
      </c>
      <c r="F4" s="255" t="n">
        <v>1464966</v>
      </c>
      <c r="G4" s="257" t="n">
        <v>1840534</v>
      </c>
      <c r="H4" s="258" t="n">
        <v>1634820</v>
      </c>
      <c r="I4" s="259" t="n">
        <v>2638419</v>
      </c>
      <c r="J4" s="257" t="n">
        <v>2474132</v>
      </c>
      <c r="K4" s="257" t="n"/>
      <c r="L4" s="255" t="n">
        <v>2925100</v>
      </c>
      <c r="M4" s="257" t="n"/>
      <c r="N4" s="255" t="n">
        <v>7323825</v>
      </c>
      <c r="O4" s="255" t="n">
        <v>4032215</v>
      </c>
      <c r="P4" s="257" t="n"/>
      <c r="Q4" s="257" t="n"/>
      <c r="R4" s="255" t="n">
        <v>3664234</v>
      </c>
      <c r="S4" s="257" t="n">
        <v>423467</v>
      </c>
      <c r="T4" s="260" t="n">
        <v>3680570</v>
      </c>
      <c r="U4" s="255" t="n"/>
      <c r="V4" s="257" t="n"/>
      <c r="W4" s="257" t="n"/>
      <c r="X4" s="261" t="n">
        <v>8468912</v>
      </c>
      <c r="Y4" s="261" t="n">
        <v>2603753</v>
      </c>
      <c r="Z4" s="257" t="n">
        <v>5891161</v>
      </c>
      <c r="AA4" s="262" t="n">
        <v>5264558</v>
      </c>
      <c r="AB4" s="263" t="n">
        <v>744267</v>
      </c>
      <c r="AC4" s="262" t="n">
        <v>5427216</v>
      </c>
      <c r="AD4" s="262" t="n">
        <v>594487</v>
      </c>
      <c r="AE4" s="265" t="n">
        <v>6765476</v>
      </c>
      <c r="AF4" s="262" t="n"/>
      <c r="AG4" s="263" t="n"/>
      <c r="AH4" s="262" t="n">
        <v>6993785</v>
      </c>
      <c r="AI4" s="76" t="n"/>
    </row>
    <row r="5" ht="15.75" customHeight="1" s="405">
      <c r="A5" s="347" t="n">
        <v>2</v>
      </c>
      <c r="B5" s="325" t="n"/>
      <c r="C5" s="325" t="n">
        <v>740</v>
      </c>
      <c r="D5" s="257" t="n">
        <v>956151</v>
      </c>
      <c r="E5" s="257" t="n">
        <v>4429092</v>
      </c>
      <c r="F5" s="257" t="n">
        <v>1116418</v>
      </c>
      <c r="G5" s="257" t="n">
        <v>4595385</v>
      </c>
      <c r="H5" s="257" t="n"/>
      <c r="I5" s="257" t="n"/>
      <c r="J5" s="257" t="n">
        <v>4595385</v>
      </c>
      <c r="K5" s="257" t="n"/>
      <c r="L5" s="257" t="n">
        <v>2474132</v>
      </c>
      <c r="M5" s="257" t="n"/>
      <c r="N5" s="257" t="n"/>
      <c r="O5" s="265" t="n">
        <v>3711550</v>
      </c>
      <c r="P5" s="257" t="n"/>
      <c r="Q5" s="257" t="n"/>
      <c r="R5" s="257" t="n">
        <v>3499122</v>
      </c>
      <c r="S5" s="257" t="n">
        <v>846934</v>
      </c>
      <c r="T5" s="257" t="n"/>
      <c r="U5" s="257" t="n"/>
      <c r="V5" s="257" t="n"/>
      <c r="W5" s="257" t="n"/>
      <c r="X5" s="257" t="n">
        <v>3205511</v>
      </c>
      <c r="Y5" s="257" t="n">
        <v>2168124</v>
      </c>
      <c r="Z5" s="262" t="n">
        <v>4845688</v>
      </c>
      <c r="AA5" s="262" t="n">
        <v>4770541</v>
      </c>
      <c r="AB5" s="263" t="n">
        <v>655265</v>
      </c>
      <c r="AC5" s="263" t="n"/>
      <c r="AD5" s="262" t="n">
        <v>1188975</v>
      </c>
      <c r="AE5" s="262" t="n"/>
      <c r="AF5" s="262" t="n"/>
      <c r="AG5" s="263" t="n"/>
      <c r="AH5" s="262" t="n">
        <v>604577</v>
      </c>
      <c r="AI5" s="76" t="n"/>
    </row>
    <row r="6" ht="15.75" customHeight="1" s="405">
      <c r="A6" s="347" t="n">
        <v>3</v>
      </c>
      <c r="B6" s="325" t="n"/>
      <c r="C6" s="325" t="n"/>
      <c r="D6" s="257" t="n">
        <v>568912</v>
      </c>
      <c r="E6" s="257" t="n"/>
      <c r="F6" s="257" t="n">
        <v>606527</v>
      </c>
      <c r="G6" s="257" t="n"/>
      <c r="H6" s="257" t="n"/>
      <c r="I6" s="257" t="n"/>
      <c r="J6" s="257" t="n">
        <v>2877317</v>
      </c>
      <c r="K6" s="257" t="n"/>
      <c r="L6" s="257" t="n"/>
      <c r="M6" s="257" t="n"/>
      <c r="N6" s="257" t="n"/>
      <c r="O6" s="257" t="n"/>
      <c r="P6" s="257" t="n"/>
      <c r="Q6" s="257" t="n"/>
      <c r="R6" s="257" t="n"/>
      <c r="S6" s="257" t="n">
        <v>2117343</v>
      </c>
      <c r="T6" s="257" t="n"/>
      <c r="U6" s="257" t="n"/>
      <c r="V6" s="257" t="n"/>
      <c r="W6" s="257" t="n"/>
      <c r="X6" s="257" t="n"/>
      <c r="Y6" s="76" t="n"/>
      <c r="Z6" s="265" t="n"/>
      <c r="AA6" s="262" t="n"/>
      <c r="AB6" s="265" t="n"/>
      <c r="AC6" s="267" t="n"/>
      <c r="AD6" s="267" t="n">
        <v>2377949</v>
      </c>
      <c r="AE6" s="262" t="n"/>
      <c r="AF6" s="265" t="n"/>
      <c r="AG6" s="76" t="n"/>
      <c r="AH6" s="265" t="n"/>
      <c r="AI6" s="76" t="n"/>
    </row>
    <row r="7" ht="15.75" customHeight="1" s="405">
      <c r="A7" s="347" t="n">
        <v>4</v>
      </c>
      <c r="B7" s="325" t="n"/>
      <c r="C7" s="325" t="n"/>
      <c r="D7" s="257" t="n"/>
      <c r="E7" s="257" t="n"/>
      <c r="F7" s="257" t="n"/>
      <c r="G7" s="257" t="n"/>
      <c r="H7" s="257" t="n"/>
      <c r="I7" s="257" t="n"/>
      <c r="J7" s="257" t="n"/>
      <c r="K7" s="257" t="n"/>
      <c r="L7" s="257" t="n"/>
      <c r="M7" s="257" t="n"/>
      <c r="N7" s="257" t="n"/>
      <c r="O7" s="267" t="n"/>
      <c r="P7" s="257" t="n"/>
      <c r="Q7" s="257" t="n"/>
      <c r="R7" s="257" t="n"/>
      <c r="S7" s="257" t="n">
        <v>3690963</v>
      </c>
      <c r="T7" s="257" t="n"/>
      <c r="U7" s="257" t="n"/>
      <c r="V7" s="257" t="n"/>
      <c r="W7" s="257" t="n"/>
      <c r="X7" s="257" t="n"/>
      <c r="Y7" s="265" t="n"/>
      <c r="Z7" s="265" t="n"/>
      <c r="AA7" s="265" t="n"/>
      <c r="AB7" s="262" t="n"/>
      <c r="AC7" s="265" t="n"/>
      <c r="AD7" s="267" t="n"/>
      <c r="AE7" s="263" t="n"/>
      <c r="AF7" s="265" t="n"/>
      <c r="AG7" s="268" t="n"/>
      <c r="AH7" s="265" t="n"/>
      <c r="AI7" s="76" t="n"/>
    </row>
    <row r="8" ht="15.75" customHeight="1" s="405">
      <c r="A8" s="82" t="inlineStr">
        <is>
          <t>Tổng</t>
        </is>
      </c>
      <c r="B8" s="83" t="n"/>
      <c r="C8" s="83">
        <f>+D8+E8+F8+G8+H8+I8+J8+K8+L8+M8+N8+O8++P8+Q8+R8+S8+T8+U8+V8+W8+X8+Y8+Z8+AA8+AB8+AC8+AD8+AE8+AF8+AG8+AH8</f>
        <v/>
      </c>
      <c r="D8" s="83">
        <f>SUM(D4:D7) /1.1</f>
        <v/>
      </c>
      <c r="E8" s="83">
        <f>SUM(E4:E7) /1.1</f>
        <v/>
      </c>
      <c r="F8" s="83">
        <f>SUM(F4:F7) /1.1</f>
        <v/>
      </c>
      <c r="G8" s="83">
        <f>SUM(G4:G7) /1.1</f>
        <v/>
      </c>
      <c r="H8" s="83">
        <f>SUM(H4:H7) /1.1</f>
        <v/>
      </c>
      <c r="I8" s="83">
        <f>SUM(I5:I7) /1.1</f>
        <v/>
      </c>
      <c r="J8" s="83">
        <f>SUM(J4:J7) /1.1</f>
        <v/>
      </c>
      <c r="K8" s="83">
        <f>SUM(K4:K7) /1.1</f>
        <v/>
      </c>
      <c r="L8" s="83">
        <f>SUM(L4:L7) /1.1</f>
        <v/>
      </c>
      <c r="M8" s="83">
        <f>SUM(M4:M7) /1.1</f>
        <v/>
      </c>
      <c r="N8" s="83">
        <f>SUM(N4:N7) /1.1</f>
        <v/>
      </c>
      <c r="O8" s="83">
        <f>SUM(O4:O7) /1.1</f>
        <v/>
      </c>
      <c r="P8" s="83">
        <f>SUM(P4:P7) /1.1</f>
        <v/>
      </c>
      <c r="Q8" s="83">
        <f>SUM(Q4:Q7) /1.1</f>
        <v/>
      </c>
      <c r="R8" s="83">
        <f>SUM(R4:R7) /1.1</f>
        <v/>
      </c>
      <c r="S8" s="83">
        <f>SUM(S4:S7) /1.1</f>
        <v/>
      </c>
      <c r="T8" s="83">
        <f>SUM(T4:T7) /1.1</f>
        <v/>
      </c>
      <c r="U8" s="83">
        <f>SUM(U4:U7) /1.1</f>
        <v/>
      </c>
      <c r="V8" s="83">
        <f>SUM(V4:V7) /1.1</f>
        <v/>
      </c>
      <c r="W8" s="83">
        <f>SUM(W4:W7) /1.1</f>
        <v/>
      </c>
      <c r="X8" s="83">
        <f>SUM(X4:X7) /1.1</f>
        <v/>
      </c>
      <c r="Y8" s="83">
        <f>SUM(Y4:Y7) /1.1</f>
        <v/>
      </c>
      <c r="Z8" s="83">
        <f>SUM(Z4:Z7) /1.1</f>
        <v/>
      </c>
      <c r="AA8" s="83">
        <f>SUM(AA4:AA7) /1.1</f>
        <v/>
      </c>
      <c r="AB8" s="83">
        <f>SUM(AB4:AB7) /1.1</f>
        <v/>
      </c>
      <c r="AC8" s="83">
        <f>SUM(AC4:AC7) /1.1</f>
        <v/>
      </c>
      <c r="AD8" s="83">
        <f>SUM(AD4:AD7) /1.1</f>
        <v/>
      </c>
      <c r="AE8" s="83">
        <f>SUM(AE5:AE7) /1.1</f>
        <v/>
      </c>
      <c r="AF8" s="83">
        <f>SUM(AF4:AF7) /1.1</f>
        <v/>
      </c>
      <c r="AG8" s="83">
        <f>SUM(AG4:AG7) /1.1</f>
        <v/>
      </c>
      <c r="AH8" s="83">
        <f>SUM(AH4:AH7) /1.1</f>
        <v/>
      </c>
      <c r="AI8" s="76" t="n"/>
    </row>
    <row r="9" ht="15.75" customHeight="1" s="405">
      <c r="A9" s="345" t="inlineStr">
        <is>
          <t>Kế toán check Hóa đơn</t>
        </is>
      </c>
      <c r="B9" s="345" t="n"/>
      <c r="C9" s="345" t="n"/>
      <c r="D9" s="8" t="n"/>
      <c r="E9" s="345" t="n"/>
      <c r="F9" s="345" t="n"/>
      <c r="G9" s="345" t="n"/>
      <c r="H9" s="345" t="n"/>
      <c r="I9" s="345" t="n"/>
      <c r="J9" s="345" t="n"/>
      <c r="K9" s="345" t="n"/>
      <c r="L9" s="345" t="n"/>
      <c r="M9" s="345" t="n"/>
      <c r="N9" s="345" t="n"/>
      <c r="O9" s="345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</row>
    <row r="10" ht="15.75" customHeight="1" s="405">
      <c r="A10" s="110" t="inlineStr">
        <is>
          <t>Chênh lệch</t>
        </is>
      </c>
      <c r="B10" s="345" t="n"/>
      <c r="C10" s="345" t="n"/>
      <c r="D10" s="113">
        <f>D8-D9</f>
        <v/>
      </c>
      <c r="E10" s="113">
        <f>E8-E9</f>
        <v/>
      </c>
      <c r="F10" s="113">
        <f>F8-F9</f>
        <v/>
      </c>
      <c r="G10" s="113">
        <f>G8-G9</f>
        <v/>
      </c>
      <c r="H10" s="113">
        <f>H8-H9</f>
        <v/>
      </c>
      <c r="I10" s="113">
        <f>I8-I9</f>
        <v/>
      </c>
      <c r="J10" s="113">
        <f>J8-J9</f>
        <v/>
      </c>
      <c r="K10" s="113">
        <f>K8-K9</f>
        <v/>
      </c>
      <c r="L10" s="113">
        <f>L8-L9</f>
        <v/>
      </c>
      <c r="M10" s="113">
        <f>M8-M9</f>
        <v/>
      </c>
      <c r="N10" s="113">
        <f>N8-N9</f>
        <v/>
      </c>
      <c r="O10" s="113">
        <f>O8-O9</f>
        <v/>
      </c>
      <c r="P10" s="113">
        <f>P8-P9</f>
        <v/>
      </c>
      <c r="Q10" s="113">
        <f>Q8-Q9</f>
        <v/>
      </c>
      <c r="R10" s="113">
        <f>R8-R9</f>
        <v/>
      </c>
      <c r="S10" s="113">
        <f>S8-S9</f>
        <v/>
      </c>
      <c r="T10" s="113">
        <f>T8-T9</f>
        <v/>
      </c>
      <c r="U10" s="113">
        <f>U8-U9</f>
        <v/>
      </c>
      <c r="V10" s="113">
        <f>V8-V9</f>
        <v/>
      </c>
      <c r="W10" s="113">
        <f>W8-W9</f>
        <v/>
      </c>
      <c r="X10" s="113">
        <f>X8-X9</f>
        <v/>
      </c>
      <c r="Y10" s="113">
        <f>Y8-Y9</f>
        <v/>
      </c>
      <c r="Z10" s="113">
        <f>Z8-Z9</f>
        <v/>
      </c>
      <c r="AA10" s="113">
        <f>AA8-AA9</f>
        <v/>
      </c>
      <c r="AB10" s="113">
        <f>AB8-AB9</f>
        <v/>
      </c>
      <c r="AC10" s="113">
        <f>AC8-AC9</f>
        <v/>
      </c>
      <c r="AD10" s="113">
        <f>AD8-AD9</f>
        <v/>
      </c>
      <c r="AE10" s="113">
        <f>AE8-AE9</f>
        <v/>
      </c>
      <c r="AF10" s="113">
        <f>AF8-AF9</f>
        <v/>
      </c>
      <c r="AG10" s="113">
        <f>AG8-AG9</f>
        <v/>
      </c>
      <c r="AH10" s="113">
        <f>AH8-AH9</f>
        <v/>
      </c>
      <c r="AI10" s="9" t="n"/>
    </row>
    <row r="13">
      <c r="B13" s="118" t="inlineStr">
        <is>
          <t>Facebook Billing</t>
        </is>
      </c>
      <c r="D13" s="118" t="n"/>
    </row>
    <row r="14" ht="15.75" customHeight="1" s="405">
      <c r="B14" s="119" t="inlineStr">
        <is>
          <t>Ngày thanh toán</t>
        </is>
      </c>
      <c r="C14" s="119" t="inlineStr">
        <is>
          <t>Phương thức TT</t>
        </is>
      </c>
      <c r="D14" s="119" t="inlineStr">
        <is>
          <t>Số tham chiếu thẻ</t>
        </is>
      </c>
      <c r="E14" s="120" t="inlineStr">
        <is>
          <t>Số tiền</t>
        </is>
      </c>
      <c r="G14" s="419" t="inlineStr">
        <is>
          <t xml:space="preserve">Link thư mục ảnh hóa đơn </t>
        </is>
      </c>
    </row>
    <row r="15">
      <c r="B15" s="94" t="n"/>
      <c r="C15" s="94" t="n"/>
      <c r="D15" s="94" t="n"/>
      <c r="E15" s="94" t="n"/>
    </row>
    <row r="16" ht="13.2" customHeight="1" s="405">
      <c r="B16" s="94" t="n"/>
      <c r="C16" s="94" t="n"/>
      <c r="D16" s="94" t="n"/>
      <c r="E16" s="94" t="n"/>
    </row>
    <row r="17" ht="13.2" customHeight="1" s="405">
      <c r="B17" s="94" t="n"/>
      <c r="C17" s="94" t="n"/>
      <c r="D17" s="94" t="n"/>
      <c r="E17" s="94" t="n"/>
    </row>
    <row r="18" ht="13.2" customHeight="1" s="405">
      <c r="B18" s="94" t="n"/>
      <c r="C18" s="94" t="n"/>
      <c r="D18" s="94" t="n"/>
      <c r="E18" s="94" t="n"/>
    </row>
    <row r="19" ht="13.2" customHeight="1" s="405">
      <c r="B19" s="94" t="n"/>
      <c r="C19" s="94" t="n"/>
      <c r="D19" s="94" t="n"/>
      <c r="E19" s="94" t="n"/>
    </row>
    <row r="20" ht="13.2" customHeight="1" s="405">
      <c r="B20" s="94" t="n"/>
      <c r="C20" s="94" t="n"/>
      <c r="D20" s="94" t="n"/>
      <c r="E20" s="94" t="n"/>
    </row>
    <row r="21" ht="13.2" customHeight="1" s="405">
      <c r="B21" s="94" t="n"/>
      <c r="C21" s="94" t="n"/>
      <c r="D21" s="94" t="n"/>
      <c r="E21" s="94" t="n"/>
    </row>
    <row r="22" ht="13.2" customHeight="1" s="405">
      <c r="B22" s="94" t="n"/>
      <c r="C22" s="94" t="n"/>
      <c r="D22" s="94" t="n"/>
      <c r="E22" s="94" t="n"/>
    </row>
    <row r="23" ht="13.2" customHeight="1" s="405">
      <c r="B23" s="94" t="n"/>
      <c r="C23" s="94" t="n"/>
      <c r="D23" s="94" t="n"/>
      <c r="E23" s="94" t="n"/>
    </row>
    <row r="24" ht="13.2" customHeight="1" s="405">
      <c r="B24" s="94" t="n"/>
      <c r="C24" s="94" t="n"/>
      <c r="D24" s="94" t="n"/>
      <c r="E24" s="94" t="n"/>
    </row>
    <row r="25" ht="13.2" customHeight="1" s="405">
      <c r="B25" s="94" t="n"/>
      <c r="C25" s="94" t="n"/>
      <c r="D25" s="94" t="n"/>
      <c r="E25" s="94" t="n"/>
    </row>
    <row r="26" ht="13.2" customHeight="1" s="405">
      <c r="B26" s="94" t="n"/>
      <c r="C26" s="94" t="n"/>
      <c r="D26" s="94" t="n"/>
      <c r="E26" s="94" t="n"/>
    </row>
    <row r="27" ht="13.2" customHeight="1" s="405">
      <c r="B27" s="94" t="n"/>
      <c r="C27" s="94" t="n"/>
      <c r="D27" s="94" t="n"/>
      <c r="E27" s="94" t="n"/>
    </row>
    <row r="28" ht="13.2" customHeight="1" s="405">
      <c r="B28" s="94" t="n"/>
      <c r="C28" s="94" t="n"/>
      <c r="D28" s="94" t="n"/>
      <c r="E28" s="94" t="n"/>
    </row>
    <row r="29" ht="13.2" customHeight="1" s="405">
      <c r="B29" s="94" t="n"/>
      <c r="C29" s="94" t="n"/>
      <c r="D29" s="94" t="n"/>
      <c r="E29" s="94" t="n"/>
    </row>
    <row r="30" ht="13.2" customHeight="1" s="405">
      <c r="B30" s="94" t="n"/>
      <c r="C30" s="94" t="n"/>
      <c r="D30" s="94" t="n"/>
      <c r="E30" s="94" t="n"/>
    </row>
    <row r="31" ht="13.2" customHeight="1" s="405">
      <c r="B31" s="94" t="n"/>
      <c r="C31" s="94" t="n"/>
      <c r="D31" s="94" t="n"/>
      <c r="E31" s="94" t="n"/>
    </row>
    <row r="32" ht="13.2" customHeight="1" s="405">
      <c r="B32" s="94" t="n"/>
      <c r="C32" s="94" t="n"/>
      <c r="D32" s="94" t="n"/>
      <c r="E32" s="94" t="n"/>
    </row>
  </sheetData>
  <mergeCells count="3">
    <mergeCell ref="C2:C3"/>
    <mergeCell ref="A2:A3"/>
    <mergeCell ref="B2:B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2026-08-09T17:44:06Z</dcterms:created>
  <dcterms:modified xmlns:dcterms="http://purl.org/dc/terms/" xmlns:xsi="http://www.w3.org/2001/XMLSchema-instance" xsi:type="dcterms:W3CDTF">2026-08-09T17:44:07Z</dcterms:modified>
  <cp:lastModifiedBy>PC</cp:lastModifiedBy>
</cp:coreProperties>
</file>